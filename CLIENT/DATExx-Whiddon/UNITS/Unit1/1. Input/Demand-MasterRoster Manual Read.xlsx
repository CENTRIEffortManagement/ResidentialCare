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queryTables/queryTable2.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8.xml" ContentType="application/vnd.openxmlformats-officedocument.spreadsheetml.table+xml"/>
  <Override PartName="/xl/queryTables/queryTable3.xml" ContentType="application/vnd.openxmlformats-officedocument.spreadsheetml.queryTable+xml"/>
  <Override PartName="/xl/comments1.xml" ContentType="application/vnd.openxmlformats-officedocument.spreadsheetml.comments+xml"/>
  <Override PartName="/xl/tables/table9.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centri001.sharepoint.com/sites/4.Production/Shared Documents/WFEffectiveness/4.1.1 AGED CARE/ResidentialCare/Whiddon/DATExx/UNITS/Unit1/1. Input/"/>
    </mc:Choice>
  </mc:AlternateContent>
  <xr:revisionPtr revIDLastSave="491" documentId="8_{C5941554-0B86-4B2B-BF94-0DCF6710D4FC}" xr6:coauthVersionLast="47" xr6:coauthVersionMax="47" xr10:uidLastSave="{F2471E4F-E388-49BD-B858-390AB8BD3702}"/>
  <bookViews>
    <workbookView xWindow="-96" yWindow="-96" windowWidth="20928" windowHeight="12432" firstSheet="3" activeTab="4" xr2:uid="{00000000-000D-0000-FFFF-FFFF00000000}"/>
  </bookViews>
  <sheets>
    <sheet name="Assumed" sheetId="2" r:id="rId1"/>
    <sheet name="Actual" sheetId="1" r:id="rId2"/>
    <sheet name="ShiftEnd" sheetId="6" r:id="rId3"/>
    <sheet name="LocRoleWeekDaysShiftAVEMATTRIX" sheetId="10" r:id="rId4"/>
    <sheet name="LocRole%MATRIX" sheetId="12" r:id="rId5"/>
    <sheet name="LocRoleTOTAL" sheetId="13" r:id="rId6"/>
    <sheet name="IMPORT Master" sheetId="14" r:id="rId7"/>
  </sheets>
  <definedNames>
    <definedName name="ExternalData_4" localSheetId="3" hidden="1">LocRoleWeekDaysShiftAVEMATTRIX!$A$1:$W$16</definedName>
    <definedName name="ExternalData_5" localSheetId="4" hidden="1">'LocRole%MATRIX'!$A$1:$W$16</definedName>
    <definedName name="ExternalData_5" localSheetId="5" hidden="1">LocRoleTOTAL!$A$1:$C$16</definedName>
    <definedName name="ExternalData_6" localSheetId="6" hidden="1">'IMPORT Master'!$A$1:$Y$2631</definedName>
    <definedName name="ExternalData_6" localSheetId="5" hidden="1">LocRoleTOTAL!#REF!</definedName>
    <definedName name="_xlnm.Print_Area" localSheetId="1">Actual!$A$1:$S$36</definedName>
    <definedName name="_xlnm.Print_Area" localSheetId="0">Assumed!$A$1:$S$35</definedName>
    <definedName name="Slicer_Location">#N/A</definedName>
    <definedName name="Slicer_Location1">#N/A</definedName>
    <definedName name="Slicer_Role">#N/A</definedName>
    <definedName name="Slicer_Role1">#N/A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3" l="1"/>
  <c r="M2" i="13"/>
  <c r="F12" i="13"/>
  <c r="F7" i="13"/>
  <c r="F2" i="13"/>
  <c r="K12" i="13"/>
  <c r="J12" i="13"/>
  <c r="G12" i="13"/>
  <c r="L12" i="13" l="1"/>
  <c r="O33" i="1" l="1"/>
  <c r="P33" i="1"/>
  <c r="R33" i="1"/>
  <c r="Q28" i="1"/>
  <c r="P27" i="1"/>
  <c r="O27" i="1"/>
  <c r="Q27" i="1"/>
  <c r="R27" i="1"/>
  <c r="H26" i="2"/>
  <c r="I26" i="2" s="1"/>
  <c r="J26" i="2" s="1"/>
  <c r="O13" i="2"/>
  <c r="P13" i="2"/>
  <c r="Q13" i="2"/>
  <c r="Q33" i="2" s="1"/>
  <c r="O14" i="2"/>
  <c r="P14" i="2"/>
  <c r="Q14" i="2"/>
  <c r="Q34" i="2" s="1"/>
  <c r="O15" i="2"/>
  <c r="P15" i="2"/>
  <c r="Q15" i="2"/>
  <c r="R5" i="2"/>
  <c r="R13" i="2" s="1"/>
  <c r="R6" i="2"/>
  <c r="R14" i="2" s="1"/>
  <c r="K7" i="2"/>
  <c r="H27" i="2" s="1"/>
  <c r="R7" i="2"/>
  <c r="R15" i="2" s="1"/>
  <c r="R8" i="2"/>
  <c r="Q9" i="2"/>
  <c r="P9" i="2"/>
  <c r="O9" i="2"/>
  <c r="P15" i="1"/>
  <c r="Q15" i="1"/>
  <c r="O15" i="1"/>
  <c r="K7" i="1"/>
  <c r="H28" i="1" s="1"/>
  <c r="I28" i="1" s="1"/>
  <c r="J28" i="1" s="1"/>
  <c r="H27" i="1"/>
  <c r="O14" i="1"/>
  <c r="P14" i="1"/>
  <c r="Q14" i="1"/>
  <c r="P13" i="1"/>
  <c r="Q13" i="1"/>
  <c r="I27" i="2" l="1"/>
  <c r="J27" i="2" s="1"/>
  <c r="H28" i="2"/>
  <c r="I28" i="2" s="1"/>
  <c r="J28" i="2" s="1"/>
  <c r="P19" i="2"/>
  <c r="Q19" i="2"/>
  <c r="O19" i="2"/>
  <c r="Q17" i="2"/>
  <c r="P18" i="2"/>
  <c r="Q18" i="2"/>
  <c r="O17" i="2"/>
  <c r="J29" i="2"/>
  <c r="P26" i="2"/>
  <c r="P33" i="2" s="1"/>
  <c r="O26" i="2"/>
  <c r="P17" i="2"/>
  <c r="O18" i="2"/>
  <c r="R9" i="2"/>
  <c r="H29" i="1"/>
  <c r="I29" i="1" s="1"/>
  <c r="J29" i="1" s="1"/>
  <c r="Q28" i="2" l="1"/>
  <c r="R26" i="2"/>
  <c r="O33" i="2"/>
  <c r="P27" i="2"/>
  <c r="P34" i="2" s="1"/>
  <c r="O27" i="2"/>
  <c r="Q35" i="2" l="1"/>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P18" i="1"/>
  <c r="O19" i="1"/>
  <c r="O29" i="1" s="1"/>
  <c r="Q19" i="1"/>
  <c r="Q29" i="1" s="1"/>
  <c r="P19" i="1"/>
  <c r="P29" i="1" s="1"/>
  <c r="O17" i="1"/>
  <c r="O28" i="1" l="1"/>
  <c r="P28" i="1"/>
  <c r="P34" i="1" s="1"/>
  <c r="R29" i="1"/>
  <c r="R28" i="1"/>
  <c r="R34" i="1" s="1"/>
  <c r="O34" i="1"/>
  <c r="O35" i="1"/>
  <c r="Q35" i="1"/>
  <c r="Q17" i="1"/>
  <c r="P17" i="1"/>
  <c r="R30" i="1" l="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charset val="1"/>
          </rPr>
          <t>Alex James:</t>
        </r>
        <r>
          <rPr>
            <sz val="9"/>
            <color indexed="81"/>
            <rFont val="Tahoma"/>
            <charset val="1"/>
          </rPr>
          <t xml:space="preserve">
Occupancy care minute -roster meeting.xlsx</t>
        </r>
      </text>
    </comment>
    <comment ref="H1" authorId="0" shapeId="0" xr:uid="{BDA5B369-C0AB-4C1D-96E9-7C0431558A32}">
      <text>
        <r>
          <rPr>
            <b/>
            <sz val="9"/>
            <color indexed="81"/>
            <rFont val="Tahoma"/>
            <charset val="1"/>
          </rPr>
          <t>Alex James:</t>
        </r>
        <r>
          <rPr>
            <sz val="9"/>
            <color indexed="81"/>
            <rFont val="Tahoma"/>
            <charset val="1"/>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3"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4"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5"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6"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7" xr16:uid="{07A42460-EF02-4CAC-82EC-24386FC1A0EB}" keepAlive="1" name="Query - LocRoleDayShift%" description="Connection to the 'LocRoleDayShift%' query in the workbook." type="5" refreshedVersion="0" background="1">
    <dbPr connection="Provider=Microsoft.Mashup.OleDb.1;Data Source=$Workbook$;Location=LocRoleDayShift%;Extended Properties=&quot;&quot;" command="SELECT * FROM [LocRoleDayShift%]"/>
  </connection>
  <connection id="8"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9"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0"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1"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2"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3"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4"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5"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6"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7"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18"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19"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0"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21"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22"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23"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sharedStrings.xml><?xml version="1.0" encoding="utf-8"?>
<sst xmlns="http://schemas.openxmlformats.org/spreadsheetml/2006/main" count="29213" uniqueCount="508">
  <si>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</si>
  <si>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</si>
  <si>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</si>
  <si>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</si>
  <si>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</si>
  <si>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</si>
  <si>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</si>
  <si>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</si>
  <si>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</si>
  <si>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</si>
  <si>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</si>
  <si>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</si>
  <si>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</si>
  <si>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</si>
  <si>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</si>
  <si>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</si>
  <si>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</si>
  <si>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</si>
  <si>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</si>
  <si>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</si>
  <si>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</si>
  <si>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</si>
  <si>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</si>
  <si>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</si>
  <si>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</si>
  <si>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</si>
  <si>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</si>
  <si>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</si>
  <si>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</si>
  <si>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</si>
  <si>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</si>
  <si>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</si>
  <si>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</si>
  <si>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</si>
  <si>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</si>
  <si>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</si>
  <si>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</si>
  <si>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</si>
  <si>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</si>
  <si>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</si>
  <si>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</si>
  <si>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</si>
  <si>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</si>
  <si>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</si>
  <si>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</si>
  <si>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</si>
  <si>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</si>
  <si>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</si>
  <si>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</si>
  <si>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</si>
  <si>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</si>
  <si>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</si>
  <si>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</si>
  <si>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</si>
  <si>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</si>
  <si>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TA</t>
  </si>
  <si>
    <t>WLO</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</si>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</sst>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F400]h:mm:ss\ AM/PM"/>
    <numFmt numFmtId="167" formatCode="0.00_ ;[Red]\-0.00\ "/>
  </numFmts>
  <fonts count="10"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charset val="1"/>
    </font>
    <font>
      <b/>
      <sz val="9"/>
      <color indexed="81"/>
      <name val="Tahoma"/>
      <charset val="1"/>
    </font>
  </fonts>
  <fills count="6">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2">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cellXfs>
  <cellStyles count="3">
    <cellStyle name="Hyperlink" xfId="2" builtinId="8"/>
    <cellStyle name="Normal" xfId="0" builtinId="0"/>
    <cellStyle name="Percent" xfId="1" builtinId="5"/>
  </cellStyles>
  <dxfs count="33">
    <dxf>
      <numFmt numFmtId="0" formatCode="General"/>
    </dxf>
    <dxf>
      <numFmt numFmtId="0" formatCode="General"/>
    </dxf>
    <dxf>
      <numFmt numFmtId="166" formatCode="[$-F400]h:mm:ss\ AM/PM"/>
    </dxf>
    <dxf>
      <numFmt numFmtId="166" formatCode="[$-F400]h:mm:ss\ AM/PM"/>
    </dxf>
    <dxf>
      <numFmt numFmtId="0" formatCode="General"/>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19" Type="http://schemas.openxmlformats.org/officeDocument/2006/relationships/customXml" Target="../customXml/item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EN</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RN</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TA</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WLO</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JE</c:v>
                </c:pt>
                <c:pt idx="1">
                  <c:v>AIN</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JE</c:v>
                </c:pt>
                <c:pt idx="1">
                  <c:v>EN</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RN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TA</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WLO</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TE</c:v>
                </c:pt>
                <c:pt idx="1">
                  <c:v>AIN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Cache>
                <c:formatCode>General</c:formatCode>
                <c:ptCount val="21"/>
                <c:pt idx="0">
                  <c:v>92</c:v>
                </c:pt>
                <c:pt idx="1">
                  <c:v>66</c:v>
                </c:pt>
                <c:pt idx="2">
                  <c:v>34</c:v>
                </c:pt>
                <c:pt idx="3">
                  <c:v>87.75</c:v>
                </c:pt>
                <c:pt idx="4">
                  <c:v>65.75</c:v>
                </c:pt>
                <c:pt idx="5">
                  <c:v>34</c:v>
                </c:pt>
                <c:pt idx="6">
                  <c:v>83.5</c:v>
                </c:pt>
                <c:pt idx="7">
                  <c:v>59.5</c:v>
                </c:pt>
                <c:pt idx="8">
                  <c:v>34</c:v>
                </c:pt>
                <c:pt idx="9">
                  <c:v>92</c:v>
                </c:pt>
                <c:pt idx="10">
                  <c:v>66</c:v>
                </c:pt>
                <c:pt idx="11">
                  <c:v>34</c:v>
                </c:pt>
                <c:pt idx="12">
                  <c:v>83.5</c:v>
                </c:pt>
                <c:pt idx="13">
                  <c:v>66</c:v>
                </c:pt>
                <c:pt idx="14">
                  <c:v>34</c:v>
                </c:pt>
                <c:pt idx="15">
                  <c:v>87.75</c:v>
                </c:pt>
                <c:pt idx="16">
                  <c:v>66</c:v>
                </c:pt>
                <c:pt idx="17">
                  <c:v>33</c:v>
                </c:pt>
                <c:pt idx="18">
                  <c:v>88.25</c:v>
                </c:pt>
                <c:pt idx="19">
                  <c:v>66</c:v>
                </c:pt>
                <c:pt idx="20">
                  <c:v>34</c:v>
                </c:pt>
              </c:numCache>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TE</c:v>
                </c:pt>
                <c:pt idx="1">
                  <c:v>EN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Cache>
                <c:formatCode>General</c:formatCode>
                <c:ptCount val="21"/>
                <c:pt idx="0">
                  <c:v>8.5</c:v>
                </c:pt>
                <c:pt idx="3">
                  <c:v>12.75</c:v>
                </c:pt>
                <c:pt idx="6">
                  <c:v>25.5</c:v>
                </c:pt>
                <c:pt idx="7">
                  <c:v>6.5</c:v>
                </c:pt>
                <c:pt idx="9">
                  <c:v>25.5</c:v>
                </c:pt>
                <c:pt idx="12">
                  <c:v>17</c:v>
                </c:pt>
                <c:pt idx="15">
                  <c:v>8.5</c:v>
                </c:pt>
                <c:pt idx="18">
                  <c:v>6.25</c:v>
                </c:pt>
              </c:numCache>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TE</c:v>
                </c:pt>
                <c:pt idx="1">
                  <c:v>RN</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Cache>
                <c:formatCode>General</c:formatCode>
                <c:ptCount val="21"/>
                <c:pt idx="0">
                  <c:v>7.5</c:v>
                </c:pt>
                <c:pt idx="1">
                  <c:v>17</c:v>
                </c:pt>
                <c:pt idx="2">
                  <c:v>18.5</c:v>
                </c:pt>
                <c:pt idx="3">
                  <c:v>8.5</c:v>
                </c:pt>
                <c:pt idx="4">
                  <c:v>17</c:v>
                </c:pt>
                <c:pt idx="5">
                  <c:v>18.5</c:v>
                </c:pt>
                <c:pt idx="6">
                  <c:v>17</c:v>
                </c:pt>
                <c:pt idx="7">
                  <c:v>16</c:v>
                </c:pt>
                <c:pt idx="8">
                  <c:v>18.5</c:v>
                </c:pt>
                <c:pt idx="9">
                  <c:v>12.75</c:v>
                </c:pt>
                <c:pt idx="10">
                  <c:v>15</c:v>
                </c:pt>
                <c:pt idx="11">
                  <c:v>18.5</c:v>
                </c:pt>
                <c:pt idx="12">
                  <c:v>33</c:v>
                </c:pt>
                <c:pt idx="13">
                  <c:v>16</c:v>
                </c:pt>
                <c:pt idx="14">
                  <c:v>18.5</c:v>
                </c:pt>
                <c:pt idx="15">
                  <c:v>16</c:v>
                </c:pt>
                <c:pt idx="16">
                  <c:v>16</c:v>
                </c:pt>
                <c:pt idx="17">
                  <c:v>18.5</c:v>
                </c:pt>
                <c:pt idx="18">
                  <c:v>17</c:v>
                </c:pt>
                <c:pt idx="19">
                  <c:v>17</c:v>
                </c:pt>
                <c:pt idx="20">
                  <c:v>18.5</c:v>
                </c:pt>
              </c:numCache>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TE</c:v>
                </c:pt>
                <c:pt idx="1">
                  <c:v>TA</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Cache>
                <c:formatCode>General</c:formatCode>
                <c:ptCount val="21"/>
                <c:pt idx="0">
                  <c:v>8.5</c:v>
                </c:pt>
                <c:pt idx="3">
                  <c:v>8.5</c:v>
                </c:pt>
              </c:numCache>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WLO</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Cache>
                <c:formatCode>General</c:formatCode>
                <c:ptCount val="21"/>
                <c:pt idx="0">
                  <c:v>24.5</c:v>
                </c:pt>
                <c:pt idx="3">
                  <c:v>37</c:v>
                </c:pt>
                <c:pt idx="6">
                  <c:v>33.5</c:v>
                </c:pt>
                <c:pt idx="9">
                  <c:v>37.5</c:v>
                </c:pt>
                <c:pt idx="12">
                  <c:v>32.5</c:v>
                </c:pt>
                <c:pt idx="19">
                  <c:v>4</c:v>
                </c:pt>
              </c:numCache>
            </c:numRef>
          </c:val>
          <c:extLst>
            <c:ext xmlns:c16="http://schemas.microsoft.com/office/drawing/2014/chart" uri="{C3380CC4-5D6E-409C-BE32-E72D297353CC}">
              <c16:uniqueId val="{00000005-D0C6-4386-BAC6-E6C0C1AB875E}"/>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0.0%</c:formatCode>
                <c:ptCount val="21"/>
                <c:pt idx="0">
                  <c:v>6.3211125158027806E-2</c:v>
                </c:pt>
                <c:pt idx="1">
                  <c:v>5.8435173479421301E-2</c:v>
                </c:pt>
                <c:pt idx="2">
                  <c:v>2.2475066722854299E-2</c:v>
                </c:pt>
                <c:pt idx="3">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EN</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0.0%</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RN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0.0%</c:formatCode>
                <c:ptCount val="21"/>
                <c:pt idx="0">
                  <c:v>7.0519618239660603E-2</c:v>
                </c:pt>
                <c:pt idx="1">
                  <c:v>5.4082714740190899E-2</c:v>
                </c:pt>
                <c:pt idx="2">
                  <c:v>1.80275715800636E-2</c:v>
                </c:pt>
                <c:pt idx="3">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TA</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0.4</c:v>
                </c:pt>
                <c:pt idx="6">
                  <c:v>0.3</c:v>
                </c:pt>
                <c:pt idx="12">
                  <c:v>0.3</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WLO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JE</c:v>
                </c:pt>
                <c:pt idx="1">
                  <c:v>AIN</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Ref>
          </c:val>
          <c:extLst>
            <c:ext xmlns:c16="http://schemas.microsoft.com/office/drawing/2014/chart" uri="{C3380CC4-5D6E-409C-BE32-E72D297353CC}">
              <c16:uniqueId val="{00000005-FCF0-4202-AE96-9E4E23BB88DC}"/>
            </c:ext>
          </c:extLst>
        </c:ser>
        <c:ser>
          <c:idx val="6"/>
          <c:order val="6"/>
          <c:tx>
            <c:strRef>
              <c:f>'LocRole%MATRIX'!$A$8:$B$8</c:f>
              <c:strCache>
                <c:ptCount val="2"/>
                <c:pt idx="0">
                  <c:v>JE</c:v>
                </c:pt>
                <c:pt idx="1">
                  <c:v>EN</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RN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TA</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WLO</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TE</c:v>
                </c:pt>
                <c:pt idx="1">
                  <c:v>AIN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TE</c:v>
                </c:pt>
                <c:pt idx="1">
                  <c:v>EN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TE</c:v>
                </c:pt>
                <c:pt idx="1">
                  <c:v>RN</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TE</c:v>
                </c:pt>
                <c:pt idx="1">
                  <c:v>TA</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'LocRole%MATRIX'!$A$16:$B$16</c:f>
              <c:strCache>
                <c:ptCount val="2"/>
                <c:pt idx="0">
                  <c:v>TE</c:v>
                </c:pt>
                <c:pt idx="1">
                  <c:v>WLO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'LocRole%MATRIX'!$C$16:$W$16</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18</xdr:row>
      <xdr:rowOff>177800</xdr:rowOff>
    </xdr:from>
    <xdr:to>
      <xdr:col>14</xdr:col>
      <xdr:colOff>695325</xdr:colOff>
      <xdr:row>59</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323850</xdr:colOff>
      <xdr:row>22</xdr:row>
      <xdr:rowOff>38100</xdr:rowOff>
    </xdr:from>
    <xdr:to>
      <xdr:col>21</xdr:col>
      <xdr:colOff>381000</xdr:colOff>
      <xdr:row>36</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17</xdr:col>
      <xdr:colOff>285750</xdr:colOff>
      <xdr:row>22</xdr:row>
      <xdr:rowOff>85725</xdr:rowOff>
    </xdr:from>
    <xdr:to>
      <xdr:col>19</xdr:col>
      <xdr:colOff>219075</xdr:colOff>
      <xdr:row>36</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15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15875</xdr:colOff>
      <xdr:row>26</xdr:row>
      <xdr:rowOff>158750</xdr:rowOff>
    </xdr:from>
    <xdr:to>
      <xdr:col>21</xdr:col>
      <xdr:colOff>73025</xdr:colOff>
      <xdr:row>40</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571500</xdr:colOff>
      <xdr:row>27</xdr:row>
      <xdr:rowOff>38100</xdr:rowOff>
    </xdr:from>
    <xdr:to>
      <xdr:col>18</xdr:col>
      <xdr:colOff>615950</xdr:colOff>
      <xdr:row>41</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16"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6" xr16:uid="{D3CE277C-5BA8-4913-B31A-E544F150B8E3}"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9"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30">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29"/>
    <tableColumn id="3" xr3:uid="{1BBF5F97-7658-4C91-989B-0616236316E1}" name="PM" dataDxfId="28"/>
    <tableColumn id="4" xr3:uid="{31F59E6F-27E4-4E4C-B74B-AF2889907CF6}" name="NIGHT"/>
    <tableColumn id="5" xr3:uid="{2B9E68F2-C8F5-4E3F-ADC7-D76D846D5D09}" name="Total" dataDxfId="27">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26">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25" headerRowBorderDxfId="24">
  <autoFilter ref="N26:R29" xr:uid="{B4C588AB-32D8-4DC8-87E0-D520FCFBA009}"/>
  <tableColumns count="5">
    <tableColumn id="1" xr3:uid="{98879E29-E7E8-41B9-9013-8651997D7A28}" name="Role"/>
    <tableColumn id="2" xr3:uid="{4E4E83ED-0179-4154-B7D6-801AF4ECE171}" name="AM" dataDxfId="23">
      <calculatedColumnFormula>$J$28*O18</calculatedColumnFormula>
    </tableColumn>
    <tableColumn id="3" xr3:uid="{71258650-BD93-40F3-B404-E4E0801444C6}" name="PM" dataDxfId="22">
      <calculatedColumnFormula>$J$28*P18</calculatedColumnFormula>
    </tableColumn>
    <tableColumn id="4" xr3:uid="{F4C27055-CCD9-423B-9206-BAB00C27CF00}" name="NIGHT" dataDxfId="21">
      <calculatedColumnFormula>$J$28*Q18</calculatedColumnFormula>
    </tableColumn>
    <tableColumn id="5" xr3:uid="{ABDC9520-D11A-4454-878D-21C880A915DA}" name="Total" dataDxfId="20">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16" tableType="queryTable" totalsRowShown="0">
  <autoFilter ref="A1:W16" xr:uid="{FBAEFFD0-2F5E-4261-82E3-3DB4CA5FEC13}">
    <filterColumn colId="0">
      <filters>
        <filter val="TE"/>
      </filters>
    </filterColumn>
  </autoFilter>
  <tableColumns count="23">
    <tableColumn id="1" xr3:uid="{2BED8C86-A5A3-4E78-BCA2-6739AB95BA89}" uniqueName="1" name="Location" queryTableFieldId="1" dataDxfId="18"/>
    <tableColumn id="2" xr3:uid="{E8DDFBBA-40A4-4C0E-8925-A11B5904DEA4}" uniqueName="2" name="Role" queryTableFieldId="2" dataDxfId="17"/>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16" tableType="queryTable" totalsRowShown="0">
  <autoFilter ref="A1:W16" xr:uid="{46B4A825-87A2-41BE-96F9-D2872E25BBB5}">
    <filterColumn colId="0">
      <filters>
        <filter val="BD"/>
      </filters>
    </filterColumn>
  </autoFilter>
  <tableColumns count="23">
    <tableColumn id="1" xr3:uid="{DC24F3C7-934F-4A8B-92B3-6FB8FA32F019}" uniqueName="1" name="Location" queryTableFieldId="1" dataDxfId="16"/>
    <tableColumn id="2" xr3:uid="{116E0E0B-3186-4591-A34F-D2C92014D381}" uniqueName="2" name="Role" queryTableFieldId="2" dataDxfId="15"/>
    <tableColumn id="3" xr3:uid="{4A176A5B-90A5-4B43-BA70-DC6251EC3848}" uniqueName="3" name="MondayAM" queryTableFieldId="3"/>
    <tableColumn id="4" xr3:uid="{AC7957B1-7064-480B-AD74-988FD49BC28F}" uniqueName="4" name="MondayPM" queryTableFieldId="4"/>
    <tableColumn id="5" xr3:uid="{E7B8F8AE-C211-4AF1-BE4C-583AA230E7AF}" uniqueName="5" name="MondayNS" queryTableFieldId="5"/>
    <tableColumn id="6" xr3:uid="{297F5E31-91F1-46B4-A218-246C5617BD99}" uniqueName="6" name="TuesdayAM" queryTableFieldId="6"/>
    <tableColumn id="7" xr3:uid="{08731E42-C3B0-422B-AEB6-6D3F41611C7C}" uniqueName="7" name="TuesdayPM" queryTableFieldId="7"/>
    <tableColumn id="8" xr3:uid="{3121F07A-FF18-4A41-8377-BFA6313654E6}" uniqueName="8" name="TuesdayNS" queryTableFieldId="8"/>
    <tableColumn id="9" xr3:uid="{2A94A353-C482-41C4-ADBA-FA3CC686A263}" uniqueName="9" name="WednesdayAM" queryTableFieldId="9"/>
    <tableColumn id="10" xr3:uid="{5FB96329-54AE-464A-9BEE-D6D2E21EE6FC}" uniqueName="10" name="WednesdayPM" queryTableFieldId="10"/>
    <tableColumn id="11" xr3:uid="{F6797FE4-7150-4277-B85C-5EDCC783097B}" uniqueName="11" name="WednesdayNS" queryTableFieldId="11"/>
    <tableColumn id="12" xr3:uid="{32BAA240-F66F-4EC5-861A-1F3267C8C147}" uniqueName="12" name="ThursdayAM" queryTableFieldId="12"/>
    <tableColumn id="13" xr3:uid="{61753864-9A3D-4BE2-A3CA-85A379F8AF05}" uniqueName="13" name="ThursdayPM" queryTableFieldId="13"/>
    <tableColumn id="14" xr3:uid="{5D4EC25B-9187-4535-931F-55C0D9DF8763}" uniqueName="14" name="ThursdayNS" queryTableFieldId="14"/>
    <tableColumn id="15" xr3:uid="{5CFF83F6-2A10-4F16-89A9-E54036C10933}" uniqueName="15" name="FridayAM" queryTableFieldId="15"/>
    <tableColumn id="16" xr3:uid="{E8460AC8-85A0-449F-B444-3EAA95ACE48B}" uniqueName="16" name="FridayPM" queryTableFieldId="16"/>
    <tableColumn id="17" xr3:uid="{FD66B76E-03C6-424F-9B50-F4A3CAE751D2}" uniqueName="17" name="FridayNS" queryTableFieldId="17"/>
    <tableColumn id="18" xr3:uid="{11C1DA74-DA41-4739-B4B4-947DAD9F6938}" uniqueName="18" name="SaturdayAM" queryTableFieldId="18"/>
    <tableColumn id="19" xr3:uid="{EB31AF4C-9C89-4A8C-98D2-9AF238A3306D}" uniqueName="19" name="SaturdayPM" queryTableFieldId="19"/>
    <tableColumn id="20" xr3:uid="{170189DC-67A8-4649-8C0B-7AD7500B29A2}" uniqueName="20" name="SaturdayNS" queryTableFieldId="20"/>
    <tableColumn id="21" xr3:uid="{573BDC45-5C20-4771-B651-D351A6B543B0}" uniqueName="21" name="SundayAM" queryTableFieldId="21"/>
    <tableColumn id="22" xr3:uid="{60699CD4-01D0-4FCA-90C0-FD636BA033B3}" uniqueName="22" name="SundayPM" queryTableFieldId="22"/>
    <tableColumn id="23" xr3:uid="{55271D1C-7D03-486C-8F9F-9CB73A9EB8EC}" uniqueName="23" name="SundayNS" queryTableFieldId="2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16" tableType="queryTable" totalsRowShown="0">
  <autoFilter ref="A1:C16" xr:uid="{04B8022B-E0A8-4F01-87C8-BC10065F14E9}"/>
  <tableColumns count="3">
    <tableColumn id="1" xr3:uid="{BC86CF09-ADAB-48D1-A8D8-0E1875054E62}" uniqueName="1" name="Location" queryTableFieldId="1" dataDxfId="32"/>
    <tableColumn id="2" xr3:uid="{EB19D1C0-9036-4E25-8EFA-8D888C0E27CF}" uniqueName="2" name="Role" queryTableFieldId="2" dataDxfId="31"/>
    <tableColumn id="3" xr3:uid="{3491E885-6D9F-4B43-B44B-46ECC3937B33}" uniqueName="3" name="Hour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14"/>
    <tableColumn id="2" xr3:uid="{DF17C957-67D2-4BF2-9A73-8B972D7D9F0C}" uniqueName="2" name="Template" queryTableFieldId="2" dataDxfId="13"/>
    <tableColumn id="3" xr3:uid="{6EF9AE4A-75AD-43D3-8816-15FB35649100}" uniqueName="3" name="Location" queryTableFieldId="3" dataDxfId="12"/>
    <tableColumn id="4" xr3:uid="{0A17E580-738B-4026-8911-7A5EA9BD5748}" uniqueName="4" name="Department" queryTableFieldId="4" dataDxfId="11"/>
    <tableColumn id="5" xr3:uid="{8602A6B1-4BFA-448F-8B7B-78C43EAD7CA6}" uniqueName="5" name="Role" queryTableFieldId="5" dataDxfId="10"/>
    <tableColumn id="6" xr3:uid="{72E82224-98A0-419F-A4AA-3D001AD450F7}" uniqueName="6" name="Area" queryTableFieldId="6" dataDxfId="9"/>
    <tableColumn id="7" xr3:uid="{D4FF521B-A161-4B34-B164-5D1FAEFC6ED9}" uniqueName="7" name="Employee Code" queryTableFieldId="7"/>
    <tableColumn id="8" xr3:uid="{20913F94-3E1D-4FA0-AFD8-3EE34C035AFC}" uniqueName="8" name="Employee Name" queryTableFieldId="8" dataDxfId="8"/>
    <tableColumn id="9" xr3:uid="{46BA74D4-56E3-4CA0-92AD-93BB4B80F6D4}" uniqueName="9" name="Week No" queryTableFieldId="9"/>
    <tableColumn id="10" xr3:uid="{3B9BA6EB-EB69-41B5-B0C8-E45CFBFE7267}" uniqueName="10" name="Week Day" queryTableFieldId="10" dataDxfId="7"/>
    <tableColumn id="11" xr3:uid="{3150C466-A457-48E4-A69D-52D19E247FEB}" uniqueName="11" name="Start Time" queryTableFieldId="11" dataDxfId="6"/>
    <tableColumn id="12" xr3:uid="{5CCFEEF4-50F5-47F2-96F3-BF35BC9F4665}" uniqueName="12" name="End Time" queryTableFieldId="12" dataDxfId="5"/>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4"/>
    <tableColumn id="18" xr3:uid="{275D0E12-904A-4A4E-BD98-5DDED92C1507}" uniqueName="18" name="Break Length" queryTableFieldId="18"/>
    <tableColumn id="19" xr3:uid="{68C42717-E0EA-4281-90B7-086067193BDD}" uniqueName="19" name="Break Start Time" queryTableFieldId="19" dataDxfId="3"/>
    <tableColumn id="20" xr3:uid="{38DF2AF2-2020-41D2-BE4A-6184F8363BD1}" uniqueName="20" name="Paid Break Length" queryTableFieldId="20"/>
    <tableColumn id="21" xr3:uid="{F2895DBE-4A3C-435F-9718-E29C3A431911}" uniqueName="21" name="Paid Break Start Time" queryTableFieldId="21" dataDxfId="2"/>
    <tableColumn id="22" xr3:uid="{D92E198B-0885-405F-AAC4-B19E9D4BED5C}" uniqueName="22" name="Shift Definition" queryTableFieldId="22" dataDxfId="1"/>
    <tableColumn id="23" xr3:uid="{48EC50E3-33A0-47DF-BCEF-6B8E8426B503}" uniqueName="23" name="Shift Net Length" queryTableFieldId="23"/>
    <tableColumn id="24" xr3:uid="{626EBC35-AB3F-4362-A65B-685A81B65C9A}" uniqueName="24" name="Shift Type" queryTableFieldId="24" dataDxfId="0"/>
    <tableColumn id="25" xr3:uid="{6BE32383-50B7-4681-B669-DD70E5B4CE5B}" uniqueName="25" name="Non Attended" queryTableFieldId="2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6.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7.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election activeCell="B21" sqref="B21:B28"/>
    </sheetView>
  </sheetViews>
  <sheetFormatPr defaultRowHeight="14.4" x14ac:dyDescent="0.55000000000000004"/>
  <cols>
    <col min="10" max="10" width="11.15625" customWidth="1"/>
  </cols>
  <sheetData>
    <row r="1" spans="1:38" x14ac:dyDescent="0.55000000000000004">
      <c r="A1" t="s">
        <v>0</v>
      </c>
    </row>
    <row r="2" spans="1:38" x14ac:dyDescent="0.55000000000000004">
      <c r="M2" t="s">
        <v>1</v>
      </c>
    </row>
    <row r="3" spans="1:38" x14ac:dyDescent="0.55000000000000004">
      <c r="M3" t="s">
        <v>2</v>
      </c>
    </row>
    <row r="4" spans="1:38" x14ac:dyDescent="0.55000000000000004">
      <c r="N4" t="s">
        <v>3</v>
      </c>
      <c r="O4" t="s">
        <v>4</v>
      </c>
      <c r="P4" t="s">
        <v>5</v>
      </c>
      <c r="Q4" t="s">
        <v>6</v>
      </c>
      <c r="R4" t="s">
        <v>7</v>
      </c>
    </row>
    <row r="5" spans="1:38" x14ac:dyDescent="0.55000000000000004">
      <c r="N5" t="s">
        <v>8</v>
      </c>
      <c r="O5">
        <v>4</v>
      </c>
      <c r="P5">
        <v>2</v>
      </c>
      <c r="Q5" s="7">
        <v>1</v>
      </c>
      <c r="R5">
        <f>SUM(Table153[[#This Row],[AM]:[NIGHT]])</f>
        <v>7</v>
      </c>
    </row>
    <row r="6" spans="1:38" x14ac:dyDescent="0.55000000000000004">
      <c r="J6" t="s">
        <v>9</v>
      </c>
      <c r="N6" t="s">
        <v>10</v>
      </c>
      <c r="O6">
        <v>3</v>
      </c>
      <c r="P6">
        <v>2</v>
      </c>
      <c r="Q6" s="7"/>
      <c r="R6">
        <f>SUM(Table153[[#This Row],[AM]:[NIGHT]])</f>
        <v>5</v>
      </c>
    </row>
    <row r="7" spans="1:38" x14ac:dyDescent="0.55000000000000004">
      <c r="J7" s="8" t="s">
        <v>11</v>
      </c>
      <c r="K7">
        <f>1/6</f>
        <v>0.16666666666666666</v>
      </c>
      <c r="N7" t="s">
        <v>12</v>
      </c>
      <c r="O7">
        <v>16</v>
      </c>
      <c r="P7">
        <v>13</v>
      </c>
      <c r="Q7">
        <v>6</v>
      </c>
      <c r="R7">
        <f>SUM(Table153[[#This Row],[AM]:[NIGHT]])</f>
        <v>35</v>
      </c>
    </row>
    <row r="8" spans="1:38" x14ac:dyDescent="0.55000000000000004">
      <c r="N8" t="s">
        <v>13</v>
      </c>
      <c r="R8">
        <f>SUM(Table153[[#This Row],[AM]:[NIGHT]])</f>
        <v>0</v>
      </c>
    </row>
    <row r="9" spans="1:38" x14ac:dyDescent="0.55000000000000004">
      <c r="O9">
        <f>SUBTOTAL(109,Table153[AM])</f>
        <v>23</v>
      </c>
      <c r="P9">
        <f>SUBTOTAL(109,Table153[PM])</f>
        <v>17</v>
      </c>
      <c r="Q9">
        <f>SUBTOTAL(109,Table153[NIGHT])</f>
        <v>7</v>
      </c>
      <c r="R9">
        <f>SUBTOTAL(109,Table153[Total])</f>
        <v>47</v>
      </c>
      <c r="AH9" s="1"/>
      <c r="AI9" s="2"/>
      <c r="AJ9" s="2"/>
      <c r="AK9" s="2"/>
      <c r="AL9" s="2"/>
    </row>
    <row r="10" spans="1:38" x14ac:dyDescent="0.55000000000000004">
      <c r="AH10" s="3"/>
      <c r="AI10" s="2"/>
      <c r="AJ10" s="2"/>
      <c r="AK10" s="2"/>
      <c r="AL10" s="2"/>
    </row>
    <row r="11" spans="1:38" x14ac:dyDescent="0.55000000000000004">
      <c r="AH11" s="1"/>
      <c r="AI11" s="2"/>
      <c r="AJ11" s="2"/>
      <c r="AK11" s="2"/>
      <c r="AL11" s="2"/>
    </row>
    <row r="12" spans="1:38" x14ac:dyDescent="0.55000000000000004">
      <c r="M12" t="s">
        <v>14</v>
      </c>
      <c r="AH12" s="3"/>
      <c r="AI12" s="2"/>
      <c r="AJ12" s="2"/>
      <c r="AK12" s="2"/>
      <c r="AL12" s="2"/>
    </row>
    <row r="13" spans="1:38" x14ac:dyDescent="0.55000000000000004">
      <c r="N13" t="s">
        <v>8</v>
      </c>
      <c r="O13">
        <f t="shared" ref="O13:R14" si="0">O5</f>
        <v>4</v>
      </c>
      <c r="P13">
        <f t="shared" si="0"/>
        <v>2</v>
      </c>
      <c r="Q13">
        <f t="shared" si="0"/>
        <v>1</v>
      </c>
      <c r="R13">
        <f t="shared" si="0"/>
        <v>7</v>
      </c>
    </row>
    <row r="14" spans="1:38" x14ac:dyDescent="0.55000000000000004">
      <c r="N14" t="s">
        <v>15</v>
      </c>
      <c r="O14">
        <f t="shared" si="0"/>
        <v>3</v>
      </c>
      <c r="P14">
        <f t="shared" si="0"/>
        <v>2</v>
      </c>
      <c r="Q14">
        <f t="shared" si="0"/>
        <v>0</v>
      </c>
      <c r="R14">
        <f t="shared" si="0"/>
        <v>5</v>
      </c>
    </row>
    <row r="15" spans="1:38" x14ac:dyDescent="0.55000000000000004">
      <c r="N15" t="s">
        <v>16</v>
      </c>
      <c r="O15">
        <f>O7+O8</f>
        <v>16</v>
      </c>
      <c r="P15">
        <f>P7+P8</f>
        <v>13</v>
      </c>
      <c r="Q15">
        <f>Q7+Q8</f>
        <v>6</v>
      </c>
      <c r="R15">
        <f>R7+R8</f>
        <v>35</v>
      </c>
    </row>
    <row r="16" spans="1:38" x14ac:dyDescent="0.55000000000000004">
      <c r="M16" t="s">
        <v>17</v>
      </c>
    </row>
    <row r="17" spans="1:18" x14ac:dyDescent="0.55000000000000004">
      <c r="N17" t="s">
        <v>8</v>
      </c>
      <c r="O17" s="2">
        <f>O13/$R$13</f>
        <v>0.5714285714285714</v>
      </c>
      <c r="P17" s="2">
        <f>P13/$R$13</f>
        <v>0.2857142857142857</v>
      </c>
      <c r="Q17" s="2">
        <f>Q13/$R$13</f>
        <v>0.14285714285714285</v>
      </c>
    </row>
    <row r="18" spans="1:18" x14ac:dyDescent="0.55000000000000004">
      <c r="N18" t="s">
        <v>15</v>
      </c>
      <c r="O18" s="2">
        <f>O14/$R$14</f>
        <v>0.6</v>
      </c>
      <c r="P18" s="2">
        <f>P14/$R$14</f>
        <v>0.4</v>
      </c>
      <c r="Q18" s="2">
        <f>Q14/$R$14</f>
        <v>0</v>
      </c>
    </row>
    <row r="19" spans="1:18" x14ac:dyDescent="0.55000000000000004">
      <c r="N19" t="s">
        <v>16</v>
      </c>
      <c r="O19" s="2">
        <f>O15/$R$15</f>
        <v>0.45714285714285713</v>
      </c>
      <c r="P19" s="2">
        <f>P15/$R$15</f>
        <v>0.37142857142857144</v>
      </c>
      <c r="Q19" s="2">
        <f>Q15/$R$15</f>
        <v>0.17142857142857143</v>
      </c>
    </row>
    <row r="20" spans="1:18" x14ac:dyDescent="0.55000000000000004">
      <c r="O20" s="2"/>
      <c r="P20" s="2"/>
      <c r="Q20" s="2"/>
    </row>
    <row r="21" spans="1:18" x14ac:dyDescent="0.55000000000000004">
      <c r="B21" t="s">
        <v>18</v>
      </c>
      <c r="H21" t="s">
        <v>18</v>
      </c>
      <c r="M21" t="s">
        <v>19</v>
      </c>
      <c r="O21" s="2"/>
      <c r="P21" s="2"/>
      <c r="Q21" s="2"/>
    </row>
    <row r="22" spans="1:18" x14ac:dyDescent="0.55000000000000004">
      <c r="B22" t="s">
        <v>20</v>
      </c>
      <c r="H22" t="s">
        <v>20</v>
      </c>
      <c r="I22" t="s">
        <v>21</v>
      </c>
      <c r="J22" t="s">
        <v>22</v>
      </c>
      <c r="O22" s="2"/>
      <c r="P22" s="2"/>
      <c r="Q22" s="2"/>
    </row>
    <row r="23" spans="1:18" x14ac:dyDescent="0.55000000000000004">
      <c r="B23" s="9" t="s">
        <v>23</v>
      </c>
      <c r="I23" t="s">
        <v>24</v>
      </c>
      <c r="J23" t="s">
        <v>25</v>
      </c>
    </row>
    <row r="24" spans="1:18" x14ac:dyDescent="0.55000000000000004">
      <c r="B24">
        <v>241108</v>
      </c>
      <c r="I24">
        <v>7.6</v>
      </c>
      <c r="J24">
        <v>7</v>
      </c>
      <c r="N24" t="s">
        <v>26</v>
      </c>
    </row>
    <row r="25" spans="1:18" x14ac:dyDescent="0.55000000000000004">
      <c r="N25" t="s">
        <v>3</v>
      </c>
      <c r="O25" t="s">
        <v>4</v>
      </c>
      <c r="P25" t="s">
        <v>5</v>
      </c>
      <c r="Q25" t="s">
        <v>6</v>
      </c>
      <c r="R25" t="s">
        <v>7</v>
      </c>
    </row>
    <row r="26" spans="1:18" x14ac:dyDescent="0.55000000000000004">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55000000000000004">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55000000000000004">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55000000000000004">
      <c r="J29" s="10">
        <f>SUM(J26:J28)</f>
        <v>47.203007518796994</v>
      </c>
      <c r="N29" t="s">
        <v>13</v>
      </c>
      <c r="O29" s="4"/>
      <c r="P29" s="4"/>
      <c r="R29" s="4"/>
    </row>
    <row r="30" spans="1:18" x14ac:dyDescent="0.55000000000000004">
      <c r="R30" s="4">
        <f>SUM(R26:R29)</f>
        <v>47.203007518796994</v>
      </c>
    </row>
    <row r="32" spans="1:18" x14ac:dyDescent="0.55000000000000004">
      <c r="N32" t="s">
        <v>28</v>
      </c>
    </row>
    <row r="33" spans="14:26" x14ac:dyDescent="0.55000000000000004">
      <c r="N33" t="s">
        <v>8</v>
      </c>
      <c r="O33" s="2">
        <f t="shared" ref="O33:R35" si="1">O13/O26</f>
        <v>0.69451697127937351</v>
      </c>
      <c r="P33" s="2">
        <f t="shared" si="1"/>
        <v>0.69451697127937351</v>
      </c>
      <c r="Q33" s="2">
        <f t="shared" si="1"/>
        <v>1</v>
      </c>
      <c r="R33" s="2">
        <f t="shared" si="1"/>
        <v>0.72620904836193456</v>
      </c>
    </row>
    <row r="34" spans="14:26" x14ac:dyDescent="0.55000000000000004">
      <c r="N34" t="s">
        <v>15</v>
      </c>
      <c r="O34" s="2">
        <f t="shared" si="1"/>
        <v>0.95045259647451164</v>
      </c>
      <c r="P34" s="2">
        <f t="shared" si="1"/>
        <v>0.95045259647451152</v>
      </c>
      <c r="Q34" s="2">
        <f t="shared" si="1"/>
        <v>0</v>
      </c>
      <c r="R34" s="2">
        <f t="shared" si="1"/>
        <v>0.79863891112890306</v>
      </c>
      <c r="W34" s="2"/>
      <c r="X34" s="2"/>
      <c r="Y34" s="2"/>
      <c r="Z34" s="2"/>
    </row>
    <row r="35" spans="14:26" x14ac:dyDescent="0.55000000000000004">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topLeftCell="A4" workbookViewId="0">
      <selection activeCell="X16" sqref="X16"/>
    </sheetView>
  </sheetViews>
  <sheetFormatPr defaultRowHeight="14.4" x14ac:dyDescent="0.55000000000000004"/>
  <cols>
    <col min="10" max="10" width="11.15625" customWidth="1"/>
    <col min="14" max="14" width="15.68359375" customWidth="1"/>
  </cols>
  <sheetData>
    <row r="1" spans="1:38" x14ac:dyDescent="0.55000000000000004">
      <c r="A1" t="s">
        <v>0</v>
      </c>
    </row>
    <row r="2" spans="1:38" x14ac:dyDescent="0.55000000000000004">
      <c r="M2" t="s">
        <v>1</v>
      </c>
    </row>
    <row r="3" spans="1:38" x14ac:dyDescent="0.55000000000000004">
      <c r="M3" t="s">
        <v>2</v>
      </c>
    </row>
    <row r="4" spans="1:38" x14ac:dyDescent="0.55000000000000004">
      <c r="N4" t="s">
        <v>3</v>
      </c>
      <c r="O4" t="s">
        <v>4</v>
      </c>
      <c r="P4" t="s">
        <v>5</v>
      </c>
      <c r="Q4" t="s">
        <v>6</v>
      </c>
      <c r="R4" t="s">
        <v>7</v>
      </c>
    </row>
    <row r="5" spans="1:38" x14ac:dyDescent="0.55000000000000004">
      <c r="N5" t="s">
        <v>8</v>
      </c>
      <c r="O5">
        <v>4</v>
      </c>
      <c r="P5">
        <v>2</v>
      </c>
      <c r="Q5">
        <v>0</v>
      </c>
      <c r="R5">
        <f>SUM(Table15[[#This Row],[AM]:[NIGHT]])</f>
        <v>6</v>
      </c>
      <c r="Y5" s="7"/>
    </row>
    <row r="6" spans="1:38" x14ac:dyDescent="0.55000000000000004">
      <c r="J6" t="s">
        <v>9</v>
      </c>
      <c r="N6" t="s">
        <v>10</v>
      </c>
      <c r="O6">
        <v>3</v>
      </c>
      <c r="P6">
        <v>2</v>
      </c>
      <c r="R6">
        <f>SUM(Table15[[#This Row],[AM]:[NIGHT]])</f>
        <v>5</v>
      </c>
      <c r="Y6" s="7"/>
    </row>
    <row r="7" spans="1:38" x14ac:dyDescent="0.55000000000000004">
      <c r="J7" s="8" t="s">
        <v>11</v>
      </c>
      <c r="K7">
        <f>1/6</f>
        <v>0.16666666666666666</v>
      </c>
      <c r="N7" t="s">
        <v>12</v>
      </c>
      <c r="O7">
        <v>16</v>
      </c>
      <c r="P7">
        <v>13</v>
      </c>
      <c r="Q7">
        <v>6</v>
      </c>
      <c r="R7">
        <f>SUM(Table15[[#This Row],[AM]:[NIGHT]])</f>
        <v>35</v>
      </c>
    </row>
    <row r="8" spans="1:38" x14ac:dyDescent="0.55000000000000004">
      <c r="N8" t="s">
        <v>13</v>
      </c>
      <c r="R8">
        <f>SUM(Table15[[#This Row],[AM]:[NIGHT]])</f>
        <v>0</v>
      </c>
    </row>
    <row r="9" spans="1:38" x14ac:dyDescent="0.55000000000000004">
      <c r="O9">
        <f>SUBTOTAL(109,Table15[AM])</f>
        <v>23</v>
      </c>
      <c r="P9">
        <f>SUBTOTAL(109,Table15[PM])</f>
        <v>17</v>
      </c>
      <c r="Q9">
        <f>SUBTOTAL(109,Table15[NIGHT])</f>
        <v>6</v>
      </c>
      <c r="R9">
        <f>SUBTOTAL(109,Table15[Total])</f>
        <v>46</v>
      </c>
      <c r="AH9" s="1"/>
      <c r="AI9" s="2"/>
      <c r="AJ9" s="2"/>
      <c r="AK9" s="2"/>
      <c r="AL9" s="2"/>
    </row>
    <row r="10" spans="1:38" x14ac:dyDescent="0.55000000000000004">
      <c r="AH10" s="3"/>
      <c r="AI10" s="2"/>
      <c r="AJ10" s="2"/>
      <c r="AK10" s="2"/>
      <c r="AL10" s="2"/>
    </row>
    <row r="11" spans="1:38" x14ac:dyDescent="0.55000000000000004">
      <c r="AH11" s="1"/>
      <c r="AI11" s="2"/>
      <c r="AJ11" s="2"/>
      <c r="AK11" s="2"/>
      <c r="AL11" s="2"/>
    </row>
    <row r="12" spans="1:38" x14ac:dyDescent="0.55000000000000004">
      <c r="M12" t="s">
        <v>14</v>
      </c>
      <c r="AH12" s="3"/>
      <c r="AI12" s="2"/>
      <c r="AJ12" s="2"/>
      <c r="AK12" s="2"/>
      <c r="AL12" s="2"/>
    </row>
    <row r="13" spans="1:38" x14ac:dyDescent="0.55000000000000004">
      <c r="N13" t="s">
        <v>8</v>
      </c>
      <c r="O13">
        <f t="shared" ref="O13:R14" si="0">O5</f>
        <v>4</v>
      </c>
      <c r="P13">
        <f t="shared" si="0"/>
        <v>2</v>
      </c>
      <c r="Q13">
        <f t="shared" si="0"/>
        <v>0</v>
      </c>
      <c r="R13">
        <f t="shared" si="0"/>
        <v>6</v>
      </c>
    </row>
    <row r="14" spans="1:38" x14ac:dyDescent="0.55000000000000004">
      <c r="N14" t="s">
        <v>15</v>
      </c>
      <c r="O14">
        <f t="shared" si="0"/>
        <v>3</v>
      </c>
      <c r="P14">
        <f t="shared" si="0"/>
        <v>2</v>
      </c>
      <c r="Q14">
        <f t="shared" si="0"/>
        <v>0</v>
      </c>
      <c r="R14">
        <f t="shared" si="0"/>
        <v>5</v>
      </c>
    </row>
    <row r="15" spans="1:38" x14ac:dyDescent="0.55000000000000004">
      <c r="N15" t="s">
        <v>16</v>
      </c>
      <c r="O15">
        <f>O7+O8</f>
        <v>16</v>
      </c>
      <c r="P15">
        <f>P7+P8</f>
        <v>13</v>
      </c>
      <c r="Q15">
        <f>Q7+Q8</f>
        <v>6</v>
      </c>
      <c r="R15">
        <f>R7+R8</f>
        <v>35</v>
      </c>
    </row>
    <row r="16" spans="1:38" x14ac:dyDescent="0.55000000000000004">
      <c r="M16" t="s">
        <v>17</v>
      </c>
    </row>
    <row r="17" spans="1:26" x14ac:dyDescent="0.55000000000000004">
      <c r="N17" t="s">
        <v>8</v>
      </c>
      <c r="O17" s="2">
        <f>O13/$R$13</f>
        <v>0.66666666666666663</v>
      </c>
      <c r="P17" s="2">
        <f>P13/$R$13</f>
        <v>0.33333333333333331</v>
      </c>
      <c r="Q17" s="2">
        <f>Q13/$R$13</f>
        <v>0</v>
      </c>
      <c r="W17" s="2"/>
      <c r="X17" s="2"/>
      <c r="Y17" s="2"/>
    </row>
    <row r="18" spans="1:26" x14ac:dyDescent="0.55000000000000004">
      <c r="N18" t="s">
        <v>15</v>
      </c>
      <c r="O18" s="2">
        <f>O14/$R$14</f>
        <v>0.6</v>
      </c>
      <c r="P18" s="2">
        <f>P14/$R$14</f>
        <v>0.4</v>
      </c>
      <c r="Q18" s="2">
        <f>Q14/$R$14</f>
        <v>0</v>
      </c>
      <c r="W18" s="2"/>
      <c r="X18" s="2"/>
      <c r="Y18" s="2"/>
    </row>
    <row r="19" spans="1:26" x14ac:dyDescent="0.55000000000000004">
      <c r="N19" t="s">
        <v>16</v>
      </c>
      <c r="O19" s="2">
        <f>O15/$R$15</f>
        <v>0.45714285714285713</v>
      </c>
      <c r="P19" s="2">
        <f>P15/$R$15</f>
        <v>0.37142857142857144</v>
      </c>
      <c r="Q19" s="2">
        <f>Q15/$R$15</f>
        <v>0.17142857142857143</v>
      </c>
      <c r="W19" s="2"/>
      <c r="X19" s="2"/>
      <c r="Y19" s="2"/>
    </row>
    <row r="20" spans="1:26" x14ac:dyDescent="0.55000000000000004">
      <c r="O20" s="2"/>
      <c r="P20" s="2"/>
      <c r="Q20" s="2"/>
      <c r="W20" s="2"/>
      <c r="X20" s="2"/>
      <c r="Y20" s="2"/>
    </row>
    <row r="21" spans="1:26" x14ac:dyDescent="0.55000000000000004">
      <c r="B21" t="s">
        <v>18</v>
      </c>
      <c r="H21" t="s">
        <v>18</v>
      </c>
      <c r="M21" t="s">
        <v>19</v>
      </c>
      <c r="O21" s="2"/>
      <c r="P21" s="2"/>
      <c r="Q21" s="2"/>
      <c r="W21" s="2"/>
      <c r="X21" s="2"/>
      <c r="Y21" s="2"/>
    </row>
    <row r="22" spans="1:26" x14ac:dyDescent="0.55000000000000004">
      <c r="B22" t="s">
        <v>20</v>
      </c>
      <c r="H22" t="s">
        <v>20</v>
      </c>
      <c r="I22" t="s">
        <v>21</v>
      </c>
      <c r="J22" t="s">
        <v>22</v>
      </c>
      <c r="O22" s="2"/>
      <c r="P22" s="2"/>
      <c r="Q22" s="2"/>
      <c r="W22" s="2"/>
      <c r="X22" s="2"/>
      <c r="Y22" s="2"/>
    </row>
    <row r="23" spans="1:26" x14ac:dyDescent="0.55000000000000004">
      <c r="B23" s="9" t="s">
        <v>23</v>
      </c>
      <c r="I23" t="s">
        <v>24</v>
      </c>
      <c r="J23" t="s">
        <v>25</v>
      </c>
    </row>
    <row r="24" spans="1:26" x14ac:dyDescent="0.55000000000000004">
      <c r="B24">
        <v>241108</v>
      </c>
      <c r="I24">
        <v>7.6</v>
      </c>
      <c r="J24">
        <v>7</v>
      </c>
    </row>
    <row r="25" spans="1:26" x14ac:dyDescent="0.55000000000000004">
      <c r="N25" t="s">
        <v>26</v>
      </c>
    </row>
    <row r="26" spans="1:26" x14ac:dyDescent="0.55000000000000004">
      <c r="N26" s="11" t="s">
        <v>3</v>
      </c>
      <c r="O26" s="12" t="s">
        <v>4</v>
      </c>
      <c r="P26" s="12" t="s">
        <v>5</v>
      </c>
      <c r="Q26" s="12" t="s">
        <v>6</v>
      </c>
      <c r="R26" s="13" t="s">
        <v>7</v>
      </c>
    </row>
    <row r="27" spans="1:26" x14ac:dyDescent="0.55000000000000004">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55000000000000004">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55000000000000004">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55000000000000004">
      <c r="R30" s="16">
        <f>SUM(R26:R29)</f>
        <v>47.203007518796994</v>
      </c>
      <c r="Z30" s="4"/>
    </row>
    <row r="31" spans="1:26" x14ac:dyDescent="0.55000000000000004">
      <c r="J31" s="4">
        <f>SUM(J27:J30)</f>
        <v>47.203007518796994</v>
      </c>
    </row>
    <row r="32" spans="1:26" x14ac:dyDescent="0.55000000000000004">
      <c r="N32" t="s">
        <v>28</v>
      </c>
    </row>
    <row r="33" spans="14:26" x14ac:dyDescent="0.55000000000000004">
      <c r="N33" t="s">
        <v>8</v>
      </c>
      <c r="O33" s="2">
        <f>O13/O27</f>
        <v>0.62246489859594389</v>
      </c>
      <c r="P33" s="2">
        <f>P13/P27</f>
        <v>0.62246489859594389</v>
      </c>
      <c r="Q33" s="2"/>
      <c r="R33" s="2">
        <f>R13/R27</f>
        <v>0.62246489859594389</v>
      </c>
      <c r="W33" s="2"/>
      <c r="X33" s="2"/>
      <c r="Y33" s="2"/>
      <c r="Z33" s="2"/>
    </row>
    <row r="34" spans="14:26" x14ac:dyDescent="0.55000000000000004">
      <c r="N34" t="s">
        <v>15</v>
      </c>
      <c r="O34" s="2">
        <f>O14/O28</f>
        <v>0.79863891112890306</v>
      </c>
      <c r="P34" s="2">
        <f>P14/P28</f>
        <v>0.79863891112890306</v>
      </c>
      <c r="Q34" s="2"/>
      <c r="R34" s="2">
        <f>R14/R28</f>
        <v>0.79863891112890306</v>
      </c>
      <c r="W34" s="2"/>
      <c r="X34" s="2"/>
      <c r="Y34" s="2"/>
      <c r="Z34" s="2"/>
    </row>
    <row r="35" spans="14:26" x14ac:dyDescent="0.55000000000000004">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election activeCell="E36" sqref="E36"/>
    </sheetView>
  </sheetViews>
  <sheetFormatPr defaultRowHeight="14.4" x14ac:dyDescent="0.55000000000000004"/>
  <sheetData>
    <row r="1" spans="1:2" x14ac:dyDescent="0.55000000000000004">
      <c r="A1" t="s">
        <v>29</v>
      </c>
      <c r="B1" t="s">
        <v>30</v>
      </c>
    </row>
    <row r="2" spans="1:2" x14ac:dyDescent="0.55000000000000004">
      <c r="A2" t="s">
        <v>4</v>
      </c>
      <c r="B2" s="17">
        <v>0.5</v>
      </c>
    </row>
    <row r="3" spans="1:2" x14ac:dyDescent="0.55000000000000004">
      <c r="A3" t="s">
        <v>5</v>
      </c>
      <c r="B3" s="17">
        <v>0.83333333333333337</v>
      </c>
    </row>
    <row r="4" spans="1:2" x14ac:dyDescent="0.55000000000000004">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16"/>
  <sheetViews>
    <sheetView workbookViewId="0">
      <selection activeCell="U54" sqref="U54"/>
    </sheetView>
  </sheetViews>
  <sheetFormatPr defaultRowHeight="14.4" x14ac:dyDescent="0.55000000000000004"/>
  <cols>
    <col min="1" max="1" width="10.41796875" bestFit="1" customWidth="1"/>
    <col min="2" max="2" width="7.15625" bestFit="1" customWidth="1"/>
    <col min="3" max="4" width="13.15625" bestFit="1" customWidth="1"/>
    <col min="5" max="5" width="12.578125" bestFit="1" customWidth="1"/>
    <col min="6" max="7" width="13.15625" bestFit="1" customWidth="1"/>
    <col min="8" max="8" width="12.578125" bestFit="1" customWidth="1"/>
    <col min="9" max="10" width="16.41796875" bestFit="1" customWidth="1"/>
    <col min="11" max="11" width="15.83984375" bestFit="1" customWidth="1"/>
    <col min="12" max="12" width="13.83984375" bestFit="1" customWidth="1"/>
    <col min="13" max="13" width="13.68359375" bestFit="1" customWidth="1"/>
    <col min="14" max="14" width="13.15625" bestFit="1" customWidth="1"/>
    <col min="15" max="15" width="11.41796875" bestFit="1" customWidth="1"/>
    <col min="16" max="16" width="11.26171875" bestFit="1" customWidth="1"/>
    <col min="17" max="17" width="10.68359375" bestFit="1" customWidth="1"/>
    <col min="18" max="18" width="13.578125" bestFit="1" customWidth="1"/>
    <col min="19" max="19" width="13.41796875" bestFit="1" customWidth="1"/>
    <col min="20" max="20" width="12.83984375" bestFit="1" customWidth="1"/>
    <col min="21" max="21" width="12.41796875" bestFit="1" customWidth="1"/>
    <col min="22" max="22" width="12.26171875" bestFit="1" customWidth="1"/>
    <col min="23" max="23" width="11.68359375" bestFit="1" customWidth="1"/>
  </cols>
  <sheetData>
    <row r="1" spans="1:23" x14ac:dyDescent="0.55000000000000004">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55000000000000004">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55000000000000004">
      <c r="A3" t="s">
        <v>54</v>
      </c>
      <c r="B3" t="s">
        <v>13</v>
      </c>
      <c r="C3">
        <v>34</v>
      </c>
      <c r="D3">
        <v>32</v>
      </c>
      <c r="F3">
        <v>34</v>
      </c>
      <c r="G3">
        <v>32.25</v>
      </c>
      <c r="I3">
        <v>34</v>
      </c>
      <c r="J3">
        <v>32</v>
      </c>
      <c r="L3">
        <v>34</v>
      </c>
      <c r="M3">
        <v>32</v>
      </c>
      <c r="O3">
        <v>34</v>
      </c>
      <c r="P3">
        <v>32</v>
      </c>
      <c r="R3">
        <v>34</v>
      </c>
      <c r="S3">
        <v>32.25</v>
      </c>
      <c r="U3">
        <v>34</v>
      </c>
      <c r="V3">
        <v>32</v>
      </c>
    </row>
    <row r="4" spans="1:23" hidden="1" x14ac:dyDescent="0.55000000000000004">
      <c r="A4" t="s">
        <v>54</v>
      </c>
      <c r="B4" t="s">
        <v>8</v>
      </c>
      <c r="C4">
        <v>33.25</v>
      </c>
      <c r="D4">
        <v>25.5</v>
      </c>
      <c r="E4">
        <v>8.5</v>
      </c>
      <c r="F4">
        <v>45.75</v>
      </c>
      <c r="G4">
        <v>25.5</v>
      </c>
      <c r="H4">
        <v>8.5</v>
      </c>
      <c r="I4">
        <v>37.25</v>
      </c>
      <c r="J4">
        <v>23.25</v>
      </c>
      <c r="K4">
        <v>8.5</v>
      </c>
      <c r="L4">
        <v>41.75</v>
      </c>
      <c r="M4">
        <v>26</v>
      </c>
      <c r="N4">
        <v>8.5</v>
      </c>
      <c r="O4">
        <v>33.25</v>
      </c>
      <c r="P4">
        <v>17</v>
      </c>
      <c r="Q4">
        <v>8.5</v>
      </c>
      <c r="R4">
        <v>31.75</v>
      </c>
      <c r="S4">
        <v>21.25</v>
      </c>
      <c r="T4">
        <v>8.5</v>
      </c>
      <c r="U4">
        <v>29.25</v>
      </c>
      <c r="V4">
        <v>21.25</v>
      </c>
      <c r="W4">
        <v>8.5</v>
      </c>
    </row>
    <row r="5" spans="1:23" hidden="1" x14ac:dyDescent="0.55000000000000004">
      <c r="A5" t="s">
        <v>54</v>
      </c>
      <c r="B5" t="s">
        <v>55</v>
      </c>
      <c r="C5">
        <v>8</v>
      </c>
      <c r="I5">
        <v>6</v>
      </c>
      <c r="O5">
        <v>6</v>
      </c>
    </row>
    <row r="6" spans="1:23" hidden="1" x14ac:dyDescent="0.55000000000000004">
      <c r="A6" t="s">
        <v>54</v>
      </c>
      <c r="B6" t="s">
        <v>56</v>
      </c>
      <c r="C6">
        <v>21.5</v>
      </c>
      <c r="F6">
        <v>14.5</v>
      </c>
      <c r="I6">
        <v>21</v>
      </c>
      <c r="L6">
        <v>14</v>
      </c>
      <c r="O6">
        <v>21</v>
      </c>
      <c r="R6">
        <v>7.5</v>
      </c>
      <c r="U6">
        <v>7.5</v>
      </c>
    </row>
    <row r="7" spans="1:23" hidden="1" x14ac:dyDescent="0.55000000000000004">
      <c r="A7" t="s">
        <v>57</v>
      </c>
      <c r="B7" t="s">
        <v>16</v>
      </c>
      <c r="C7">
        <v>40.5</v>
      </c>
      <c r="D7">
        <v>29</v>
      </c>
      <c r="E7">
        <v>16</v>
      </c>
      <c r="F7">
        <v>40.5</v>
      </c>
      <c r="G7">
        <v>29</v>
      </c>
      <c r="H7">
        <v>16</v>
      </c>
      <c r="I7">
        <v>40.5</v>
      </c>
      <c r="J7">
        <v>29</v>
      </c>
      <c r="K7">
        <v>16</v>
      </c>
      <c r="L7">
        <v>40.5</v>
      </c>
      <c r="M7">
        <v>29</v>
      </c>
      <c r="N7">
        <v>16</v>
      </c>
      <c r="O7">
        <v>40.5</v>
      </c>
      <c r="P7">
        <v>29</v>
      </c>
      <c r="Q7">
        <v>16</v>
      </c>
      <c r="R7">
        <v>40.5</v>
      </c>
      <c r="S7">
        <v>29</v>
      </c>
      <c r="T7">
        <v>15.5</v>
      </c>
      <c r="U7">
        <v>40.5</v>
      </c>
      <c r="V7">
        <v>29</v>
      </c>
      <c r="W7">
        <v>16</v>
      </c>
    </row>
    <row r="8" spans="1:23" hidden="1" x14ac:dyDescent="0.55000000000000004">
      <c r="A8" t="s">
        <v>57</v>
      </c>
      <c r="B8" t="s">
        <v>13</v>
      </c>
      <c r="C8">
        <v>8.5</v>
      </c>
      <c r="D8">
        <v>6.5</v>
      </c>
      <c r="F8">
        <v>8.5</v>
      </c>
      <c r="G8">
        <v>6.5</v>
      </c>
      <c r="I8">
        <v>7.5</v>
      </c>
      <c r="J8">
        <v>8</v>
      </c>
      <c r="L8">
        <v>8.5</v>
      </c>
      <c r="M8">
        <v>6.5</v>
      </c>
      <c r="O8">
        <v>8.5</v>
      </c>
      <c r="P8">
        <v>6.5</v>
      </c>
      <c r="R8">
        <v>8.5</v>
      </c>
      <c r="S8">
        <v>6.5</v>
      </c>
      <c r="U8">
        <v>8.5</v>
      </c>
      <c r="V8">
        <v>6.5</v>
      </c>
    </row>
    <row r="9" spans="1:23" hidden="1" x14ac:dyDescent="0.55000000000000004">
      <c r="A9" t="s">
        <v>57</v>
      </c>
      <c r="B9" t="s">
        <v>8</v>
      </c>
      <c r="C9">
        <v>8.75</v>
      </c>
      <c r="D9">
        <v>8.75</v>
      </c>
      <c r="E9">
        <v>8.5</v>
      </c>
      <c r="F9">
        <v>8.5</v>
      </c>
      <c r="G9">
        <v>8.5</v>
      </c>
      <c r="H9">
        <v>8.5</v>
      </c>
      <c r="I9">
        <v>8.75</v>
      </c>
      <c r="J9">
        <v>8.5</v>
      </c>
      <c r="K9">
        <v>8.5</v>
      </c>
      <c r="L9">
        <v>8.75</v>
      </c>
      <c r="M9">
        <v>8.5</v>
      </c>
      <c r="N9">
        <v>8.5</v>
      </c>
      <c r="O9">
        <v>9</v>
      </c>
      <c r="P9">
        <v>8.5</v>
      </c>
      <c r="Q9">
        <v>8.5</v>
      </c>
      <c r="R9">
        <v>9</v>
      </c>
      <c r="S9">
        <v>8.5</v>
      </c>
      <c r="T9">
        <v>8</v>
      </c>
      <c r="U9">
        <v>9</v>
      </c>
      <c r="V9">
        <v>8.5</v>
      </c>
      <c r="W9">
        <v>8.5</v>
      </c>
    </row>
    <row r="10" spans="1:23" hidden="1" x14ac:dyDescent="0.55000000000000004">
      <c r="A10" t="s">
        <v>57</v>
      </c>
      <c r="B10" t="s">
        <v>55</v>
      </c>
      <c r="I10">
        <v>6.5</v>
      </c>
      <c r="L10">
        <v>6.5</v>
      </c>
    </row>
    <row r="11" spans="1:23" hidden="1" x14ac:dyDescent="0.55000000000000004">
      <c r="A11" t="s">
        <v>57</v>
      </c>
      <c r="B11" t="s">
        <v>56</v>
      </c>
      <c r="C11">
        <v>8.5</v>
      </c>
      <c r="F11">
        <v>8.5</v>
      </c>
      <c r="I11">
        <v>8.5</v>
      </c>
      <c r="L11">
        <v>8.5</v>
      </c>
      <c r="O11">
        <v>8.5</v>
      </c>
      <c r="R11">
        <v>8.5</v>
      </c>
      <c r="U11">
        <v>8.5</v>
      </c>
    </row>
    <row r="12" spans="1:23" x14ac:dyDescent="0.55000000000000004">
      <c r="A12" t="s">
        <v>58</v>
      </c>
      <c r="B12" t="s">
        <v>16</v>
      </c>
      <c r="C12">
        <v>92</v>
      </c>
      <c r="D12">
        <v>66</v>
      </c>
      <c r="E12">
        <v>34</v>
      </c>
      <c r="F12">
        <v>87.75</v>
      </c>
      <c r="G12">
        <v>65.75</v>
      </c>
      <c r="H12">
        <v>34</v>
      </c>
      <c r="I12">
        <v>83.5</v>
      </c>
      <c r="J12">
        <v>59.5</v>
      </c>
      <c r="K12">
        <v>34</v>
      </c>
      <c r="L12">
        <v>92</v>
      </c>
      <c r="M12">
        <v>66</v>
      </c>
      <c r="N12">
        <v>34</v>
      </c>
      <c r="O12">
        <v>83.5</v>
      </c>
      <c r="P12">
        <v>66</v>
      </c>
      <c r="Q12">
        <v>34</v>
      </c>
      <c r="R12">
        <v>87.75</v>
      </c>
      <c r="S12">
        <v>66</v>
      </c>
      <c r="T12">
        <v>33</v>
      </c>
      <c r="U12">
        <v>88.25</v>
      </c>
      <c r="V12">
        <v>66</v>
      </c>
      <c r="W12">
        <v>34</v>
      </c>
    </row>
    <row r="13" spans="1:23" x14ac:dyDescent="0.55000000000000004">
      <c r="A13" t="s">
        <v>58</v>
      </c>
      <c r="B13" t="s">
        <v>13</v>
      </c>
      <c r="C13">
        <v>8.5</v>
      </c>
      <c r="F13">
        <v>12.75</v>
      </c>
      <c r="I13">
        <v>25.5</v>
      </c>
      <c r="J13">
        <v>6.5</v>
      </c>
      <c r="L13">
        <v>25.5</v>
      </c>
      <c r="O13">
        <v>17</v>
      </c>
      <c r="R13">
        <v>8.5</v>
      </c>
      <c r="U13">
        <v>6.25</v>
      </c>
    </row>
    <row r="14" spans="1:23" x14ac:dyDescent="0.55000000000000004">
      <c r="A14" t="s">
        <v>58</v>
      </c>
      <c r="B14" t="s">
        <v>8</v>
      </c>
      <c r="C14">
        <v>7.5</v>
      </c>
      <c r="D14">
        <v>17</v>
      </c>
      <c r="E14">
        <v>18.5</v>
      </c>
      <c r="F14">
        <v>8.5</v>
      </c>
      <c r="G14">
        <v>17</v>
      </c>
      <c r="H14">
        <v>18.5</v>
      </c>
      <c r="I14">
        <v>17</v>
      </c>
      <c r="J14">
        <v>16</v>
      </c>
      <c r="K14">
        <v>18.5</v>
      </c>
      <c r="L14">
        <v>12.75</v>
      </c>
      <c r="M14">
        <v>15</v>
      </c>
      <c r="N14">
        <v>18.5</v>
      </c>
      <c r="O14">
        <v>33</v>
      </c>
      <c r="P14">
        <v>16</v>
      </c>
      <c r="Q14">
        <v>18.5</v>
      </c>
      <c r="R14">
        <v>16</v>
      </c>
      <c r="S14">
        <v>16</v>
      </c>
      <c r="T14">
        <v>18.5</v>
      </c>
      <c r="U14">
        <v>17</v>
      </c>
      <c r="V14">
        <v>17</v>
      </c>
      <c r="W14">
        <v>18.5</v>
      </c>
    </row>
    <row r="15" spans="1:23" x14ac:dyDescent="0.55000000000000004">
      <c r="A15" t="s">
        <v>58</v>
      </c>
      <c r="B15" t="s">
        <v>55</v>
      </c>
      <c r="C15">
        <v>8.5</v>
      </c>
      <c r="F15">
        <v>8.5</v>
      </c>
    </row>
    <row r="16" spans="1:23" x14ac:dyDescent="0.55000000000000004">
      <c r="A16" t="s">
        <v>58</v>
      </c>
      <c r="B16" t="s">
        <v>56</v>
      </c>
      <c r="C16">
        <v>24.5</v>
      </c>
      <c r="F16">
        <v>37</v>
      </c>
      <c r="I16">
        <v>33.5</v>
      </c>
      <c r="L16">
        <v>37.5</v>
      </c>
      <c r="O16">
        <v>32.5</v>
      </c>
      <c r="V16">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W59"/>
  <sheetViews>
    <sheetView tabSelected="1" topLeftCell="A35" workbookViewId="0">
      <selection activeCell="I59" sqref="I59"/>
    </sheetView>
  </sheetViews>
  <sheetFormatPr defaultRowHeight="14.4" x14ac:dyDescent="0.55000000000000004"/>
  <cols>
    <col min="1" max="1" width="10.41796875" bestFit="1" customWidth="1"/>
    <col min="2" max="2" width="7.15625" bestFit="1" customWidth="1"/>
    <col min="3" max="4" width="13.15625" style="18" bestFit="1" customWidth="1"/>
    <col min="5" max="5" width="12.578125" style="18" bestFit="1" customWidth="1"/>
    <col min="6" max="7" width="13.15625" style="18" bestFit="1" customWidth="1"/>
    <col min="8" max="8" width="12.578125" style="18" bestFit="1" customWidth="1"/>
    <col min="9" max="10" width="16.41796875" style="18" bestFit="1" customWidth="1"/>
    <col min="11" max="11" width="15.83984375" style="18" bestFit="1" customWidth="1"/>
    <col min="12" max="12" width="13.83984375" style="18" bestFit="1" customWidth="1"/>
    <col min="13" max="13" width="13.68359375" style="18" bestFit="1" customWidth="1"/>
    <col min="14" max="14" width="13.15625" style="18" bestFit="1" customWidth="1"/>
    <col min="15" max="17" width="11.83984375" style="18" bestFit="1" customWidth="1"/>
    <col min="18" max="18" width="13.578125" style="18" bestFit="1" customWidth="1"/>
    <col min="19" max="19" width="13.41796875" style="18" bestFit="1" customWidth="1"/>
    <col min="20" max="20" width="12.83984375" style="18" bestFit="1" customWidth="1"/>
    <col min="21" max="21" width="12.41796875" style="18" bestFit="1" customWidth="1"/>
    <col min="22" max="22" width="12.26171875" style="18" bestFit="1" customWidth="1"/>
    <col min="23" max="23" width="11.83984375" style="18" bestFit="1" customWidth="1"/>
  </cols>
  <sheetData>
    <row r="1" spans="1:23" x14ac:dyDescent="0.55000000000000004">
      <c r="A1" t="s">
        <v>32</v>
      </c>
      <c r="B1" t="s">
        <v>3</v>
      </c>
      <c r="C1" s="18" t="s">
        <v>33</v>
      </c>
      <c r="D1" s="18" t="s">
        <v>34</v>
      </c>
      <c r="E1" s="18" t="s">
        <v>35</v>
      </c>
      <c r="F1" s="18" t="s">
        <v>36</v>
      </c>
      <c r="G1" s="18" t="s">
        <v>37</v>
      </c>
      <c r="H1" s="18" t="s">
        <v>38</v>
      </c>
      <c r="I1" s="18" t="s">
        <v>39</v>
      </c>
      <c r="J1" s="18" t="s">
        <v>40</v>
      </c>
      <c r="K1" s="18" t="s">
        <v>41</v>
      </c>
      <c r="L1" s="18" t="s">
        <v>42</v>
      </c>
      <c r="M1" s="18" t="s">
        <v>43</v>
      </c>
      <c r="N1" s="18" t="s">
        <v>44</v>
      </c>
      <c r="O1" s="18" t="s">
        <v>45</v>
      </c>
      <c r="P1" s="18" t="s">
        <v>46</v>
      </c>
      <c r="Q1" s="18" t="s">
        <v>47</v>
      </c>
      <c r="R1" s="18" t="s">
        <v>48</v>
      </c>
      <c r="S1" s="18" t="s">
        <v>49</v>
      </c>
      <c r="T1" s="18" t="s">
        <v>50</v>
      </c>
      <c r="U1" s="18" t="s">
        <v>51</v>
      </c>
      <c r="V1" s="18" t="s">
        <v>52</v>
      </c>
      <c r="W1" s="18" t="s">
        <v>53</v>
      </c>
    </row>
    <row r="2" spans="1:23" x14ac:dyDescent="0.55000000000000004">
      <c r="A2" t="s">
        <v>54</v>
      </c>
      <c r="B2" t="s">
        <v>16</v>
      </c>
      <c r="C2" s="18">
        <v>6.3211125158027806E-2</v>
      </c>
      <c r="D2" s="18">
        <v>5.8435173479421301E-2</v>
      </c>
      <c r="E2" s="18">
        <v>2.2475066722854299E-2</v>
      </c>
      <c r="F2" s="18">
        <v>6.5880039331366796E-2</v>
      </c>
      <c r="G2" s="18">
        <v>5.8435173479421301E-2</v>
      </c>
      <c r="H2" s="18">
        <v>2.2475066722854299E-2</v>
      </c>
      <c r="I2" s="18">
        <v>6.7003792667509499E-2</v>
      </c>
      <c r="J2" s="18">
        <v>5.7592358477314198E-2</v>
      </c>
      <c r="K2" s="18">
        <v>2.2475066722854299E-2</v>
      </c>
      <c r="L2" s="18">
        <v>6.0261272650653203E-2</v>
      </c>
      <c r="M2" s="18">
        <v>5.8435173479421301E-2</v>
      </c>
      <c r="N2" s="18">
        <v>2.2475066722854299E-2</v>
      </c>
      <c r="O2" s="18">
        <v>5.8435173479421301E-2</v>
      </c>
      <c r="P2" s="18">
        <v>5.8716111813456998E-2</v>
      </c>
      <c r="Q2" s="18">
        <v>2.2475066722854299E-2</v>
      </c>
      <c r="R2" s="18">
        <v>5.8716111813456998E-2</v>
      </c>
      <c r="S2" s="18">
        <v>5.8435173479421301E-2</v>
      </c>
      <c r="T2" s="18">
        <v>2.2475066722854299E-2</v>
      </c>
      <c r="U2" s="18">
        <v>5.8435173479421301E-2</v>
      </c>
      <c r="V2" s="18">
        <v>6.0682680151706699E-2</v>
      </c>
      <c r="W2" s="18">
        <v>2.2475066722854299E-2</v>
      </c>
    </row>
    <row r="3" spans="1:23" x14ac:dyDescent="0.55000000000000004">
      <c r="A3" t="s">
        <v>54</v>
      </c>
      <c r="B3" t="s">
        <v>13</v>
      </c>
      <c r="C3" s="18">
        <v>7.3513513513513498E-2</v>
      </c>
      <c r="D3" s="18">
        <v>6.9189189189189204E-2</v>
      </c>
      <c r="F3" s="18">
        <v>7.3513513513513498E-2</v>
      </c>
      <c r="G3" s="18">
        <v>6.9729729729729698E-2</v>
      </c>
      <c r="I3" s="18">
        <v>7.3513513513513498E-2</v>
      </c>
      <c r="J3" s="18">
        <v>6.9189189189189204E-2</v>
      </c>
      <c r="L3" s="18">
        <v>7.3513513513513498E-2</v>
      </c>
      <c r="M3" s="18">
        <v>6.9189189189189204E-2</v>
      </c>
      <c r="O3" s="18">
        <v>7.3513513513513498E-2</v>
      </c>
      <c r="P3" s="18">
        <v>6.9189189189189204E-2</v>
      </c>
      <c r="R3" s="18">
        <v>7.3513513513513498E-2</v>
      </c>
      <c r="S3" s="18">
        <v>6.9729729729729698E-2</v>
      </c>
      <c r="U3" s="18">
        <v>7.3513513513513498E-2</v>
      </c>
      <c r="V3" s="18">
        <v>6.9189189189189204E-2</v>
      </c>
    </row>
    <row r="4" spans="1:23" x14ac:dyDescent="0.55000000000000004">
      <c r="A4" t="s">
        <v>54</v>
      </c>
      <c r="B4" t="s">
        <v>8</v>
      </c>
      <c r="C4" s="18">
        <v>7.0519618239660603E-2</v>
      </c>
      <c r="D4" s="18">
        <v>5.4082714740190899E-2</v>
      </c>
      <c r="E4" s="18">
        <v>1.80275715800636E-2</v>
      </c>
      <c r="F4" s="18">
        <v>9.7030752916224802E-2</v>
      </c>
      <c r="G4" s="18">
        <v>5.4082714740190899E-2</v>
      </c>
      <c r="H4" s="18">
        <v>1.80275715800636E-2</v>
      </c>
      <c r="I4" s="18">
        <v>7.9003181336161202E-2</v>
      </c>
      <c r="J4" s="18">
        <v>4.9310710498409301E-2</v>
      </c>
      <c r="K4" s="18">
        <v>1.80275715800636E-2</v>
      </c>
      <c r="L4" s="18">
        <v>8.8547189819724301E-2</v>
      </c>
      <c r="M4" s="18">
        <v>5.5143160127253399E-2</v>
      </c>
      <c r="N4" s="18">
        <v>1.80275715800636E-2</v>
      </c>
      <c r="O4" s="18">
        <v>7.0519618239660603E-2</v>
      </c>
      <c r="P4" s="18">
        <v>3.6055143160127298E-2</v>
      </c>
      <c r="Q4" s="18">
        <v>1.80275715800636E-2</v>
      </c>
      <c r="R4" s="18">
        <v>6.7338282078473005E-2</v>
      </c>
      <c r="S4" s="18">
        <v>4.5068928950159098E-2</v>
      </c>
      <c r="T4" s="18">
        <v>1.80275715800636E-2</v>
      </c>
      <c r="U4" s="18">
        <v>6.2036055143160101E-2</v>
      </c>
      <c r="V4" s="18">
        <v>4.5068928950159098E-2</v>
      </c>
      <c r="W4" s="18">
        <v>1.80275715800636E-2</v>
      </c>
    </row>
    <row r="5" spans="1:23" x14ac:dyDescent="0.55000000000000004">
      <c r="A5" t="s">
        <v>54</v>
      </c>
      <c r="B5" t="s">
        <v>55</v>
      </c>
      <c r="C5">
        <v>0.4</v>
      </c>
      <c r="D5"/>
      <c r="E5"/>
      <c r="F5"/>
      <c r="G5"/>
      <c r="H5"/>
      <c r="I5">
        <v>0.3</v>
      </c>
      <c r="J5"/>
      <c r="K5"/>
      <c r="L5"/>
      <c r="M5"/>
      <c r="N5"/>
      <c r="O5">
        <v>0.3</v>
      </c>
      <c r="P5"/>
      <c r="Q5"/>
      <c r="R5"/>
      <c r="S5"/>
      <c r="T5"/>
      <c r="U5"/>
      <c r="V5"/>
      <c r="W5"/>
    </row>
    <row r="6" spans="1:23" x14ac:dyDescent="0.55000000000000004">
      <c r="A6" t="s">
        <v>54</v>
      </c>
      <c r="B6" t="s">
        <v>56</v>
      </c>
      <c r="C6">
        <v>0.200934579439252</v>
      </c>
      <c r="D6"/>
      <c r="E6"/>
      <c r="F6">
        <v>0.13551401869158899</v>
      </c>
      <c r="G6"/>
      <c r="H6"/>
      <c r="I6">
        <v>0.19626168224299101</v>
      </c>
      <c r="J6"/>
      <c r="K6"/>
      <c r="L6">
        <v>0.13084112149532701</v>
      </c>
      <c r="M6"/>
      <c r="N6"/>
      <c r="O6">
        <v>0.19626168224299101</v>
      </c>
      <c r="P6"/>
      <c r="Q6"/>
      <c r="R6">
        <v>7.00934579439252E-2</v>
      </c>
      <c r="S6"/>
      <c r="T6"/>
      <c r="U6">
        <v>7.00934579439252E-2</v>
      </c>
      <c r="V6"/>
      <c r="W6"/>
    </row>
    <row r="7" spans="1:23" hidden="1" x14ac:dyDescent="0.55000000000000004">
      <c r="A7" t="s">
        <v>57</v>
      </c>
      <c r="B7" t="s">
        <v>16</v>
      </c>
      <c r="C7">
        <v>6.7725752508361201E-2</v>
      </c>
      <c r="D7">
        <v>4.8494983277592003E-2</v>
      </c>
      <c r="E7">
        <v>2.6755852842809399E-2</v>
      </c>
      <c r="F7">
        <v>6.7725752508361201E-2</v>
      </c>
      <c r="G7">
        <v>4.8494983277592003E-2</v>
      </c>
      <c r="H7">
        <v>2.6755852842809399E-2</v>
      </c>
      <c r="I7">
        <v>6.7725752508361201E-2</v>
      </c>
      <c r="J7">
        <v>4.8494983277592003E-2</v>
      </c>
      <c r="K7">
        <v>2.6755852842809399E-2</v>
      </c>
      <c r="L7">
        <v>6.7725752508361201E-2</v>
      </c>
      <c r="M7">
        <v>4.8494983277592003E-2</v>
      </c>
      <c r="N7">
        <v>2.6755852842809399E-2</v>
      </c>
      <c r="O7">
        <v>6.7725752508361201E-2</v>
      </c>
      <c r="P7">
        <v>4.8494983277592003E-2</v>
      </c>
      <c r="Q7">
        <v>2.6755852842809399E-2</v>
      </c>
      <c r="R7">
        <v>6.7725752508361201E-2</v>
      </c>
      <c r="S7">
        <v>4.8494983277592003E-2</v>
      </c>
      <c r="T7">
        <v>2.59197324414716E-2</v>
      </c>
      <c r="U7">
        <v>6.7725752508361201E-2</v>
      </c>
      <c r="V7">
        <v>4.8494983277592003E-2</v>
      </c>
      <c r="W7">
        <v>2.6755852842809399E-2</v>
      </c>
    </row>
    <row r="8" spans="1:23" hidden="1" x14ac:dyDescent="0.55000000000000004">
      <c r="A8" t="s">
        <v>57</v>
      </c>
      <c r="B8" t="s">
        <v>13</v>
      </c>
      <c r="C8">
        <v>8.0568720379146905E-2</v>
      </c>
      <c r="D8">
        <v>6.1611374407582901E-2</v>
      </c>
      <c r="E8"/>
      <c r="F8">
        <v>8.0568720379146905E-2</v>
      </c>
      <c r="G8">
        <v>6.1611374407582901E-2</v>
      </c>
      <c r="H8"/>
      <c r="I8">
        <v>7.10900473933649E-2</v>
      </c>
      <c r="J8">
        <v>7.5829383886255902E-2</v>
      </c>
      <c r="K8"/>
      <c r="L8">
        <v>8.0568720379146905E-2</v>
      </c>
      <c r="M8">
        <v>6.1611374407582901E-2</v>
      </c>
      <c r="N8"/>
      <c r="O8">
        <v>8.0568720379146905E-2</v>
      </c>
      <c r="P8">
        <v>6.1611374407582901E-2</v>
      </c>
      <c r="Q8"/>
      <c r="R8">
        <v>8.0568720379146905E-2</v>
      </c>
      <c r="S8">
        <v>6.1611374407582901E-2</v>
      </c>
      <c r="T8"/>
      <c r="U8">
        <v>8.0568720379146905E-2</v>
      </c>
      <c r="V8">
        <v>6.1611374407582901E-2</v>
      </c>
      <c r="W8"/>
    </row>
    <row r="9" spans="1:23" hidden="1" x14ac:dyDescent="0.55000000000000004">
      <c r="A9" t="s">
        <v>57</v>
      </c>
      <c r="B9" t="s">
        <v>8</v>
      </c>
      <c r="C9">
        <v>4.8476454293628797E-2</v>
      </c>
      <c r="D9">
        <v>4.8476454293628797E-2</v>
      </c>
      <c r="E9">
        <v>4.7091412742382301E-2</v>
      </c>
      <c r="F9">
        <v>4.7091412742382301E-2</v>
      </c>
      <c r="G9">
        <v>4.7091412742382301E-2</v>
      </c>
      <c r="H9">
        <v>4.7091412742382301E-2</v>
      </c>
      <c r="I9">
        <v>4.8476454293628797E-2</v>
      </c>
      <c r="J9">
        <v>4.7091412742382301E-2</v>
      </c>
      <c r="K9">
        <v>4.7091412742382301E-2</v>
      </c>
      <c r="L9">
        <v>4.8476454293628797E-2</v>
      </c>
      <c r="M9">
        <v>4.7091412742382301E-2</v>
      </c>
      <c r="N9">
        <v>4.7091412742382301E-2</v>
      </c>
      <c r="O9">
        <v>4.9861495844875398E-2</v>
      </c>
      <c r="P9">
        <v>4.7091412742382301E-2</v>
      </c>
      <c r="Q9">
        <v>4.7091412742382301E-2</v>
      </c>
      <c r="R9">
        <v>4.9861495844875398E-2</v>
      </c>
      <c r="S9">
        <v>4.7091412742382301E-2</v>
      </c>
      <c r="T9">
        <v>4.4321329639889197E-2</v>
      </c>
      <c r="U9">
        <v>4.9861495844875398E-2</v>
      </c>
      <c r="V9">
        <v>4.7091412742382301E-2</v>
      </c>
      <c r="W9">
        <v>4.7091412742382301E-2</v>
      </c>
    </row>
    <row r="10" spans="1:23" hidden="1" x14ac:dyDescent="0.55000000000000004">
      <c r="A10" t="s">
        <v>57</v>
      </c>
      <c r="B10" t="s">
        <v>55</v>
      </c>
      <c r="C10"/>
      <c r="D10"/>
      <c r="E10"/>
      <c r="F10"/>
      <c r="G10"/>
      <c r="H10"/>
      <c r="I10">
        <v>0.5</v>
      </c>
      <c r="J10"/>
      <c r="K10"/>
      <c r="L10">
        <v>0.5</v>
      </c>
      <c r="M10"/>
      <c r="N10"/>
      <c r="O10"/>
      <c r="P10"/>
      <c r="Q10"/>
      <c r="R10"/>
      <c r="S10"/>
      <c r="T10"/>
      <c r="U10"/>
      <c r="V10"/>
      <c r="W10"/>
    </row>
    <row r="11" spans="1:23" hidden="1" x14ac:dyDescent="0.55000000000000004">
      <c r="A11" t="s">
        <v>57</v>
      </c>
      <c r="B11" t="s">
        <v>56</v>
      </c>
      <c r="C11">
        <v>0.14285714285714299</v>
      </c>
      <c r="D11"/>
      <c r="E11"/>
      <c r="F11">
        <v>0.14285714285714299</v>
      </c>
      <c r="G11"/>
      <c r="H11"/>
      <c r="I11">
        <v>0.14285714285714299</v>
      </c>
      <c r="J11"/>
      <c r="K11"/>
      <c r="L11">
        <v>0.14285714285714299</v>
      </c>
      <c r="M11"/>
      <c r="N11"/>
      <c r="O11">
        <v>0.14285714285714299</v>
      </c>
      <c r="P11"/>
      <c r="Q11"/>
      <c r="R11">
        <v>0.14285714285714299</v>
      </c>
      <c r="S11"/>
      <c r="T11"/>
      <c r="U11">
        <v>0.14285714285714299</v>
      </c>
      <c r="V11"/>
      <c r="W11"/>
    </row>
    <row r="12" spans="1:23" hidden="1" x14ac:dyDescent="0.55000000000000004">
      <c r="A12" t="s">
        <v>58</v>
      </c>
      <c r="B12" t="s">
        <v>16</v>
      </c>
      <c r="C12">
        <v>7.0390206579954095E-2</v>
      </c>
      <c r="D12">
        <v>5.0497322111706197E-2</v>
      </c>
      <c r="E12">
        <v>2.6013771996939598E-2</v>
      </c>
      <c r="F12">
        <v>6.7138485080336596E-2</v>
      </c>
      <c r="G12">
        <v>5.03060443764346E-2</v>
      </c>
      <c r="H12">
        <v>2.6013771996939598E-2</v>
      </c>
      <c r="I12">
        <v>6.3886763580719194E-2</v>
      </c>
      <c r="J12">
        <v>4.5524100994644198E-2</v>
      </c>
      <c r="K12">
        <v>2.6013771996939598E-2</v>
      </c>
      <c r="L12">
        <v>7.0390206579954095E-2</v>
      </c>
      <c r="M12">
        <v>5.0497322111706197E-2</v>
      </c>
      <c r="N12">
        <v>2.6013771996939598E-2</v>
      </c>
      <c r="O12">
        <v>6.3886763580719194E-2</v>
      </c>
      <c r="P12">
        <v>5.0497322111706197E-2</v>
      </c>
      <c r="Q12">
        <v>2.6013771996939598E-2</v>
      </c>
      <c r="R12">
        <v>6.7138485080336596E-2</v>
      </c>
      <c r="S12">
        <v>5.0497322111706197E-2</v>
      </c>
      <c r="T12">
        <v>2.5248661055853099E-2</v>
      </c>
      <c r="U12">
        <v>6.7521040550879902E-2</v>
      </c>
      <c r="V12">
        <v>5.0497322111706197E-2</v>
      </c>
      <c r="W12">
        <v>2.6013771996939598E-2</v>
      </c>
    </row>
    <row r="13" spans="1:23" hidden="1" x14ac:dyDescent="0.55000000000000004">
      <c r="A13" t="s">
        <v>58</v>
      </c>
      <c r="B13" t="s">
        <v>13</v>
      </c>
      <c r="C13">
        <v>7.69230769230769E-2</v>
      </c>
      <c r="D13"/>
      <c r="E13"/>
      <c r="F13">
        <v>0.115384615384615</v>
      </c>
      <c r="G13"/>
      <c r="H13"/>
      <c r="I13">
        <v>0.230769230769231</v>
      </c>
      <c r="J13">
        <v>5.8823529411764698E-2</v>
      </c>
      <c r="K13"/>
      <c r="L13">
        <v>0.230769230769231</v>
      </c>
      <c r="M13"/>
      <c r="N13"/>
      <c r="O13">
        <v>0.15384615384615399</v>
      </c>
      <c r="P13"/>
      <c r="Q13"/>
      <c r="R13">
        <v>7.69230769230769E-2</v>
      </c>
      <c r="S13"/>
      <c r="T13"/>
      <c r="U13">
        <v>5.65610859728507E-2</v>
      </c>
      <c r="V13"/>
      <c r="W13"/>
    </row>
    <row r="14" spans="1:23" hidden="1" x14ac:dyDescent="0.55000000000000004">
      <c r="A14" t="s">
        <v>58</v>
      </c>
      <c r="B14" t="s">
        <v>8</v>
      </c>
      <c r="C14">
        <v>2.1111893033075299E-2</v>
      </c>
      <c r="D14">
        <v>4.7853624208304003E-2</v>
      </c>
      <c r="E14">
        <v>5.2076002814919101E-2</v>
      </c>
      <c r="F14">
        <v>2.3926812104152002E-2</v>
      </c>
      <c r="G14">
        <v>4.7853624208304003E-2</v>
      </c>
      <c r="H14">
        <v>5.2076002814919101E-2</v>
      </c>
      <c r="I14">
        <v>4.7853624208304003E-2</v>
      </c>
      <c r="J14">
        <v>4.5038705137227297E-2</v>
      </c>
      <c r="K14">
        <v>5.2076002814919101E-2</v>
      </c>
      <c r="L14">
        <v>3.5890218156227997E-2</v>
      </c>
      <c r="M14">
        <v>4.2223786066150598E-2</v>
      </c>
      <c r="N14">
        <v>5.2076002814919101E-2</v>
      </c>
      <c r="O14">
        <v>9.2892329345531294E-2</v>
      </c>
      <c r="P14">
        <v>4.5038705137227297E-2</v>
      </c>
      <c r="Q14">
        <v>5.2076002814919101E-2</v>
      </c>
      <c r="R14">
        <v>4.5038705137227297E-2</v>
      </c>
      <c r="S14">
        <v>4.5038705137227297E-2</v>
      </c>
      <c r="T14">
        <v>5.2076002814919101E-2</v>
      </c>
      <c r="U14">
        <v>4.7853624208304003E-2</v>
      </c>
      <c r="V14">
        <v>4.7853624208304003E-2</v>
      </c>
      <c r="W14">
        <v>5.2076002814919101E-2</v>
      </c>
    </row>
    <row r="15" spans="1:23" hidden="1" x14ac:dyDescent="0.55000000000000004">
      <c r="A15" t="s">
        <v>58</v>
      </c>
      <c r="B15" t="s">
        <v>55</v>
      </c>
      <c r="C15">
        <v>0.5</v>
      </c>
      <c r="D15"/>
      <c r="E15"/>
      <c r="F15">
        <v>0.5</v>
      </c>
      <c r="G15"/>
      <c r="H15"/>
      <c r="I15"/>
      <c r="J15"/>
      <c r="K15"/>
      <c r="L15"/>
      <c r="M15"/>
      <c r="N15"/>
      <c r="O15"/>
      <c r="P15"/>
      <c r="Q15"/>
      <c r="R15"/>
      <c r="S15"/>
      <c r="T15"/>
      <c r="U15"/>
      <c r="V15"/>
      <c r="W15"/>
    </row>
    <row r="16" spans="1:23" hidden="1" x14ac:dyDescent="0.55000000000000004">
      <c r="A16" t="s">
        <v>58</v>
      </c>
      <c r="B16" t="s">
        <v>56</v>
      </c>
      <c r="C16">
        <v>0.14497041420118301</v>
      </c>
      <c r="D16"/>
      <c r="E16"/>
      <c r="F16">
        <v>0.218934911242604</v>
      </c>
      <c r="G16"/>
      <c r="H16"/>
      <c r="I16">
        <v>0.19822485207100601</v>
      </c>
      <c r="J16"/>
      <c r="K16"/>
      <c r="L16">
        <v>0.22189349112425999</v>
      </c>
      <c r="M16"/>
      <c r="N16"/>
      <c r="O16">
        <v>0.19230769230769201</v>
      </c>
      <c r="P16"/>
      <c r="Q16"/>
      <c r="R16"/>
      <c r="S16"/>
      <c r="T16"/>
      <c r="U16"/>
      <c r="V16">
        <v>2.3668639053254399E-2</v>
      </c>
      <c r="W16"/>
    </row>
    <row r="59" spans="9:9" x14ac:dyDescent="0.55000000000000004">
      <c r="I59" s="18" t="s">
        <v>507</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16"/>
  <sheetViews>
    <sheetView workbookViewId="0">
      <selection activeCell="F16" sqref="F16"/>
    </sheetView>
  </sheetViews>
  <sheetFormatPr defaultRowHeight="14.4" x14ac:dyDescent="0.55000000000000004"/>
  <cols>
    <col min="1" max="1" width="10.41796875" bestFit="1" customWidth="1"/>
    <col min="2" max="2" width="7.15625" bestFit="1" customWidth="1"/>
    <col min="3" max="3" width="8.15625" bestFit="1" customWidth="1"/>
    <col min="6" max="6" width="12.41796875" customWidth="1"/>
    <col min="7" max="7" width="15.15625" customWidth="1"/>
    <col min="8" max="8" width="11.83984375" customWidth="1"/>
    <col min="9" max="9" width="14.83984375" customWidth="1"/>
    <col min="10" max="10" width="14.41796875" customWidth="1"/>
    <col min="11" max="12" width="11.83984375" customWidth="1"/>
  </cols>
  <sheetData>
    <row r="1" spans="1:14" x14ac:dyDescent="0.55000000000000004">
      <c r="A1" t="s">
        <v>32</v>
      </c>
      <c r="B1" t="s">
        <v>3</v>
      </c>
      <c r="C1" t="s">
        <v>59</v>
      </c>
      <c r="F1" t="s">
        <v>60</v>
      </c>
      <c r="G1" t="s">
        <v>61</v>
      </c>
      <c r="H1" t="s">
        <v>62</v>
      </c>
      <c r="I1" t="s">
        <v>63</v>
      </c>
      <c r="J1" t="s">
        <v>64</v>
      </c>
      <c r="K1" t="s">
        <v>65</v>
      </c>
      <c r="L1" t="s">
        <v>66</v>
      </c>
      <c r="M1" t="s">
        <v>67</v>
      </c>
      <c r="N1" t="s">
        <v>68</v>
      </c>
    </row>
    <row r="2" spans="1:14" x14ac:dyDescent="0.55000000000000004">
      <c r="A2" t="s">
        <v>54</v>
      </c>
      <c r="B2" t="s">
        <v>16</v>
      </c>
      <c r="C2">
        <v>1779.75</v>
      </c>
      <c r="F2">
        <f>SUM(C2:C6)*2</f>
        <v>5681.5</v>
      </c>
      <c r="G2">
        <v>5591</v>
      </c>
      <c r="H2">
        <v>5180</v>
      </c>
      <c r="I2">
        <v>5276</v>
      </c>
      <c r="J2">
        <v>5234</v>
      </c>
      <c r="K2">
        <v>41</v>
      </c>
      <c r="L2">
        <v>1069.5999999999999</v>
      </c>
      <c r="M2">
        <f>I2-H2</f>
        <v>96</v>
      </c>
      <c r="N2" s="18">
        <f>M2/H2</f>
        <v>1.8532818532818532E-2</v>
      </c>
    </row>
    <row r="3" spans="1:14" x14ac:dyDescent="0.55000000000000004">
      <c r="A3" t="s">
        <v>54</v>
      </c>
      <c r="B3" t="s">
        <v>13</v>
      </c>
      <c r="C3">
        <v>462.5</v>
      </c>
    </row>
    <row r="4" spans="1:14" x14ac:dyDescent="0.55000000000000004">
      <c r="A4" t="s">
        <v>54</v>
      </c>
      <c r="B4" t="s">
        <v>8</v>
      </c>
      <c r="C4">
        <v>471.5</v>
      </c>
    </row>
    <row r="5" spans="1:14" x14ac:dyDescent="0.55000000000000004">
      <c r="A5" t="s">
        <v>54</v>
      </c>
      <c r="B5" t="s">
        <v>55</v>
      </c>
      <c r="C5">
        <v>20</v>
      </c>
    </row>
    <row r="6" spans="1:14" ht="14.7" thickBot="1" x14ac:dyDescent="0.6">
      <c r="A6" t="s">
        <v>54</v>
      </c>
      <c r="B6" t="s">
        <v>56</v>
      </c>
      <c r="C6">
        <v>107</v>
      </c>
    </row>
    <row r="7" spans="1:14" ht="14.7" thickBot="1" x14ac:dyDescent="0.6">
      <c r="A7" t="s">
        <v>57</v>
      </c>
      <c r="B7" t="s">
        <v>16</v>
      </c>
      <c r="C7">
        <v>598</v>
      </c>
      <c r="F7">
        <f>SUM(C5:C9)*2</f>
        <v>2022</v>
      </c>
      <c r="G7">
        <v>1930</v>
      </c>
      <c r="H7" s="20">
        <v>1954.673</v>
      </c>
      <c r="J7" s="21">
        <v>5234.1999999999916</v>
      </c>
      <c r="K7" t="s">
        <v>69</v>
      </c>
    </row>
    <row r="8" spans="1:14" x14ac:dyDescent="0.55000000000000004">
      <c r="A8" t="s">
        <v>57</v>
      </c>
      <c r="B8" t="s">
        <v>13</v>
      </c>
      <c r="C8">
        <v>105.5</v>
      </c>
    </row>
    <row r="9" spans="1:14" x14ac:dyDescent="0.55000000000000004">
      <c r="A9" t="s">
        <v>57</v>
      </c>
      <c r="B9" t="s">
        <v>8</v>
      </c>
      <c r="C9">
        <v>180.5</v>
      </c>
    </row>
    <row r="10" spans="1:14" x14ac:dyDescent="0.55000000000000004">
      <c r="A10" t="s">
        <v>57</v>
      </c>
      <c r="B10" t="s">
        <v>55</v>
      </c>
      <c r="C10">
        <v>13</v>
      </c>
    </row>
    <row r="11" spans="1:14" x14ac:dyDescent="0.55000000000000004">
      <c r="A11" t="s">
        <v>57</v>
      </c>
      <c r="B11" t="s">
        <v>56</v>
      </c>
      <c r="C11">
        <v>59.5</v>
      </c>
    </row>
    <row r="12" spans="1:14" x14ac:dyDescent="0.55000000000000004">
      <c r="A12" t="s">
        <v>58</v>
      </c>
      <c r="B12" t="s">
        <v>16</v>
      </c>
      <c r="C12">
        <v>1307</v>
      </c>
      <c r="F12">
        <f>SUM(C12:C16)*2</f>
        <v>3917.5</v>
      </c>
      <c r="G12">
        <f>1667+2279</f>
        <v>3946</v>
      </c>
      <c r="H12" t="s">
        <v>70</v>
      </c>
      <c r="J12">
        <f>1496+2031</f>
        <v>3527</v>
      </c>
      <c r="K12">
        <f>165+147</f>
        <v>312</v>
      </c>
      <c r="L12">
        <f>J12+K12</f>
        <v>3839</v>
      </c>
    </row>
    <row r="13" spans="1:14" x14ac:dyDescent="0.55000000000000004">
      <c r="A13" t="s">
        <v>58</v>
      </c>
      <c r="B13" t="s">
        <v>13</v>
      </c>
      <c r="C13">
        <v>110.5</v>
      </c>
    </row>
    <row r="14" spans="1:14" x14ac:dyDescent="0.55000000000000004">
      <c r="A14" t="s">
        <v>58</v>
      </c>
      <c r="B14" t="s">
        <v>8</v>
      </c>
      <c r="C14">
        <v>355.25</v>
      </c>
    </row>
    <row r="15" spans="1:14" x14ac:dyDescent="0.55000000000000004">
      <c r="A15" t="s">
        <v>58</v>
      </c>
      <c r="B15" t="s">
        <v>55</v>
      </c>
      <c r="C15">
        <v>17</v>
      </c>
    </row>
    <row r="16" spans="1:14" x14ac:dyDescent="0.55000000000000004">
      <c r="A16" t="s">
        <v>58</v>
      </c>
      <c r="B16" t="s">
        <v>56</v>
      </c>
      <c r="C16">
        <v>169</v>
      </c>
      <c r="F16" t="s">
        <v>506</v>
      </c>
    </row>
  </sheetData>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topLeftCell="H1" workbookViewId="0">
      <selection activeCell="W2" sqref="W2"/>
    </sheetView>
  </sheetViews>
  <sheetFormatPr defaultRowHeight="14.4" x14ac:dyDescent="0.55000000000000004"/>
  <cols>
    <col min="1" max="1" width="17.83984375" bestFit="1" customWidth="1"/>
    <col min="2" max="2" width="35.83984375" bestFit="1" customWidth="1"/>
    <col min="3" max="3" width="24.15625" bestFit="1" customWidth="1"/>
    <col min="4" max="4" width="13.68359375" bestFit="1" customWidth="1"/>
    <col min="5" max="5" width="41" bestFit="1" customWidth="1"/>
    <col min="6" max="6" width="14" bestFit="1" customWidth="1"/>
    <col min="7" max="7" width="16.578125" bestFit="1" customWidth="1"/>
    <col min="8" max="8" width="46.578125" bestFit="1" customWidth="1"/>
    <col min="9" max="9" width="11.15625" bestFit="1" customWidth="1"/>
    <col min="10" max="11" width="11.83984375" bestFit="1" customWidth="1"/>
    <col min="12" max="12" width="11.26171875" bestFit="1" customWidth="1"/>
    <col min="13" max="13" width="14" bestFit="1" customWidth="1"/>
    <col min="14" max="14" width="7.83984375" bestFit="1" customWidth="1"/>
    <col min="15" max="15" width="17.15625" bestFit="1" customWidth="1"/>
    <col min="16" max="16" width="17.41796875" bestFit="1" customWidth="1"/>
    <col min="17" max="17" width="8" bestFit="1" customWidth="1"/>
    <col min="18" max="18" width="14.15625" bestFit="1" customWidth="1"/>
    <col min="19" max="19" width="17.15625" bestFit="1" customWidth="1"/>
    <col min="20" max="20" width="18.41796875" bestFit="1" customWidth="1"/>
    <col min="21" max="21" width="21.41796875" bestFit="1" customWidth="1"/>
    <col min="22" max="22" width="16.41796875" bestFit="1" customWidth="1"/>
    <col min="23" max="23" width="17" bestFit="1" customWidth="1"/>
    <col min="24" max="24" width="19.83984375" bestFit="1" customWidth="1"/>
    <col min="25" max="25" width="15.41796875" bestFit="1" customWidth="1"/>
  </cols>
  <sheetData>
    <row r="1" spans="1:25" x14ac:dyDescent="0.55000000000000004">
      <c r="A1" t="s">
        <v>71</v>
      </c>
      <c r="B1" t="s">
        <v>72</v>
      </c>
      <c r="C1" t="s">
        <v>32</v>
      </c>
      <c r="D1" t="s">
        <v>73</v>
      </c>
      <c r="E1" t="s">
        <v>3</v>
      </c>
      <c r="F1" t="s">
        <v>74</v>
      </c>
      <c r="G1" t="s">
        <v>75</v>
      </c>
      <c r="H1" t="s">
        <v>76</v>
      </c>
      <c r="I1" t="s">
        <v>77</v>
      </c>
      <c r="J1" t="s">
        <v>78</v>
      </c>
      <c r="K1" t="s">
        <v>79</v>
      </c>
      <c r="L1" t="s">
        <v>80</v>
      </c>
      <c r="M1" t="s">
        <v>81</v>
      </c>
      <c r="N1" t="s">
        <v>82</v>
      </c>
      <c r="O1" t="s">
        <v>83</v>
      </c>
      <c r="P1" t="s">
        <v>84</v>
      </c>
      <c r="Q1" t="s">
        <v>85</v>
      </c>
      <c r="R1" t="s">
        <v>86</v>
      </c>
      <c r="S1" t="s">
        <v>87</v>
      </c>
      <c r="T1" t="s">
        <v>88</v>
      </c>
      <c r="U1" t="s">
        <v>89</v>
      </c>
      <c r="V1" t="s">
        <v>90</v>
      </c>
      <c r="W1" t="s">
        <v>91</v>
      </c>
      <c r="X1" t="s">
        <v>92</v>
      </c>
      <c r="Y1" t="s">
        <v>93</v>
      </c>
    </row>
    <row r="2" spans="1:25" x14ac:dyDescent="0.55000000000000004">
      <c r="A2" t="s">
        <v>94</v>
      </c>
      <c r="B2" t="s">
        <v>95</v>
      </c>
      <c r="C2" t="s">
        <v>96</v>
      </c>
      <c r="D2" t="s">
        <v>97</v>
      </c>
      <c r="E2" t="s">
        <v>98</v>
      </c>
      <c r="F2" t="s">
        <v>99</v>
      </c>
      <c r="G2">
        <v>21369</v>
      </c>
      <c r="H2" t="s">
        <v>100</v>
      </c>
      <c r="I2">
        <v>1</v>
      </c>
      <c r="J2" t="s">
        <v>101</v>
      </c>
      <c r="K2" s="19">
        <v>0.29166666666666669</v>
      </c>
      <c r="L2" s="19">
        <v>0.6875</v>
      </c>
      <c r="M2">
        <v>9.5</v>
      </c>
      <c r="N2">
        <v>0</v>
      </c>
      <c r="O2">
        <v>72</v>
      </c>
      <c r="P2">
        <v>76</v>
      </c>
      <c r="Q2" t="s">
        <v>99</v>
      </c>
      <c r="R2">
        <v>30</v>
      </c>
      <c r="S2" s="19">
        <v>0.5</v>
      </c>
      <c r="T2">
        <v>0</v>
      </c>
      <c r="U2" s="19">
        <v>0.54166666666666663</v>
      </c>
      <c r="V2" t="s">
        <v>99</v>
      </c>
      <c r="W2">
        <v>9</v>
      </c>
      <c r="X2" t="s">
        <v>102</v>
      </c>
      <c r="Y2" t="b">
        <v>0</v>
      </c>
    </row>
    <row r="3" spans="1:25" x14ac:dyDescent="0.55000000000000004">
      <c r="A3" t="s">
        <v>94</v>
      </c>
      <c r="B3" t="s">
        <v>95</v>
      </c>
      <c r="C3" t="s">
        <v>96</v>
      </c>
      <c r="D3" t="s">
        <v>97</v>
      </c>
      <c r="E3" t="s">
        <v>98</v>
      </c>
      <c r="F3" t="s">
        <v>99</v>
      </c>
      <c r="G3">
        <v>21369</v>
      </c>
      <c r="H3" t="s">
        <v>100</v>
      </c>
      <c r="I3">
        <v>1</v>
      </c>
      <c r="J3" t="s">
        <v>103</v>
      </c>
      <c r="K3" s="19">
        <v>0.29166666666666669</v>
      </c>
      <c r="L3" s="19">
        <v>0.6875</v>
      </c>
      <c r="M3">
        <v>9.5</v>
      </c>
      <c r="N3">
        <v>0</v>
      </c>
      <c r="O3">
        <v>72</v>
      </c>
      <c r="P3">
        <v>76</v>
      </c>
      <c r="Q3" t="s">
        <v>99</v>
      </c>
      <c r="R3">
        <v>30</v>
      </c>
      <c r="S3" s="19">
        <v>0.5</v>
      </c>
      <c r="T3">
        <v>0</v>
      </c>
      <c r="U3" s="19">
        <v>0.54166666666666663</v>
      </c>
      <c r="V3" t="s">
        <v>99</v>
      </c>
      <c r="W3">
        <v>9</v>
      </c>
      <c r="X3" t="s">
        <v>102</v>
      </c>
      <c r="Y3" t="b">
        <v>0</v>
      </c>
    </row>
    <row r="4" spans="1:25" x14ac:dyDescent="0.55000000000000004">
      <c r="A4" t="s">
        <v>94</v>
      </c>
      <c r="B4" t="s">
        <v>95</v>
      </c>
      <c r="C4" t="s">
        <v>96</v>
      </c>
      <c r="D4" t="s">
        <v>97</v>
      </c>
      <c r="E4" t="s">
        <v>98</v>
      </c>
      <c r="F4" t="s">
        <v>99</v>
      </c>
      <c r="G4">
        <v>21369</v>
      </c>
      <c r="H4" t="s">
        <v>100</v>
      </c>
      <c r="I4">
        <v>1</v>
      </c>
      <c r="J4" t="s">
        <v>104</v>
      </c>
      <c r="K4" s="19">
        <v>0.29166666666666669</v>
      </c>
      <c r="L4" s="19">
        <v>0.6875</v>
      </c>
      <c r="M4">
        <v>9.5</v>
      </c>
      <c r="N4">
        <v>0</v>
      </c>
      <c r="O4">
        <v>72</v>
      </c>
      <c r="P4">
        <v>76</v>
      </c>
      <c r="Q4" t="s">
        <v>99</v>
      </c>
      <c r="R4">
        <v>30</v>
      </c>
      <c r="S4" s="19">
        <v>0.5</v>
      </c>
      <c r="T4">
        <v>0</v>
      </c>
      <c r="U4" s="19">
        <v>0.54166666666666663</v>
      </c>
      <c r="V4" t="s">
        <v>99</v>
      </c>
      <c r="W4">
        <v>9</v>
      </c>
      <c r="X4" t="s">
        <v>102</v>
      </c>
      <c r="Y4" t="b">
        <v>0</v>
      </c>
    </row>
    <row r="5" spans="1:25" x14ac:dyDescent="0.55000000000000004">
      <c r="A5" t="s">
        <v>94</v>
      </c>
      <c r="B5" t="s">
        <v>95</v>
      </c>
      <c r="C5" t="s">
        <v>96</v>
      </c>
      <c r="D5" t="s">
        <v>97</v>
      </c>
      <c r="E5" t="s">
        <v>98</v>
      </c>
      <c r="F5" t="s">
        <v>99</v>
      </c>
      <c r="G5">
        <v>21369</v>
      </c>
      <c r="H5" t="s">
        <v>100</v>
      </c>
      <c r="I5">
        <v>1</v>
      </c>
      <c r="J5" t="s">
        <v>105</v>
      </c>
      <c r="K5" s="19">
        <v>0.29166666666666669</v>
      </c>
      <c r="L5" s="19">
        <v>0.6875</v>
      </c>
      <c r="M5">
        <v>9.5</v>
      </c>
      <c r="N5">
        <v>0</v>
      </c>
      <c r="O5">
        <v>72</v>
      </c>
      <c r="P5">
        <v>76</v>
      </c>
      <c r="Q5" t="s">
        <v>99</v>
      </c>
      <c r="R5">
        <v>30</v>
      </c>
      <c r="S5" s="19">
        <v>0.5</v>
      </c>
      <c r="T5">
        <v>0</v>
      </c>
      <c r="U5" s="19">
        <v>0.54166666666666663</v>
      </c>
      <c r="V5" t="s">
        <v>99</v>
      </c>
      <c r="W5">
        <v>9</v>
      </c>
      <c r="X5" t="s">
        <v>102</v>
      </c>
      <c r="Y5" t="b">
        <v>0</v>
      </c>
    </row>
    <row r="6" spans="1:25" x14ac:dyDescent="0.55000000000000004">
      <c r="A6" t="s">
        <v>94</v>
      </c>
      <c r="B6" t="s">
        <v>95</v>
      </c>
      <c r="C6" t="s">
        <v>96</v>
      </c>
      <c r="D6" t="s">
        <v>97</v>
      </c>
      <c r="E6" t="s">
        <v>98</v>
      </c>
      <c r="F6" t="s">
        <v>99</v>
      </c>
      <c r="G6">
        <v>21369</v>
      </c>
      <c r="H6" t="s">
        <v>100</v>
      </c>
      <c r="I6">
        <v>2</v>
      </c>
      <c r="J6" t="s">
        <v>101</v>
      </c>
      <c r="K6" s="19">
        <v>0.29166666666666669</v>
      </c>
      <c r="L6" s="19">
        <v>0.6875</v>
      </c>
      <c r="M6">
        <v>9.5</v>
      </c>
      <c r="N6">
        <v>0</v>
      </c>
      <c r="O6">
        <v>72</v>
      </c>
      <c r="P6">
        <v>76</v>
      </c>
      <c r="Q6" t="s">
        <v>99</v>
      </c>
      <c r="R6">
        <v>30</v>
      </c>
      <c r="S6" s="19">
        <v>0.5</v>
      </c>
      <c r="T6">
        <v>0</v>
      </c>
      <c r="U6" s="19">
        <v>0.54166666666666663</v>
      </c>
      <c r="V6" t="s">
        <v>99</v>
      </c>
      <c r="W6">
        <v>9</v>
      </c>
      <c r="X6" t="s">
        <v>102</v>
      </c>
      <c r="Y6" t="b">
        <v>0</v>
      </c>
    </row>
    <row r="7" spans="1:25" x14ac:dyDescent="0.55000000000000004">
      <c r="A7" t="s">
        <v>94</v>
      </c>
      <c r="B7" t="s">
        <v>95</v>
      </c>
      <c r="C7" t="s">
        <v>96</v>
      </c>
      <c r="D7" t="s">
        <v>97</v>
      </c>
      <c r="E7" t="s">
        <v>98</v>
      </c>
      <c r="F7" t="s">
        <v>99</v>
      </c>
      <c r="G7">
        <v>21369</v>
      </c>
      <c r="H7" t="s">
        <v>100</v>
      </c>
      <c r="I7">
        <v>2</v>
      </c>
      <c r="J7" t="s">
        <v>103</v>
      </c>
      <c r="K7" s="19">
        <v>0.29166666666666669</v>
      </c>
      <c r="L7" s="19">
        <v>0.6875</v>
      </c>
      <c r="M7">
        <v>9.5</v>
      </c>
      <c r="N7">
        <v>0</v>
      </c>
      <c r="O7">
        <v>72</v>
      </c>
      <c r="P7">
        <v>76</v>
      </c>
      <c r="Q7" t="s">
        <v>99</v>
      </c>
      <c r="R7">
        <v>30</v>
      </c>
      <c r="S7" s="19">
        <v>0.5</v>
      </c>
      <c r="T7">
        <v>0</v>
      </c>
      <c r="U7" s="19">
        <v>0.54166666666666663</v>
      </c>
      <c r="V7" t="s">
        <v>99</v>
      </c>
      <c r="W7">
        <v>9</v>
      </c>
      <c r="X7" t="s">
        <v>102</v>
      </c>
      <c r="Y7" t="b">
        <v>0</v>
      </c>
    </row>
    <row r="8" spans="1:25" x14ac:dyDescent="0.55000000000000004">
      <c r="A8" t="s">
        <v>94</v>
      </c>
      <c r="B8" t="s">
        <v>95</v>
      </c>
      <c r="C8" t="s">
        <v>96</v>
      </c>
      <c r="D8" t="s">
        <v>97</v>
      </c>
      <c r="E8" t="s">
        <v>98</v>
      </c>
      <c r="F8" t="s">
        <v>99</v>
      </c>
      <c r="G8">
        <v>21369</v>
      </c>
      <c r="H8" t="s">
        <v>100</v>
      </c>
      <c r="I8">
        <v>2</v>
      </c>
      <c r="J8" t="s">
        <v>104</v>
      </c>
      <c r="K8" s="19">
        <v>0.29166666666666669</v>
      </c>
      <c r="L8" s="19">
        <v>0.6875</v>
      </c>
      <c r="M8">
        <v>9.5</v>
      </c>
      <c r="N8">
        <v>0</v>
      </c>
      <c r="O8">
        <v>72</v>
      </c>
      <c r="P8">
        <v>76</v>
      </c>
      <c r="Q8" t="s">
        <v>99</v>
      </c>
      <c r="R8">
        <v>30</v>
      </c>
      <c r="S8" s="19">
        <v>0.5</v>
      </c>
      <c r="T8">
        <v>0</v>
      </c>
      <c r="U8" s="19">
        <v>0.54166666666666663</v>
      </c>
      <c r="V8" t="s">
        <v>99</v>
      </c>
      <c r="W8">
        <v>9</v>
      </c>
      <c r="X8" t="s">
        <v>102</v>
      </c>
      <c r="Y8" t="b">
        <v>0</v>
      </c>
    </row>
    <row r="9" spans="1:25" x14ac:dyDescent="0.55000000000000004">
      <c r="A9" t="s">
        <v>94</v>
      </c>
      <c r="B9" t="s">
        <v>95</v>
      </c>
      <c r="C9" t="s">
        <v>96</v>
      </c>
      <c r="D9" t="s">
        <v>97</v>
      </c>
      <c r="E9" t="s">
        <v>98</v>
      </c>
      <c r="F9" t="s">
        <v>99</v>
      </c>
      <c r="G9">
        <v>21369</v>
      </c>
      <c r="H9" t="s">
        <v>100</v>
      </c>
      <c r="I9">
        <v>2</v>
      </c>
      <c r="J9" t="s">
        <v>105</v>
      </c>
      <c r="K9" s="19">
        <v>0.29166666666666669</v>
      </c>
      <c r="L9" s="19">
        <v>0.6875</v>
      </c>
      <c r="M9">
        <v>9.5</v>
      </c>
      <c r="N9">
        <v>0</v>
      </c>
      <c r="O9">
        <v>72</v>
      </c>
      <c r="P9">
        <v>76</v>
      </c>
      <c r="Q9" t="s">
        <v>99</v>
      </c>
      <c r="R9">
        <v>30</v>
      </c>
      <c r="S9" s="19">
        <v>0.5</v>
      </c>
      <c r="T9">
        <v>0</v>
      </c>
      <c r="U9" s="19">
        <v>0.54166666666666663</v>
      </c>
      <c r="V9" t="s">
        <v>99</v>
      </c>
      <c r="W9">
        <v>9</v>
      </c>
      <c r="X9" t="s">
        <v>102</v>
      </c>
      <c r="Y9" t="b">
        <v>0</v>
      </c>
    </row>
    <row r="10" spans="1:25" x14ac:dyDescent="0.55000000000000004">
      <c r="A10" t="s">
        <v>94</v>
      </c>
      <c r="B10" t="s">
        <v>95</v>
      </c>
      <c r="C10" t="s">
        <v>96</v>
      </c>
      <c r="D10" t="s">
        <v>97</v>
      </c>
      <c r="E10" t="s">
        <v>98</v>
      </c>
      <c r="F10" t="s">
        <v>99</v>
      </c>
      <c r="G10">
        <v>21831</v>
      </c>
      <c r="H10" t="s">
        <v>106</v>
      </c>
      <c r="I10">
        <v>1</v>
      </c>
      <c r="J10" t="s">
        <v>107</v>
      </c>
      <c r="K10" s="19">
        <v>0.29166666666666669</v>
      </c>
      <c r="L10" s="19">
        <v>0.66666666666666663</v>
      </c>
      <c r="M10">
        <v>9</v>
      </c>
      <c r="N10">
        <v>0</v>
      </c>
      <c r="O10">
        <v>76</v>
      </c>
      <c r="P10">
        <v>76</v>
      </c>
      <c r="Q10" t="s">
        <v>99</v>
      </c>
      <c r="R10">
        <v>30</v>
      </c>
      <c r="S10" s="19">
        <v>0.5</v>
      </c>
      <c r="T10">
        <v>0</v>
      </c>
      <c r="U10" s="19">
        <v>0</v>
      </c>
      <c r="V10" t="s">
        <v>99</v>
      </c>
      <c r="W10">
        <v>8.5</v>
      </c>
      <c r="X10" t="s">
        <v>102</v>
      </c>
      <c r="Y10" t="b">
        <v>0</v>
      </c>
    </row>
    <row r="11" spans="1:25" x14ac:dyDescent="0.55000000000000004">
      <c r="A11" t="s">
        <v>94</v>
      </c>
      <c r="B11" t="s">
        <v>95</v>
      </c>
      <c r="C11" t="s">
        <v>96</v>
      </c>
      <c r="D11" t="s">
        <v>97</v>
      </c>
      <c r="E11" t="s">
        <v>98</v>
      </c>
      <c r="F11" t="s">
        <v>99</v>
      </c>
      <c r="G11">
        <v>21831</v>
      </c>
      <c r="H11" t="s">
        <v>106</v>
      </c>
      <c r="I11">
        <v>1</v>
      </c>
      <c r="J11" t="s">
        <v>101</v>
      </c>
      <c r="K11" s="19">
        <v>0.29166666666666669</v>
      </c>
      <c r="L11" s="19">
        <v>0.66666666666666663</v>
      </c>
      <c r="M11">
        <v>9</v>
      </c>
      <c r="N11">
        <v>0</v>
      </c>
      <c r="O11">
        <v>76</v>
      </c>
      <c r="P11">
        <v>76</v>
      </c>
      <c r="Q11" t="s">
        <v>99</v>
      </c>
      <c r="R11">
        <v>30</v>
      </c>
      <c r="S11" s="19">
        <v>0.5</v>
      </c>
      <c r="T11">
        <v>0</v>
      </c>
      <c r="U11" s="19">
        <v>0</v>
      </c>
      <c r="V11" t="s">
        <v>99</v>
      </c>
      <c r="W11">
        <v>8.5</v>
      </c>
      <c r="X11" t="s">
        <v>102</v>
      </c>
      <c r="Y11" t="b">
        <v>0</v>
      </c>
    </row>
    <row r="12" spans="1:25" x14ac:dyDescent="0.55000000000000004">
      <c r="A12" t="s">
        <v>94</v>
      </c>
      <c r="B12" t="s">
        <v>95</v>
      </c>
      <c r="C12" t="s">
        <v>96</v>
      </c>
      <c r="D12" t="s">
        <v>97</v>
      </c>
      <c r="E12" t="s">
        <v>98</v>
      </c>
      <c r="F12" t="s">
        <v>99</v>
      </c>
      <c r="G12">
        <v>21831</v>
      </c>
      <c r="H12" t="s">
        <v>106</v>
      </c>
      <c r="I12">
        <v>1</v>
      </c>
      <c r="J12" t="s">
        <v>103</v>
      </c>
      <c r="K12" s="19">
        <v>0.29166666666666669</v>
      </c>
      <c r="L12" s="19">
        <v>0.66666666666666663</v>
      </c>
      <c r="M12">
        <v>9</v>
      </c>
      <c r="N12">
        <v>0</v>
      </c>
      <c r="O12">
        <v>76</v>
      </c>
      <c r="P12">
        <v>76</v>
      </c>
      <c r="Q12" t="s">
        <v>99</v>
      </c>
      <c r="R12">
        <v>30</v>
      </c>
      <c r="S12" s="19">
        <v>0.5</v>
      </c>
      <c r="T12">
        <v>0</v>
      </c>
      <c r="U12" s="19">
        <v>0</v>
      </c>
      <c r="V12" t="s">
        <v>99</v>
      </c>
      <c r="W12">
        <v>8.5</v>
      </c>
      <c r="X12" t="s">
        <v>102</v>
      </c>
      <c r="Y12" t="b">
        <v>0</v>
      </c>
    </row>
    <row r="13" spans="1:25" x14ac:dyDescent="0.55000000000000004">
      <c r="A13" t="s">
        <v>94</v>
      </c>
      <c r="B13" t="s">
        <v>95</v>
      </c>
      <c r="C13" t="s">
        <v>96</v>
      </c>
      <c r="D13" t="s">
        <v>97</v>
      </c>
      <c r="E13" t="s">
        <v>98</v>
      </c>
      <c r="F13" t="s">
        <v>99</v>
      </c>
      <c r="G13">
        <v>21831</v>
      </c>
      <c r="H13" t="s">
        <v>106</v>
      </c>
      <c r="I13">
        <v>1</v>
      </c>
      <c r="J13" t="s">
        <v>104</v>
      </c>
      <c r="K13" s="19">
        <v>0.29166666666666669</v>
      </c>
      <c r="L13" s="19">
        <v>0.66666666666666663</v>
      </c>
      <c r="M13">
        <v>9</v>
      </c>
      <c r="N13">
        <v>0</v>
      </c>
      <c r="O13">
        <v>76</v>
      </c>
      <c r="P13">
        <v>76</v>
      </c>
      <c r="Q13" t="s">
        <v>99</v>
      </c>
      <c r="R13">
        <v>30</v>
      </c>
      <c r="S13" s="19">
        <v>0.5</v>
      </c>
      <c r="T13">
        <v>0</v>
      </c>
      <c r="U13" s="19">
        <v>0</v>
      </c>
      <c r="V13" t="s">
        <v>99</v>
      </c>
      <c r="W13">
        <v>8.5</v>
      </c>
      <c r="X13" t="s">
        <v>102</v>
      </c>
      <c r="Y13" t="b">
        <v>0</v>
      </c>
    </row>
    <row r="14" spans="1:25" x14ac:dyDescent="0.55000000000000004">
      <c r="A14" t="s">
        <v>94</v>
      </c>
      <c r="B14" t="s">
        <v>95</v>
      </c>
      <c r="C14" t="s">
        <v>96</v>
      </c>
      <c r="D14" t="s">
        <v>97</v>
      </c>
      <c r="E14" t="s">
        <v>98</v>
      </c>
      <c r="F14" t="s">
        <v>99</v>
      </c>
      <c r="G14">
        <v>21831</v>
      </c>
      <c r="H14" t="s">
        <v>106</v>
      </c>
      <c r="I14">
        <v>1</v>
      </c>
      <c r="J14" t="s">
        <v>105</v>
      </c>
      <c r="K14" s="19">
        <v>0.29166666666666669</v>
      </c>
      <c r="L14" s="19">
        <v>0.66666666666666663</v>
      </c>
      <c r="M14">
        <v>9</v>
      </c>
      <c r="N14">
        <v>0</v>
      </c>
      <c r="O14">
        <v>76</v>
      </c>
      <c r="P14">
        <v>76</v>
      </c>
      <c r="Q14" t="s">
        <v>99</v>
      </c>
      <c r="R14">
        <v>30</v>
      </c>
      <c r="S14" s="19">
        <v>0.5</v>
      </c>
      <c r="T14">
        <v>0</v>
      </c>
      <c r="U14" s="19">
        <v>0</v>
      </c>
      <c r="V14" t="s">
        <v>99</v>
      </c>
      <c r="W14">
        <v>8.5</v>
      </c>
      <c r="X14" t="s">
        <v>102</v>
      </c>
      <c r="Y14" t="b">
        <v>0</v>
      </c>
    </row>
    <row r="15" spans="1:25" x14ac:dyDescent="0.55000000000000004">
      <c r="A15" t="s">
        <v>94</v>
      </c>
      <c r="B15" t="s">
        <v>95</v>
      </c>
      <c r="C15" t="s">
        <v>96</v>
      </c>
      <c r="D15" t="s">
        <v>97</v>
      </c>
      <c r="E15" t="s">
        <v>98</v>
      </c>
      <c r="F15" t="s">
        <v>99</v>
      </c>
      <c r="G15">
        <v>21831</v>
      </c>
      <c r="H15" t="s">
        <v>106</v>
      </c>
      <c r="I15">
        <v>2</v>
      </c>
      <c r="J15" t="s">
        <v>101</v>
      </c>
      <c r="K15" s="19">
        <v>0.29166666666666669</v>
      </c>
      <c r="L15" s="19">
        <v>0.66666666666666663</v>
      </c>
      <c r="M15">
        <v>9</v>
      </c>
      <c r="N15">
        <v>0</v>
      </c>
      <c r="O15">
        <v>76</v>
      </c>
      <c r="P15">
        <v>76</v>
      </c>
      <c r="Q15" t="s">
        <v>99</v>
      </c>
      <c r="R15">
        <v>30</v>
      </c>
      <c r="S15" s="19">
        <v>0.5</v>
      </c>
      <c r="T15">
        <v>0</v>
      </c>
      <c r="U15" s="19">
        <v>0</v>
      </c>
      <c r="V15" t="s">
        <v>99</v>
      </c>
      <c r="W15">
        <v>8.5</v>
      </c>
      <c r="X15" t="s">
        <v>102</v>
      </c>
      <c r="Y15" t="b">
        <v>0</v>
      </c>
    </row>
    <row r="16" spans="1:25" x14ac:dyDescent="0.55000000000000004">
      <c r="A16" t="s">
        <v>94</v>
      </c>
      <c r="B16" t="s">
        <v>95</v>
      </c>
      <c r="C16" t="s">
        <v>96</v>
      </c>
      <c r="D16" t="s">
        <v>97</v>
      </c>
      <c r="E16" t="s">
        <v>98</v>
      </c>
      <c r="F16" t="s">
        <v>99</v>
      </c>
      <c r="G16">
        <v>21831</v>
      </c>
      <c r="H16" t="s">
        <v>106</v>
      </c>
      <c r="I16">
        <v>2</v>
      </c>
      <c r="J16" t="s">
        <v>103</v>
      </c>
      <c r="K16" s="19">
        <v>0.3125</v>
      </c>
      <c r="L16" s="19">
        <v>0.66666666666666663</v>
      </c>
      <c r="M16">
        <v>8.5</v>
      </c>
      <c r="N16">
        <v>0</v>
      </c>
      <c r="O16">
        <v>76</v>
      </c>
      <c r="P16">
        <v>76</v>
      </c>
      <c r="Q16" t="s">
        <v>99</v>
      </c>
      <c r="R16">
        <v>30</v>
      </c>
      <c r="S16" s="19">
        <v>0.5</v>
      </c>
      <c r="T16">
        <v>0</v>
      </c>
      <c r="U16" s="19">
        <v>0.54166666666666663</v>
      </c>
      <c r="V16" t="s">
        <v>99</v>
      </c>
      <c r="W16">
        <v>8</v>
      </c>
      <c r="X16" t="s">
        <v>102</v>
      </c>
      <c r="Y16" t="b">
        <v>0</v>
      </c>
    </row>
    <row r="17" spans="1:25" x14ac:dyDescent="0.55000000000000004">
      <c r="A17" t="s">
        <v>94</v>
      </c>
      <c r="B17" t="s">
        <v>95</v>
      </c>
      <c r="C17" t="s">
        <v>96</v>
      </c>
      <c r="D17" t="s">
        <v>97</v>
      </c>
      <c r="E17" t="s">
        <v>98</v>
      </c>
      <c r="F17" t="s">
        <v>99</v>
      </c>
      <c r="G17">
        <v>21831</v>
      </c>
      <c r="H17" t="s">
        <v>106</v>
      </c>
      <c r="I17">
        <v>2</v>
      </c>
      <c r="J17" t="s">
        <v>104</v>
      </c>
      <c r="K17" s="19">
        <v>0.29166666666666669</v>
      </c>
      <c r="L17" s="19">
        <v>0.66666666666666663</v>
      </c>
      <c r="M17">
        <v>9</v>
      </c>
      <c r="N17">
        <v>0</v>
      </c>
      <c r="O17">
        <v>76</v>
      </c>
      <c r="P17">
        <v>76</v>
      </c>
      <c r="Q17" t="s">
        <v>99</v>
      </c>
      <c r="R17">
        <v>30</v>
      </c>
      <c r="S17" s="19">
        <v>0.5</v>
      </c>
      <c r="T17">
        <v>0</v>
      </c>
      <c r="U17" s="19">
        <v>0</v>
      </c>
      <c r="V17" t="s">
        <v>99</v>
      </c>
      <c r="W17">
        <v>8.5</v>
      </c>
      <c r="X17" t="s">
        <v>102</v>
      </c>
      <c r="Y17" t="b">
        <v>0</v>
      </c>
    </row>
    <row r="18" spans="1:25" x14ac:dyDescent="0.55000000000000004">
      <c r="A18" t="s">
        <v>94</v>
      </c>
      <c r="B18" t="s">
        <v>95</v>
      </c>
      <c r="C18" t="s">
        <v>96</v>
      </c>
      <c r="D18" t="s">
        <v>97</v>
      </c>
      <c r="E18" t="s">
        <v>98</v>
      </c>
      <c r="F18" t="s">
        <v>99</v>
      </c>
      <c r="G18">
        <v>21831</v>
      </c>
      <c r="H18" t="s">
        <v>106</v>
      </c>
      <c r="I18">
        <v>2</v>
      </c>
      <c r="J18" t="s">
        <v>105</v>
      </c>
      <c r="K18" s="19">
        <v>0.29166666666666669</v>
      </c>
      <c r="L18" s="19">
        <v>0.66666666666666663</v>
      </c>
      <c r="M18">
        <v>9</v>
      </c>
      <c r="N18">
        <v>0</v>
      </c>
      <c r="O18">
        <v>76</v>
      </c>
      <c r="P18">
        <v>76</v>
      </c>
      <c r="Q18" t="s">
        <v>99</v>
      </c>
      <c r="R18">
        <v>30</v>
      </c>
      <c r="S18" s="19">
        <v>0.5</v>
      </c>
      <c r="T18">
        <v>0</v>
      </c>
      <c r="U18" s="19">
        <v>0.54166666666666663</v>
      </c>
      <c r="V18" t="s">
        <v>99</v>
      </c>
      <c r="W18">
        <v>8.5</v>
      </c>
      <c r="X18" t="s">
        <v>102</v>
      </c>
      <c r="Y18" t="b">
        <v>0</v>
      </c>
    </row>
    <row r="19" spans="1:25" x14ac:dyDescent="0.55000000000000004">
      <c r="A19" t="s">
        <v>94</v>
      </c>
      <c r="B19" t="s">
        <v>95</v>
      </c>
      <c r="C19" t="s">
        <v>96</v>
      </c>
      <c r="D19" t="s">
        <v>97</v>
      </c>
      <c r="E19" t="s">
        <v>98</v>
      </c>
      <c r="F19" t="s">
        <v>99</v>
      </c>
      <c r="G19">
        <v>23297</v>
      </c>
      <c r="H19" t="s">
        <v>108</v>
      </c>
      <c r="I19">
        <v>1</v>
      </c>
      <c r="J19" t="s">
        <v>107</v>
      </c>
      <c r="K19" s="19">
        <v>0.375</v>
      </c>
      <c r="L19" s="19">
        <v>0.625</v>
      </c>
      <c r="M19">
        <v>6</v>
      </c>
      <c r="N19">
        <v>160.55000000000001</v>
      </c>
      <c r="O19">
        <v>44</v>
      </c>
      <c r="P19">
        <v>76</v>
      </c>
      <c r="Q19" t="s">
        <v>99</v>
      </c>
      <c r="R19">
        <v>30</v>
      </c>
      <c r="S19" s="19">
        <v>0.5</v>
      </c>
      <c r="T19">
        <v>0</v>
      </c>
      <c r="U19" s="19">
        <v>0</v>
      </c>
      <c r="V19" t="s">
        <v>99</v>
      </c>
      <c r="W19">
        <v>5.5</v>
      </c>
      <c r="X19" t="s">
        <v>102</v>
      </c>
      <c r="Y19" t="b">
        <v>0</v>
      </c>
    </row>
    <row r="20" spans="1:25" x14ac:dyDescent="0.55000000000000004">
      <c r="A20" t="s">
        <v>94</v>
      </c>
      <c r="B20" t="s">
        <v>95</v>
      </c>
      <c r="C20" t="s">
        <v>96</v>
      </c>
      <c r="D20" t="s">
        <v>97</v>
      </c>
      <c r="E20" t="s">
        <v>98</v>
      </c>
      <c r="F20" t="s">
        <v>99</v>
      </c>
      <c r="G20">
        <v>23297</v>
      </c>
      <c r="H20" t="s">
        <v>108</v>
      </c>
      <c r="I20">
        <v>1</v>
      </c>
      <c r="J20" t="s">
        <v>101</v>
      </c>
      <c r="K20" s="19">
        <v>0.375</v>
      </c>
      <c r="L20" s="19">
        <v>0.625</v>
      </c>
      <c r="M20">
        <v>6</v>
      </c>
      <c r="N20">
        <v>160.55000000000001</v>
      </c>
      <c r="O20">
        <v>44</v>
      </c>
      <c r="P20">
        <v>76</v>
      </c>
      <c r="Q20" t="s">
        <v>99</v>
      </c>
      <c r="R20">
        <v>30</v>
      </c>
      <c r="S20" s="19">
        <v>0.5</v>
      </c>
      <c r="T20">
        <v>0</v>
      </c>
      <c r="U20" s="19">
        <v>0</v>
      </c>
      <c r="V20" t="s">
        <v>99</v>
      </c>
      <c r="W20">
        <v>5.5</v>
      </c>
      <c r="X20" t="s">
        <v>102</v>
      </c>
      <c r="Y20" t="b">
        <v>0</v>
      </c>
    </row>
    <row r="21" spans="1:25" x14ac:dyDescent="0.55000000000000004">
      <c r="A21" t="s">
        <v>94</v>
      </c>
      <c r="B21" t="s">
        <v>95</v>
      </c>
      <c r="C21" t="s">
        <v>96</v>
      </c>
      <c r="D21" t="s">
        <v>97</v>
      </c>
      <c r="E21" t="s">
        <v>98</v>
      </c>
      <c r="F21" t="s">
        <v>99</v>
      </c>
      <c r="G21">
        <v>23297</v>
      </c>
      <c r="H21" t="s">
        <v>108</v>
      </c>
      <c r="I21">
        <v>1</v>
      </c>
      <c r="J21" t="s">
        <v>103</v>
      </c>
      <c r="K21" s="19">
        <v>0.375</v>
      </c>
      <c r="L21" s="19">
        <v>0.625</v>
      </c>
      <c r="M21">
        <v>6</v>
      </c>
      <c r="N21">
        <v>160.55000000000001</v>
      </c>
      <c r="O21">
        <v>44</v>
      </c>
      <c r="P21">
        <v>76</v>
      </c>
      <c r="Q21" t="s">
        <v>99</v>
      </c>
      <c r="R21">
        <v>30</v>
      </c>
      <c r="S21" s="19">
        <v>0.5</v>
      </c>
      <c r="T21">
        <v>0</v>
      </c>
      <c r="U21" s="19">
        <v>0</v>
      </c>
      <c r="V21" t="s">
        <v>99</v>
      </c>
      <c r="W21">
        <v>5.5</v>
      </c>
      <c r="X21" t="s">
        <v>102</v>
      </c>
      <c r="Y21" t="b">
        <v>0</v>
      </c>
    </row>
    <row r="22" spans="1:25" x14ac:dyDescent="0.55000000000000004">
      <c r="A22" t="s">
        <v>94</v>
      </c>
      <c r="B22" t="s">
        <v>95</v>
      </c>
      <c r="C22" t="s">
        <v>96</v>
      </c>
      <c r="D22" t="s">
        <v>97</v>
      </c>
      <c r="E22" t="s">
        <v>98</v>
      </c>
      <c r="F22" t="s">
        <v>99</v>
      </c>
      <c r="G22">
        <v>23297</v>
      </c>
      <c r="H22" t="s">
        <v>108</v>
      </c>
      <c r="I22">
        <v>1</v>
      </c>
      <c r="J22" t="s">
        <v>104</v>
      </c>
      <c r="K22" s="19">
        <v>0.375</v>
      </c>
      <c r="L22" s="19">
        <v>0.625</v>
      </c>
      <c r="M22">
        <v>6</v>
      </c>
      <c r="N22">
        <v>160.55000000000001</v>
      </c>
      <c r="O22">
        <v>44</v>
      </c>
      <c r="P22">
        <v>76</v>
      </c>
      <c r="Q22" t="s">
        <v>99</v>
      </c>
      <c r="R22">
        <v>30</v>
      </c>
      <c r="S22" s="19">
        <v>0.5</v>
      </c>
      <c r="U22" s="19"/>
      <c r="V22" t="s">
        <v>99</v>
      </c>
      <c r="W22">
        <v>5.5</v>
      </c>
      <c r="X22" t="s">
        <v>102</v>
      </c>
      <c r="Y22" t="b">
        <v>0</v>
      </c>
    </row>
    <row r="23" spans="1:25" x14ac:dyDescent="0.55000000000000004">
      <c r="A23" t="s">
        <v>94</v>
      </c>
      <c r="B23" t="s">
        <v>95</v>
      </c>
      <c r="C23" t="s">
        <v>96</v>
      </c>
      <c r="D23" t="s">
        <v>97</v>
      </c>
      <c r="E23" t="s">
        <v>98</v>
      </c>
      <c r="F23" t="s">
        <v>99</v>
      </c>
      <c r="G23">
        <v>23297</v>
      </c>
      <c r="H23" t="s">
        <v>108</v>
      </c>
      <c r="I23">
        <v>1</v>
      </c>
      <c r="J23" t="s">
        <v>105</v>
      </c>
      <c r="K23" s="19">
        <v>0.375</v>
      </c>
      <c r="L23" s="19">
        <v>0.625</v>
      </c>
      <c r="M23">
        <v>6</v>
      </c>
      <c r="N23">
        <v>160.55000000000001</v>
      </c>
      <c r="O23">
        <v>44</v>
      </c>
      <c r="P23">
        <v>76</v>
      </c>
      <c r="Q23" t="s">
        <v>99</v>
      </c>
      <c r="R23">
        <v>30</v>
      </c>
      <c r="S23" s="19">
        <v>0.5</v>
      </c>
      <c r="T23">
        <v>0</v>
      </c>
      <c r="U23" s="19">
        <v>0</v>
      </c>
      <c r="V23" t="s">
        <v>99</v>
      </c>
      <c r="W23">
        <v>5.5</v>
      </c>
      <c r="X23" t="s">
        <v>102</v>
      </c>
      <c r="Y23" t="b">
        <v>0</v>
      </c>
    </row>
    <row r="24" spans="1:25" x14ac:dyDescent="0.55000000000000004">
      <c r="A24" t="s">
        <v>94</v>
      </c>
      <c r="B24" t="s">
        <v>95</v>
      </c>
      <c r="C24" t="s">
        <v>96</v>
      </c>
      <c r="D24" t="s">
        <v>97</v>
      </c>
      <c r="E24" t="s">
        <v>98</v>
      </c>
      <c r="F24" t="s">
        <v>99</v>
      </c>
      <c r="G24">
        <v>23297</v>
      </c>
      <c r="H24" t="s">
        <v>108</v>
      </c>
      <c r="I24">
        <v>2</v>
      </c>
      <c r="J24" t="s">
        <v>107</v>
      </c>
      <c r="K24" s="19">
        <v>0.375</v>
      </c>
      <c r="L24" s="19">
        <v>0.625</v>
      </c>
      <c r="M24">
        <v>6</v>
      </c>
      <c r="N24">
        <v>160.55000000000001</v>
      </c>
      <c r="O24">
        <v>44</v>
      </c>
      <c r="P24">
        <v>76</v>
      </c>
      <c r="Q24" t="s">
        <v>99</v>
      </c>
      <c r="R24">
        <v>30</v>
      </c>
      <c r="S24" s="19">
        <v>0.5</v>
      </c>
      <c r="T24">
        <v>0</v>
      </c>
      <c r="U24" s="19">
        <v>0</v>
      </c>
      <c r="V24" t="s">
        <v>99</v>
      </c>
      <c r="W24">
        <v>5.5</v>
      </c>
      <c r="X24" t="s">
        <v>102</v>
      </c>
      <c r="Y24" t="b">
        <v>0</v>
      </c>
    </row>
    <row r="25" spans="1:25" x14ac:dyDescent="0.55000000000000004">
      <c r="A25" t="s">
        <v>94</v>
      </c>
      <c r="B25" t="s">
        <v>95</v>
      </c>
      <c r="C25" t="s">
        <v>96</v>
      </c>
      <c r="D25" t="s">
        <v>97</v>
      </c>
      <c r="E25" t="s">
        <v>98</v>
      </c>
      <c r="F25" t="s">
        <v>99</v>
      </c>
      <c r="G25">
        <v>23297</v>
      </c>
      <c r="H25" t="s">
        <v>108</v>
      </c>
      <c r="I25">
        <v>2</v>
      </c>
      <c r="J25" t="s">
        <v>103</v>
      </c>
      <c r="K25" s="19">
        <v>0.375</v>
      </c>
      <c r="L25" s="19">
        <v>0.625</v>
      </c>
      <c r="M25">
        <v>6</v>
      </c>
      <c r="N25">
        <v>160.55000000000001</v>
      </c>
      <c r="O25">
        <v>44</v>
      </c>
      <c r="P25">
        <v>76</v>
      </c>
      <c r="Q25" t="s">
        <v>99</v>
      </c>
      <c r="R25">
        <v>30</v>
      </c>
      <c r="S25" s="19">
        <v>0.5</v>
      </c>
      <c r="T25">
        <v>0</v>
      </c>
      <c r="U25" s="19">
        <v>0</v>
      </c>
      <c r="V25" t="s">
        <v>99</v>
      </c>
      <c r="W25">
        <v>5.5</v>
      </c>
      <c r="X25" t="s">
        <v>102</v>
      </c>
      <c r="Y25" t="b">
        <v>0</v>
      </c>
    </row>
    <row r="26" spans="1:25" x14ac:dyDescent="0.55000000000000004">
      <c r="A26" t="s">
        <v>94</v>
      </c>
      <c r="B26" t="s">
        <v>95</v>
      </c>
      <c r="C26" t="s">
        <v>96</v>
      </c>
      <c r="D26" t="s">
        <v>97</v>
      </c>
      <c r="E26" t="s">
        <v>98</v>
      </c>
      <c r="F26" t="s">
        <v>99</v>
      </c>
      <c r="G26">
        <v>23297</v>
      </c>
      <c r="H26" t="s">
        <v>108</v>
      </c>
      <c r="I26">
        <v>2</v>
      </c>
      <c r="J26" t="s">
        <v>105</v>
      </c>
      <c r="K26" s="19">
        <v>0.375</v>
      </c>
      <c r="L26" s="19">
        <v>0.625</v>
      </c>
      <c r="M26">
        <v>6</v>
      </c>
      <c r="N26">
        <v>160.55000000000001</v>
      </c>
      <c r="O26">
        <v>44</v>
      </c>
      <c r="P26">
        <v>76</v>
      </c>
      <c r="Q26" t="s">
        <v>99</v>
      </c>
      <c r="R26">
        <v>30</v>
      </c>
      <c r="S26" s="19">
        <v>0.5</v>
      </c>
      <c r="T26">
        <v>0</v>
      </c>
      <c r="U26" s="19">
        <v>0</v>
      </c>
      <c r="V26" t="s">
        <v>99</v>
      </c>
      <c r="W26">
        <v>5.5</v>
      </c>
      <c r="X26" t="s">
        <v>102</v>
      </c>
      <c r="Y26" t="b">
        <v>0</v>
      </c>
    </row>
    <row r="27" spans="1:25" x14ac:dyDescent="0.55000000000000004">
      <c r="A27" t="s">
        <v>94</v>
      </c>
      <c r="B27" t="s">
        <v>95</v>
      </c>
      <c r="C27" t="s">
        <v>96</v>
      </c>
      <c r="D27" t="s">
        <v>97</v>
      </c>
      <c r="E27" t="s">
        <v>98</v>
      </c>
      <c r="F27" t="s">
        <v>99</v>
      </c>
      <c r="G27">
        <v>23964</v>
      </c>
      <c r="H27" t="s">
        <v>109</v>
      </c>
      <c r="I27">
        <v>2</v>
      </c>
      <c r="J27" t="s">
        <v>107</v>
      </c>
      <c r="K27" s="19">
        <v>0.29166666666666669</v>
      </c>
      <c r="L27" s="19">
        <v>0.625</v>
      </c>
      <c r="M27">
        <v>8</v>
      </c>
      <c r="N27">
        <v>266.39999999999998</v>
      </c>
      <c r="O27">
        <v>52.5</v>
      </c>
      <c r="P27">
        <v>76</v>
      </c>
      <c r="Q27" t="s">
        <v>99</v>
      </c>
      <c r="R27">
        <v>30</v>
      </c>
      <c r="S27" s="19">
        <v>0.5</v>
      </c>
      <c r="T27">
        <v>0</v>
      </c>
      <c r="U27" s="19">
        <v>0.54166666666666663</v>
      </c>
      <c r="V27" t="s">
        <v>99</v>
      </c>
      <c r="W27">
        <v>7.5</v>
      </c>
      <c r="X27" t="s">
        <v>102</v>
      </c>
      <c r="Y27" t="b">
        <v>0</v>
      </c>
    </row>
    <row r="28" spans="1:25" x14ac:dyDescent="0.55000000000000004">
      <c r="A28" t="s">
        <v>94</v>
      </c>
      <c r="B28" t="s">
        <v>95</v>
      </c>
      <c r="C28" t="s">
        <v>96</v>
      </c>
      <c r="D28" t="s">
        <v>97</v>
      </c>
      <c r="E28" t="s">
        <v>98</v>
      </c>
      <c r="F28" t="s">
        <v>99</v>
      </c>
      <c r="G28">
        <v>23964</v>
      </c>
      <c r="H28" t="s">
        <v>109</v>
      </c>
      <c r="I28">
        <v>2</v>
      </c>
      <c r="J28" t="s">
        <v>101</v>
      </c>
      <c r="K28" s="19">
        <v>0.29166666666666669</v>
      </c>
      <c r="L28" s="19">
        <v>0.625</v>
      </c>
      <c r="M28">
        <v>8</v>
      </c>
      <c r="N28">
        <v>266.39999999999998</v>
      </c>
      <c r="O28">
        <v>52.5</v>
      </c>
      <c r="P28">
        <v>76</v>
      </c>
      <c r="Q28" t="s">
        <v>99</v>
      </c>
      <c r="R28">
        <v>30</v>
      </c>
      <c r="S28" s="19">
        <v>0.5</v>
      </c>
      <c r="T28">
        <v>0</v>
      </c>
      <c r="U28" s="19">
        <v>0.54166666666666663</v>
      </c>
      <c r="V28" t="s">
        <v>99</v>
      </c>
      <c r="W28">
        <v>7.5</v>
      </c>
      <c r="X28" t="s">
        <v>102</v>
      </c>
      <c r="Y28" t="b">
        <v>0</v>
      </c>
    </row>
    <row r="29" spans="1:25" x14ac:dyDescent="0.55000000000000004">
      <c r="A29" t="s">
        <v>94</v>
      </c>
      <c r="B29" t="s">
        <v>95</v>
      </c>
      <c r="C29" t="s">
        <v>96</v>
      </c>
      <c r="D29" t="s">
        <v>97</v>
      </c>
      <c r="E29" t="s">
        <v>98</v>
      </c>
      <c r="F29" t="s">
        <v>99</v>
      </c>
      <c r="G29">
        <v>23964</v>
      </c>
      <c r="H29" t="s">
        <v>109</v>
      </c>
      <c r="I29">
        <v>2</v>
      </c>
      <c r="J29" t="s">
        <v>104</v>
      </c>
      <c r="K29" s="19">
        <v>0.29166666666666669</v>
      </c>
      <c r="L29" s="19">
        <v>0.625</v>
      </c>
      <c r="M29">
        <v>8</v>
      </c>
      <c r="N29">
        <v>266.39999999999998</v>
      </c>
      <c r="O29">
        <v>52.5</v>
      </c>
      <c r="P29">
        <v>76</v>
      </c>
      <c r="Q29" t="s">
        <v>99</v>
      </c>
      <c r="R29">
        <v>30</v>
      </c>
      <c r="S29" s="19">
        <v>0.5</v>
      </c>
      <c r="T29">
        <v>0</v>
      </c>
      <c r="U29" s="19">
        <v>0.54166666666666663</v>
      </c>
      <c r="V29" t="s">
        <v>99</v>
      </c>
      <c r="W29">
        <v>7.5</v>
      </c>
      <c r="X29" t="s">
        <v>102</v>
      </c>
      <c r="Y29" t="b">
        <v>0</v>
      </c>
    </row>
    <row r="30" spans="1:25" x14ac:dyDescent="0.55000000000000004">
      <c r="A30" t="s">
        <v>94</v>
      </c>
      <c r="B30" t="s">
        <v>95</v>
      </c>
      <c r="C30" t="s">
        <v>96</v>
      </c>
      <c r="D30" t="s">
        <v>97</v>
      </c>
      <c r="E30" t="s">
        <v>98</v>
      </c>
      <c r="F30" t="s">
        <v>99</v>
      </c>
      <c r="G30">
        <v>23964</v>
      </c>
      <c r="H30" t="s">
        <v>109</v>
      </c>
      <c r="I30">
        <v>2</v>
      </c>
      <c r="J30" t="s">
        <v>105</v>
      </c>
      <c r="K30" s="19">
        <v>0.29166666666666669</v>
      </c>
      <c r="L30" s="19">
        <v>0.625</v>
      </c>
      <c r="M30">
        <v>8</v>
      </c>
      <c r="N30">
        <v>266.39999999999998</v>
      </c>
      <c r="O30">
        <v>52.5</v>
      </c>
      <c r="P30">
        <v>76</v>
      </c>
      <c r="Q30" t="s">
        <v>99</v>
      </c>
      <c r="R30">
        <v>30</v>
      </c>
      <c r="S30" s="19">
        <v>0.5</v>
      </c>
      <c r="U30" s="19"/>
      <c r="V30" t="s">
        <v>99</v>
      </c>
      <c r="W30">
        <v>7.5</v>
      </c>
      <c r="X30" t="s">
        <v>102</v>
      </c>
      <c r="Y30" t="b">
        <v>0</v>
      </c>
    </row>
    <row r="31" spans="1:25" x14ac:dyDescent="0.55000000000000004">
      <c r="A31" t="s">
        <v>94</v>
      </c>
      <c r="B31" t="s">
        <v>110</v>
      </c>
      <c r="C31" t="s">
        <v>96</v>
      </c>
      <c r="D31" t="s">
        <v>111</v>
      </c>
      <c r="E31" t="s">
        <v>112</v>
      </c>
      <c r="F31" t="s">
        <v>113</v>
      </c>
      <c r="G31">
        <v>18301</v>
      </c>
      <c r="H31" t="s">
        <v>114</v>
      </c>
      <c r="I31">
        <v>1</v>
      </c>
      <c r="J31" t="s">
        <v>107</v>
      </c>
      <c r="K31" s="19">
        <v>0.25</v>
      </c>
      <c r="L31" s="19">
        <v>0.58333333333333337</v>
      </c>
      <c r="M31">
        <v>8</v>
      </c>
      <c r="N31">
        <v>254.47</v>
      </c>
      <c r="O31">
        <v>60.5</v>
      </c>
      <c r="P31">
        <v>76</v>
      </c>
      <c r="Q31" t="s">
        <v>99</v>
      </c>
      <c r="R31">
        <v>30</v>
      </c>
      <c r="S31" s="19">
        <v>0.4375</v>
      </c>
      <c r="U31" s="19"/>
      <c r="V31" t="s">
        <v>99</v>
      </c>
      <c r="W31">
        <v>7.5</v>
      </c>
      <c r="X31" t="s">
        <v>102</v>
      </c>
      <c r="Y31" t="b">
        <v>0</v>
      </c>
    </row>
    <row r="32" spans="1:25" x14ac:dyDescent="0.55000000000000004">
      <c r="A32" t="s">
        <v>94</v>
      </c>
      <c r="B32" t="s">
        <v>110</v>
      </c>
      <c r="C32" t="s">
        <v>96</v>
      </c>
      <c r="D32" t="s">
        <v>111</v>
      </c>
      <c r="E32" t="s">
        <v>112</v>
      </c>
      <c r="F32" t="s">
        <v>113</v>
      </c>
      <c r="G32">
        <v>18301</v>
      </c>
      <c r="H32" t="s">
        <v>114</v>
      </c>
      <c r="I32">
        <v>1</v>
      </c>
      <c r="J32" t="s">
        <v>101</v>
      </c>
      <c r="K32" s="19">
        <v>0.25</v>
      </c>
      <c r="L32" s="19">
        <v>0.58333333333333337</v>
      </c>
      <c r="M32">
        <v>8</v>
      </c>
      <c r="N32">
        <v>254.47</v>
      </c>
      <c r="O32">
        <v>60.5</v>
      </c>
      <c r="P32">
        <v>76</v>
      </c>
      <c r="Q32" t="s">
        <v>99</v>
      </c>
      <c r="R32">
        <v>30</v>
      </c>
      <c r="S32" s="19">
        <v>0.4375</v>
      </c>
      <c r="U32" s="19"/>
      <c r="V32" t="s">
        <v>99</v>
      </c>
      <c r="W32">
        <v>7.5</v>
      </c>
      <c r="X32" t="s">
        <v>102</v>
      </c>
      <c r="Y32" t="b">
        <v>0</v>
      </c>
    </row>
    <row r="33" spans="1:25" x14ac:dyDescent="0.55000000000000004">
      <c r="A33" t="s">
        <v>94</v>
      </c>
      <c r="B33" t="s">
        <v>110</v>
      </c>
      <c r="C33" t="s">
        <v>96</v>
      </c>
      <c r="D33" t="s">
        <v>111</v>
      </c>
      <c r="E33" t="s">
        <v>112</v>
      </c>
      <c r="F33" t="s">
        <v>113</v>
      </c>
      <c r="G33">
        <v>18301</v>
      </c>
      <c r="H33" t="s">
        <v>114</v>
      </c>
      <c r="I33">
        <v>1</v>
      </c>
      <c r="J33" t="s">
        <v>115</v>
      </c>
      <c r="K33" s="19">
        <v>0.25</v>
      </c>
      <c r="L33" s="19">
        <v>0.58333333333333337</v>
      </c>
      <c r="M33">
        <v>8</v>
      </c>
      <c r="N33">
        <v>381.71</v>
      </c>
      <c r="O33">
        <v>60.5</v>
      </c>
      <c r="P33">
        <v>76</v>
      </c>
      <c r="Q33" t="s">
        <v>99</v>
      </c>
      <c r="R33">
        <v>30</v>
      </c>
      <c r="S33" s="19">
        <v>0.4375</v>
      </c>
      <c r="T33">
        <v>0</v>
      </c>
      <c r="U33" s="19">
        <v>0.54166666666666663</v>
      </c>
      <c r="V33" t="s">
        <v>99</v>
      </c>
      <c r="W33">
        <v>7.5</v>
      </c>
      <c r="X33" t="s">
        <v>102</v>
      </c>
      <c r="Y33" t="b">
        <v>0</v>
      </c>
    </row>
    <row r="34" spans="1:25" x14ac:dyDescent="0.55000000000000004">
      <c r="A34" t="s">
        <v>94</v>
      </c>
      <c r="B34" t="s">
        <v>110</v>
      </c>
      <c r="C34" t="s">
        <v>96</v>
      </c>
      <c r="D34" t="s">
        <v>111</v>
      </c>
      <c r="E34" t="s">
        <v>112</v>
      </c>
      <c r="F34" t="s">
        <v>113</v>
      </c>
      <c r="G34">
        <v>18301</v>
      </c>
      <c r="H34" t="s">
        <v>114</v>
      </c>
      <c r="I34">
        <v>1</v>
      </c>
      <c r="J34" t="s">
        <v>116</v>
      </c>
      <c r="K34" s="19">
        <v>0.25</v>
      </c>
      <c r="L34" s="19">
        <v>0.58333333333333337</v>
      </c>
      <c r="M34">
        <v>8</v>
      </c>
      <c r="N34">
        <v>445.33</v>
      </c>
      <c r="O34">
        <v>60.5</v>
      </c>
      <c r="P34">
        <v>76</v>
      </c>
      <c r="Q34" t="s">
        <v>99</v>
      </c>
      <c r="R34">
        <v>30</v>
      </c>
      <c r="S34" s="19">
        <v>0.4375</v>
      </c>
      <c r="T34">
        <v>0</v>
      </c>
      <c r="U34" s="19">
        <v>0.54166666666666663</v>
      </c>
      <c r="V34" t="s">
        <v>99</v>
      </c>
      <c r="W34">
        <v>7.5</v>
      </c>
      <c r="X34" t="s">
        <v>102</v>
      </c>
      <c r="Y34" t="b">
        <v>0</v>
      </c>
    </row>
    <row r="35" spans="1:25" x14ac:dyDescent="0.55000000000000004">
      <c r="A35" t="s">
        <v>94</v>
      </c>
      <c r="B35" t="s">
        <v>110</v>
      </c>
      <c r="C35" t="s">
        <v>96</v>
      </c>
      <c r="D35" t="s">
        <v>111</v>
      </c>
      <c r="E35" t="s">
        <v>112</v>
      </c>
      <c r="F35" t="s">
        <v>113</v>
      </c>
      <c r="G35">
        <v>18301</v>
      </c>
      <c r="H35" t="s">
        <v>114</v>
      </c>
      <c r="I35">
        <v>2</v>
      </c>
      <c r="J35" t="s">
        <v>107</v>
      </c>
      <c r="K35" s="19">
        <v>0.25</v>
      </c>
      <c r="L35" s="19">
        <v>0.58333333333333337</v>
      </c>
      <c r="M35">
        <v>8</v>
      </c>
      <c r="N35">
        <v>254.47</v>
      </c>
      <c r="O35">
        <v>60.5</v>
      </c>
      <c r="P35">
        <v>76</v>
      </c>
      <c r="Q35" t="s">
        <v>99</v>
      </c>
      <c r="R35">
        <v>30</v>
      </c>
      <c r="S35" s="19">
        <v>0.4375</v>
      </c>
      <c r="U35" s="19"/>
      <c r="V35" t="s">
        <v>99</v>
      </c>
      <c r="W35">
        <v>7.5</v>
      </c>
      <c r="X35" t="s">
        <v>102</v>
      </c>
      <c r="Y35" t="b">
        <v>0</v>
      </c>
    </row>
    <row r="36" spans="1:25" x14ac:dyDescent="0.55000000000000004">
      <c r="A36" t="s">
        <v>94</v>
      </c>
      <c r="B36" t="s">
        <v>110</v>
      </c>
      <c r="C36" t="s">
        <v>96</v>
      </c>
      <c r="D36" t="s">
        <v>111</v>
      </c>
      <c r="E36" t="s">
        <v>112</v>
      </c>
      <c r="F36" t="s">
        <v>113</v>
      </c>
      <c r="G36">
        <v>18301</v>
      </c>
      <c r="H36" t="s">
        <v>114</v>
      </c>
      <c r="I36">
        <v>2</v>
      </c>
      <c r="J36" t="s">
        <v>101</v>
      </c>
      <c r="K36" s="19">
        <v>0.25</v>
      </c>
      <c r="L36" s="19">
        <v>0.58333333333333337</v>
      </c>
      <c r="M36">
        <v>8</v>
      </c>
      <c r="N36">
        <v>254.47</v>
      </c>
      <c r="O36">
        <v>60.5</v>
      </c>
      <c r="P36">
        <v>76</v>
      </c>
      <c r="Q36" t="s">
        <v>99</v>
      </c>
      <c r="R36">
        <v>30</v>
      </c>
      <c r="S36" s="19">
        <v>0.4375</v>
      </c>
      <c r="U36" s="19"/>
      <c r="V36" t="s">
        <v>99</v>
      </c>
      <c r="W36">
        <v>7.5</v>
      </c>
      <c r="X36" t="s">
        <v>102</v>
      </c>
      <c r="Y36" t="b">
        <v>0</v>
      </c>
    </row>
    <row r="37" spans="1:25" x14ac:dyDescent="0.55000000000000004">
      <c r="A37" t="s">
        <v>94</v>
      </c>
      <c r="B37" t="s">
        <v>110</v>
      </c>
      <c r="C37" t="s">
        <v>96</v>
      </c>
      <c r="D37" t="s">
        <v>111</v>
      </c>
      <c r="E37" t="s">
        <v>112</v>
      </c>
      <c r="F37" t="s">
        <v>113</v>
      </c>
      <c r="G37">
        <v>18301</v>
      </c>
      <c r="H37" t="s">
        <v>114</v>
      </c>
      <c r="I37">
        <v>2</v>
      </c>
      <c r="J37" t="s">
        <v>115</v>
      </c>
      <c r="K37" s="19">
        <v>0.25</v>
      </c>
      <c r="L37" s="19">
        <v>0.58333333333333337</v>
      </c>
      <c r="M37">
        <v>8</v>
      </c>
      <c r="N37">
        <v>381.71</v>
      </c>
      <c r="O37">
        <v>60.5</v>
      </c>
      <c r="P37">
        <v>76</v>
      </c>
      <c r="Q37" t="s">
        <v>99</v>
      </c>
      <c r="R37">
        <v>30</v>
      </c>
      <c r="S37" s="19">
        <v>0.4375</v>
      </c>
      <c r="T37">
        <v>0</v>
      </c>
      <c r="U37" s="19">
        <v>0.54166666666666663</v>
      </c>
      <c r="V37" t="s">
        <v>99</v>
      </c>
      <c r="W37">
        <v>7.5</v>
      </c>
      <c r="X37" t="s">
        <v>102</v>
      </c>
      <c r="Y37" t="b">
        <v>0</v>
      </c>
    </row>
    <row r="38" spans="1:25" x14ac:dyDescent="0.55000000000000004">
      <c r="A38" t="s">
        <v>94</v>
      </c>
      <c r="B38" t="s">
        <v>110</v>
      </c>
      <c r="C38" t="s">
        <v>96</v>
      </c>
      <c r="D38" t="s">
        <v>111</v>
      </c>
      <c r="E38" t="s">
        <v>112</v>
      </c>
      <c r="F38" t="s">
        <v>113</v>
      </c>
      <c r="G38">
        <v>18301</v>
      </c>
      <c r="H38" t="s">
        <v>114</v>
      </c>
      <c r="I38">
        <v>2</v>
      </c>
      <c r="J38" t="s">
        <v>116</v>
      </c>
      <c r="K38" s="19">
        <v>0.25</v>
      </c>
      <c r="L38" s="19">
        <v>0.58333333333333337</v>
      </c>
      <c r="M38">
        <v>8</v>
      </c>
      <c r="N38">
        <v>445.33</v>
      </c>
      <c r="O38">
        <v>60.5</v>
      </c>
      <c r="P38">
        <v>76</v>
      </c>
      <c r="Q38" t="s">
        <v>99</v>
      </c>
      <c r="R38">
        <v>30</v>
      </c>
      <c r="S38" s="19">
        <v>0.4375</v>
      </c>
      <c r="T38">
        <v>0</v>
      </c>
      <c r="U38" s="19">
        <v>0.54166666666666663</v>
      </c>
      <c r="V38" t="s">
        <v>99</v>
      </c>
      <c r="W38">
        <v>7.5</v>
      </c>
      <c r="X38" t="s">
        <v>102</v>
      </c>
      <c r="Y38" t="b">
        <v>0</v>
      </c>
    </row>
    <row r="39" spans="1:25" x14ac:dyDescent="0.55000000000000004">
      <c r="A39" t="s">
        <v>94</v>
      </c>
      <c r="B39" t="s">
        <v>110</v>
      </c>
      <c r="C39" t="s">
        <v>96</v>
      </c>
      <c r="D39" t="s">
        <v>111</v>
      </c>
      <c r="E39" t="s">
        <v>117</v>
      </c>
      <c r="F39" t="s">
        <v>118</v>
      </c>
      <c r="H39" t="s">
        <v>99</v>
      </c>
      <c r="I39">
        <v>1</v>
      </c>
      <c r="J39" t="s">
        <v>107</v>
      </c>
      <c r="K39" s="19">
        <v>0.54166666666666663</v>
      </c>
      <c r="L39" s="19">
        <v>0.8125</v>
      </c>
      <c r="M39">
        <v>6.5</v>
      </c>
      <c r="N39">
        <v>174.3</v>
      </c>
      <c r="O39">
        <v>0</v>
      </c>
      <c r="P39">
        <v>0</v>
      </c>
      <c r="Q39" t="s">
        <v>99</v>
      </c>
      <c r="R39">
        <v>30</v>
      </c>
      <c r="S39" s="19">
        <v>0.75</v>
      </c>
      <c r="T39">
        <v>0</v>
      </c>
      <c r="U39" s="19">
        <v>0.54166666666666663</v>
      </c>
      <c r="V39" t="s">
        <v>99</v>
      </c>
      <c r="W39">
        <v>6</v>
      </c>
      <c r="X39" t="s">
        <v>102</v>
      </c>
      <c r="Y39" t="b">
        <v>0</v>
      </c>
    </row>
    <row r="40" spans="1:25" x14ac:dyDescent="0.55000000000000004">
      <c r="A40" t="s">
        <v>94</v>
      </c>
      <c r="B40" t="s">
        <v>110</v>
      </c>
      <c r="C40" t="s">
        <v>96</v>
      </c>
      <c r="D40" t="s">
        <v>111</v>
      </c>
      <c r="E40" t="s">
        <v>117</v>
      </c>
      <c r="F40" t="s">
        <v>118</v>
      </c>
      <c r="H40" t="s">
        <v>99</v>
      </c>
      <c r="I40">
        <v>2</v>
      </c>
      <c r="J40" t="s">
        <v>104</v>
      </c>
      <c r="K40" s="19">
        <v>0.54166666666666663</v>
      </c>
      <c r="L40" s="19">
        <v>0.8125</v>
      </c>
      <c r="M40">
        <v>6.5</v>
      </c>
      <c r="N40">
        <v>0</v>
      </c>
      <c r="O40">
        <v>0</v>
      </c>
      <c r="P40">
        <v>0</v>
      </c>
      <c r="Q40" t="s">
        <v>99</v>
      </c>
      <c r="R40">
        <v>30</v>
      </c>
      <c r="S40" s="19">
        <v>0.75</v>
      </c>
      <c r="T40">
        <v>0</v>
      </c>
      <c r="U40" s="19">
        <v>0.54166666666666663</v>
      </c>
      <c r="V40" t="s">
        <v>99</v>
      </c>
      <c r="W40">
        <v>6</v>
      </c>
      <c r="X40" t="s">
        <v>102</v>
      </c>
      <c r="Y40" t="b">
        <v>0</v>
      </c>
    </row>
    <row r="41" spans="1:25" x14ac:dyDescent="0.55000000000000004">
      <c r="A41" t="s">
        <v>94</v>
      </c>
      <c r="B41" t="s">
        <v>110</v>
      </c>
      <c r="C41" t="s">
        <v>96</v>
      </c>
      <c r="D41" t="s">
        <v>111</v>
      </c>
      <c r="E41" t="s">
        <v>117</v>
      </c>
      <c r="F41" t="s">
        <v>118</v>
      </c>
      <c r="G41">
        <v>19446</v>
      </c>
      <c r="H41" t="s">
        <v>119</v>
      </c>
      <c r="I41">
        <v>1</v>
      </c>
      <c r="J41" t="s">
        <v>101</v>
      </c>
      <c r="K41" s="19">
        <v>0.54166666666666663</v>
      </c>
      <c r="L41" s="19">
        <v>0.8125</v>
      </c>
      <c r="M41">
        <v>6.5</v>
      </c>
      <c r="N41">
        <v>0</v>
      </c>
      <c r="O41">
        <v>16</v>
      </c>
      <c r="P41">
        <v>76</v>
      </c>
      <c r="Q41" t="s">
        <v>99</v>
      </c>
      <c r="R41">
        <v>30</v>
      </c>
      <c r="S41" s="19">
        <v>0.75</v>
      </c>
      <c r="T41">
        <v>0</v>
      </c>
      <c r="U41" s="19">
        <v>0.54166666666666663</v>
      </c>
      <c r="V41" t="s">
        <v>99</v>
      </c>
      <c r="W41">
        <v>6</v>
      </c>
      <c r="X41" t="s">
        <v>102</v>
      </c>
      <c r="Y41" t="b">
        <v>0</v>
      </c>
    </row>
    <row r="42" spans="1:25" x14ac:dyDescent="0.55000000000000004">
      <c r="A42" t="s">
        <v>94</v>
      </c>
      <c r="B42" t="s">
        <v>110</v>
      </c>
      <c r="C42" t="s">
        <v>96</v>
      </c>
      <c r="D42" t="s">
        <v>111</v>
      </c>
      <c r="E42" t="s">
        <v>117</v>
      </c>
      <c r="F42" t="s">
        <v>118</v>
      </c>
      <c r="G42">
        <v>19446</v>
      </c>
      <c r="H42" t="s">
        <v>119</v>
      </c>
      <c r="I42">
        <v>1</v>
      </c>
      <c r="J42" t="s">
        <v>115</v>
      </c>
      <c r="K42" s="19">
        <v>0.54166666666666663</v>
      </c>
      <c r="L42" s="19">
        <v>0.8125</v>
      </c>
      <c r="M42">
        <v>6.5</v>
      </c>
      <c r="N42">
        <v>0</v>
      </c>
      <c r="O42">
        <v>16</v>
      </c>
      <c r="P42">
        <v>76</v>
      </c>
      <c r="Q42" t="s">
        <v>99</v>
      </c>
      <c r="R42">
        <v>30</v>
      </c>
      <c r="S42" s="19">
        <v>0.75</v>
      </c>
      <c r="T42">
        <v>0</v>
      </c>
      <c r="U42" s="19">
        <v>0.54166666666666663</v>
      </c>
      <c r="V42" t="s">
        <v>99</v>
      </c>
      <c r="W42">
        <v>6</v>
      </c>
      <c r="X42" t="s">
        <v>102</v>
      </c>
      <c r="Y42" t="b">
        <v>0</v>
      </c>
    </row>
    <row r="43" spans="1:25" x14ac:dyDescent="0.55000000000000004">
      <c r="A43" t="s">
        <v>94</v>
      </c>
      <c r="B43" t="s">
        <v>110</v>
      </c>
      <c r="C43" t="s">
        <v>96</v>
      </c>
      <c r="D43" t="s">
        <v>111</v>
      </c>
      <c r="E43" t="s">
        <v>117</v>
      </c>
      <c r="F43" t="s">
        <v>118</v>
      </c>
      <c r="G43">
        <v>19446</v>
      </c>
      <c r="H43" t="s">
        <v>119</v>
      </c>
      <c r="I43">
        <v>2</v>
      </c>
      <c r="J43" t="s">
        <v>101</v>
      </c>
      <c r="K43" s="19">
        <v>0.54166666666666663</v>
      </c>
      <c r="L43" s="19">
        <v>0.8125</v>
      </c>
      <c r="M43">
        <v>6.5</v>
      </c>
      <c r="N43">
        <v>0</v>
      </c>
      <c r="O43">
        <v>16</v>
      </c>
      <c r="P43">
        <v>76</v>
      </c>
      <c r="Q43" t="s">
        <v>99</v>
      </c>
      <c r="R43">
        <v>30</v>
      </c>
      <c r="S43" s="19">
        <v>0.75</v>
      </c>
      <c r="T43">
        <v>0</v>
      </c>
      <c r="U43" s="19">
        <v>0.54166666666666663</v>
      </c>
      <c r="V43" t="s">
        <v>99</v>
      </c>
      <c r="W43">
        <v>6</v>
      </c>
      <c r="X43" t="s">
        <v>102</v>
      </c>
      <c r="Y43" t="b">
        <v>0</v>
      </c>
    </row>
    <row r="44" spans="1:25" x14ac:dyDescent="0.55000000000000004">
      <c r="A44" t="s">
        <v>94</v>
      </c>
      <c r="B44" t="s">
        <v>110</v>
      </c>
      <c r="C44" t="s">
        <v>96</v>
      </c>
      <c r="D44" t="s">
        <v>111</v>
      </c>
      <c r="E44" t="s">
        <v>117</v>
      </c>
      <c r="F44" t="s">
        <v>118</v>
      </c>
      <c r="G44">
        <v>19446</v>
      </c>
      <c r="H44" t="s">
        <v>119</v>
      </c>
      <c r="I44">
        <v>2</v>
      </c>
      <c r="J44" t="s">
        <v>115</v>
      </c>
      <c r="K44" s="19">
        <v>0.54166666666666663</v>
      </c>
      <c r="L44" s="19">
        <v>0.8125</v>
      </c>
      <c r="M44">
        <v>6.5</v>
      </c>
      <c r="N44">
        <v>0</v>
      </c>
      <c r="O44">
        <v>16</v>
      </c>
      <c r="P44">
        <v>76</v>
      </c>
      <c r="Q44" t="s">
        <v>99</v>
      </c>
      <c r="R44">
        <v>30</v>
      </c>
      <c r="S44" s="19">
        <v>0.75</v>
      </c>
      <c r="T44">
        <v>0</v>
      </c>
      <c r="U44" s="19">
        <v>0.54166666666666663</v>
      </c>
      <c r="V44" t="s">
        <v>99</v>
      </c>
      <c r="W44">
        <v>6</v>
      </c>
      <c r="X44" t="s">
        <v>102</v>
      </c>
      <c r="Y44" t="b">
        <v>0</v>
      </c>
    </row>
    <row r="45" spans="1:25" x14ac:dyDescent="0.55000000000000004">
      <c r="A45" t="s">
        <v>94</v>
      </c>
      <c r="B45" t="s">
        <v>110</v>
      </c>
      <c r="C45" t="s">
        <v>96</v>
      </c>
      <c r="D45" t="s">
        <v>111</v>
      </c>
      <c r="E45" t="s">
        <v>117</v>
      </c>
      <c r="F45" t="s">
        <v>118</v>
      </c>
      <c r="G45">
        <v>21587</v>
      </c>
      <c r="H45" t="s">
        <v>120</v>
      </c>
      <c r="I45">
        <v>1</v>
      </c>
      <c r="J45" t="s">
        <v>116</v>
      </c>
      <c r="K45" s="19">
        <v>0.29166666666666669</v>
      </c>
      <c r="L45" s="19">
        <v>0.5625</v>
      </c>
      <c r="M45">
        <v>6.5</v>
      </c>
      <c r="N45">
        <v>305.02</v>
      </c>
      <c r="O45">
        <v>48</v>
      </c>
      <c r="P45">
        <v>76</v>
      </c>
      <c r="Q45" t="s">
        <v>99</v>
      </c>
      <c r="R45">
        <v>30</v>
      </c>
      <c r="S45" s="19">
        <v>0.5</v>
      </c>
      <c r="T45">
        <v>0</v>
      </c>
      <c r="U45" s="19">
        <v>0.54166666666666663</v>
      </c>
      <c r="V45" t="s">
        <v>99</v>
      </c>
      <c r="W45">
        <v>6</v>
      </c>
      <c r="X45" t="s">
        <v>102</v>
      </c>
      <c r="Y45" t="b">
        <v>0</v>
      </c>
    </row>
    <row r="46" spans="1:25" x14ac:dyDescent="0.55000000000000004">
      <c r="A46" t="s">
        <v>94</v>
      </c>
      <c r="B46" t="s">
        <v>110</v>
      </c>
      <c r="C46" t="s">
        <v>96</v>
      </c>
      <c r="D46" t="s">
        <v>111</v>
      </c>
      <c r="E46" t="s">
        <v>117</v>
      </c>
      <c r="F46" t="s">
        <v>118</v>
      </c>
      <c r="G46">
        <v>21587</v>
      </c>
      <c r="H46" t="s">
        <v>120</v>
      </c>
      <c r="I46">
        <v>2</v>
      </c>
      <c r="J46" t="s">
        <v>101</v>
      </c>
      <c r="K46" s="19">
        <v>0.29166666666666669</v>
      </c>
      <c r="L46" s="19">
        <v>0.5625</v>
      </c>
      <c r="M46">
        <v>6.5</v>
      </c>
      <c r="N46">
        <v>174.3</v>
      </c>
      <c r="O46">
        <v>48</v>
      </c>
      <c r="P46">
        <v>76</v>
      </c>
      <c r="Q46" t="s">
        <v>99</v>
      </c>
      <c r="R46">
        <v>30</v>
      </c>
      <c r="S46" s="19">
        <v>0.5</v>
      </c>
      <c r="T46">
        <v>0</v>
      </c>
      <c r="U46" s="19">
        <v>0.54166666666666663</v>
      </c>
      <c r="V46" t="s">
        <v>99</v>
      </c>
      <c r="W46">
        <v>6</v>
      </c>
      <c r="X46" t="s">
        <v>102</v>
      </c>
      <c r="Y46" t="b">
        <v>0</v>
      </c>
    </row>
    <row r="47" spans="1:25" x14ac:dyDescent="0.55000000000000004">
      <c r="A47" t="s">
        <v>94</v>
      </c>
      <c r="B47" t="s">
        <v>110</v>
      </c>
      <c r="C47" t="s">
        <v>96</v>
      </c>
      <c r="D47" t="s">
        <v>111</v>
      </c>
      <c r="E47" t="s">
        <v>117</v>
      </c>
      <c r="F47" t="s">
        <v>118</v>
      </c>
      <c r="G47">
        <v>21587</v>
      </c>
      <c r="H47" t="s">
        <v>120</v>
      </c>
      <c r="I47">
        <v>2</v>
      </c>
      <c r="J47" t="s">
        <v>104</v>
      </c>
      <c r="K47" s="19">
        <v>0.29166666666666669</v>
      </c>
      <c r="L47" s="19">
        <v>0.5625</v>
      </c>
      <c r="M47">
        <v>6.5</v>
      </c>
      <c r="N47">
        <v>174.3</v>
      </c>
      <c r="O47">
        <v>48</v>
      </c>
      <c r="P47">
        <v>76</v>
      </c>
      <c r="Q47" t="s">
        <v>99</v>
      </c>
      <c r="R47">
        <v>30</v>
      </c>
      <c r="S47" s="19">
        <v>0.5</v>
      </c>
      <c r="T47">
        <v>0</v>
      </c>
      <c r="U47" s="19">
        <v>0.54166666666666663</v>
      </c>
      <c r="V47" t="s">
        <v>99</v>
      </c>
      <c r="W47">
        <v>6</v>
      </c>
      <c r="X47" t="s">
        <v>102</v>
      </c>
      <c r="Y47" t="b">
        <v>0</v>
      </c>
    </row>
    <row r="48" spans="1:25" x14ac:dyDescent="0.55000000000000004">
      <c r="A48" t="s">
        <v>94</v>
      </c>
      <c r="B48" t="s">
        <v>110</v>
      </c>
      <c r="C48" t="s">
        <v>96</v>
      </c>
      <c r="D48" t="s">
        <v>111</v>
      </c>
      <c r="E48" t="s">
        <v>117</v>
      </c>
      <c r="F48" t="s">
        <v>118</v>
      </c>
      <c r="G48">
        <v>23264</v>
      </c>
      <c r="H48" t="s">
        <v>121</v>
      </c>
      <c r="I48">
        <v>1</v>
      </c>
      <c r="J48" t="s">
        <v>103</v>
      </c>
      <c r="K48" s="19">
        <v>0.54166666666666663</v>
      </c>
      <c r="L48" s="19">
        <v>0.8125</v>
      </c>
      <c r="M48">
        <v>6.5</v>
      </c>
      <c r="N48">
        <v>196.09</v>
      </c>
      <c r="O48">
        <v>64.5</v>
      </c>
      <c r="P48">
        <v>76</v>
      </c>
      <c r="Q48" t="s">
        <v>99</v>
      </c>
      <c r="R48">
        <v>30</v>
      </c>
      <c r="S48" s="19">
        <v>0.75</v>
      </c>
      <c r="T48">
        <v>0</v>
      </c>
      <c r="U48" s="19">
        <v>0.54166666666666663</v>
      </c>
      <c r="V48" t="s">
        <v>99</v>
      </c>
      <c r="W48">
        <v>6</v>
      </c>
      <c r="X48" t="s">
        <v>102</v>
      </c>
      <c r="Y48" t="b">
        <v>0</v>
      </c>
    </row>
    <row r="49" spans="1:25" x14ac:dyDescent="0.55000000000000004">
      <c r="A49" t="s">
        <v>94</v>
      </c>
      <c r="B49" t="s">
        <v>110</v>
      </c>
      <c r="C49" t="s">
        <v>96</v>
      </c>
      <c r="D49" t="s">
        <v>111</v>
      </c>
      <c r="E49" t="s">
        <v>117</v>
      </c>
      <c r="F49" t="s">
        <v>118</v>
      </c>
      <c r="G49">
        <v>23453</v>
      </c>
      <c r="H49" t="s">
        <v>122</v>
      </c>
      <c r="I49">
        <v>2</v>
      </c>
      <c r="J49" t="s">
        <v>115</v>
      </c>
      <c r="K49" s="19">
        <v>0.29166666666666669</v>
      </c>
      <c r="L49" s="19">
        <v>0.5625</v>
      </c>
      <c r="M49">
        <v>6.5</v>
      </c>
      <c r="N49">
        <v>240.93</v>
      </c>
      <c r="O49">
        <v>18</v>
      </c>
      <c r="P49">
        <v>76</v>
      </c>
      <c r="Q49" t="s">
        <v>99</v>
      </c>
      <c r="R49">
        <v>30</v>
      </c>
      <c r="S49" s="19">
        <v>0.5</v>
      </c>
      <c r="T49">
        <v>0</v>
      </c>
      <c r="U49" s="19">
        <v>0.54166666666666663</v>
      </c>
      <c r="V49" t="s">
        <v>99</v>
      </c>
      <c r="W49">
        <v>6</v>
      </c>
      <c r="X49" t="s">
        <v>102</v>
      </c>
      <c r="Y49" t="b">
        <v>0</v>
      </c>
    </row>
    <row r="50" spans="1:25" x14ac:dyDescent="0.55000000000000004">
      <c r="A50" t="s">
        <v>94</v>
      </c>
      <c r="B50" t="s">
        <v>110</v>
      </c>
      <c r="C50" t="s">
        <v>96</v>
      </c>
      <c r="D50" t="s">
        <v>111</v>
      </c>
      <c r="E50" t="s">
        <v>117</v>
      </c>
      <c r="F50" t="s">
        <v>118</v>
      </c>
      <c r="G50">
        <v>24344</v>
      </c>
      <c r="H50" t="s">
        <v>123</v>
      </c>
      <c r="I50">
        <v>1</v>
      </c>
      <c r="J50" t="s">
        <v>115</v>
      </c>
      <c r="K50" s="19">
        <v>0.29166666666666669</v>
      </c>
      <c r="L50" s="19">
        <v>0.5625</v>
      </c>
      <c r="M50">
        <v>6.5</v>
      </c>
      <c r="N50">
        <v>261.45</v>
      </c>
      <c r="O50">
        <v>36</v>
      </c>
      <c r="P50">
        <v>76</v>
      </c>
      <c r="Q50" t="s">
        <v>99</v>
      </c>
      <c r="R50">
        <v>30</v>
      </c>
      <c r="S50" s="19">
        <v>0.5</v>
      </c>
      <c r="T50">
        <v>0</v>
      </c>
      <c r="U50" s="19">
        <v>0.54166666666666663</v>
      </c>
      <c r="V50" t="s">
        <v>99</v>
      </c>
      <c r="W50">
        <v>6</v>
      </c>
      <c r="X50" t="s">
        <v>102</v>
      </c>
      <c r="Y50" t="b">
        <v>0</v>
      </c>
    </row>
    <row r="51" spans="1:25" x14ac:dyDescent="0.55000000000000004">
      <c r="A51" t="s">
        <v>94</v>
      </c>
      <c r="B51" t="s">
        <v>110</v>
      </c>
      <c r="C51" t="s">
        <v>96</v>
      </c>
      <c r="D51" t="s">
        <v>111</v>
      </c>
      <c r="E51" t="s">
        <v>117</v>
      </c>
      <c r="F51" t="s">
        <v>118</v>
      </c>
      <c r="G51">
        <v>24344</v>
      </c>
      <c r="H51" t="s">
        <v>123</v>
      </c>
      <c r="I51">
        <v>2</v>
      </c>
      <c r="J51" t="s">
        <v>107</v>
      </c>
      <c r="K51" s="19">
        <v>0.54166666666666663</v>
      </c>
      <c r="L51" s="19">
        <v>0.8125</v>
      </c>
      <c r="M51">
        <v>6.5</v>
      </c>
      <c r="N51">
        <v>196.09</v>
      </c>
      <c r="O51">
        <v>36</v>
      </c>
      <c r="P51">
        <v>76</v>
      </c>
      <c r="Q51" t="s">
        <v>99</v>
      </c>
      <c r="R51">
        <v>30</v>
      </c>
      <c r="S51" s="19">
        <v>0.75</v>
      </c>
      <c r="T51">
        <v>0</v>
      </c>
      <c r="U51" s="19">
        <v>0.54166666666666663</v>
      </c>
      <c r="V51" t="s">
        <v>99</v>
      </c>
      <c r="W51">
        <v>6</v>
      </c>
      <c r="X51" t="s">
        <v>102</v>
      </c>
      <c r="Y51" t="b">
        <v>0</v>
      </c>
    </row>
    <row r="52" spans="1:25" x14ac:dyDescent="0.55000000000000004">
      <c r="A52" t="s">
        <v>94</v>
      </c>
      <c r="B52" t="s">
        <v>110</v>
      </c>
      <c r="C52" t="s">
        <v>96</v>
      </c>
      <c r="D52" t="s">
        <v>111</v>
      </c>
      <c r="E52" t="s">
        <v>117</v>
      </c>
      <c r="F52" t="s">
        <v>118</v>
      </c>
      <c r="G52">
        <v>24344</v>
      </c>
      <c r="H52" t="s">
        <v>123</v>
      </c>
      <c r="I52">
        <v>2</v>
      </c>
      <c r="J52" t="s">
        <v>103</v>
      </c>
      <c r="K52" s="19">
        <v>0.29166666666666669</v>
      </c>
      <c r="L52" s="19">
        <v>0.5625</v>
      </c>
      <c r="M52">
        <v>6.5</v>
      </c>
      <c r="N52">
        <v>174.3</v>
      </c>
      <c r="O52">
        <v>36</v>
      </c>
      <c r="P52">
        <v>76</v>
      </c>
      <c r="Q52" t="s">
        <v>99</v>
      </c>
      <c r="R52">
        <v>30</v>
      </c>
      <c r="S52" s="19">
        <v>0.5</v>
      </c>
      <c r="T52">
        <v>0</v>
      </c>
      <c r="U52" s="19">
        <v>0.54166666666666663</v>
      </c>
      <c r="V52" t="s">
        <v>99</v>
      </c>
      <c r="W52">
        <v>6</v>
      </c>
      <c r="X52" t="s">
        <v>102</v>
      </c>
      <c r="Y52" t="b">
        <v>0</v>
      </c>
    </row>
    <row r="53" spans="1:25" x14ac:dyDescent="0.55000000000000004">
      <c r="A53" t="s">
        <v>94</v>
      </c>
      <c r="B53" t="s">
        <v>110</v>
      </c>
      <c r="C53" t="s">
        <v>96</v>
      </c>
      <c r="D53" t="s">
        <v>111</v>
      </c>
      <c r="E53" t="s">
        <v>117</v>
      </c>
      <c r="F53" t="s">
        <v>118</v>
      </c>
      <c r="G53">
        <v>24346</v>
      </c>
      <c r="H53" t="s">
        <v>124</v>
      </c>
      <c r="I53">
        <v>1</v>
      </c>
      <c r="J53" t="s">
        <v>107</v>
      </c>
      <c r="K53" s="19">
        <v>0.29166666666666669</v>
      </c>
      <c r="L53" s="19">
        <v>0.5625</v>
      </c>
      <c r="M53">
        <v>6.5</v>
      </c>
      <c r="N53">
        <v>174.3</v>
      </c>
      <c r="O53">
        <v>48</v>
      </c>
      <c r="P53">
        <v>76</v>
      </c>
      <c r="Q53" t="s">
        <v>99</v>
      </c>
      <c r="R53">
        <v>30</v>
      </c>
      <c r="S53" s="19">
        <v>0.5</v>
      </c>
      <c r="T53">
        <v>0</v>
      </c>
      <c r="U53" s="19">
        <v>0</v>
      </c>
      <c r="V53" t="s">
        <v>99</v>
      </c>
      <c r="W53">
        <v>6</v>
      </c>
      <c r="X53" t="s">
        <v>102</v>
      </c>
      <c r="Y53" t="b">
        <v>0</v>
      </c>
    </row>
    <row r="54" spans="1:25" x14ac:dyDescent="0.55000000000000004">
      <c r="A54" t="s">
        <v>94</v>
      </c>
      <c r="B54" t="s">
        <v>110</v>
      </c>
      <c r="C54" t="s">
        <v>96</v>
      </c>
      <c r="D54" t="s">
        <v>111</v>
      </c>
      <c r="E54" t="s">
        <v>117</v>
      </c>
      <c r="F54" t="s">
        <v>118</v>
      </c>
      <c r="G54">
        <v>24346</v>
      </c>
      <c r="H54" t="s">
        <v>124</v>
      </c>
      <c r="I54">
        <v>1</v>
      </c>
      <c r="J54" t="s">
        <v>103</v>
      </c>
      <c r="K54" s="19">
        <v>0.29166666666666669</v>
      </c>
      <c r="L54" s="19">
        <v>0.5625</v>
      </c>
      <c r="M54">
        <v>6.5</v>
      </c>
      <c r="N54">
        <v>174.3</v>
      </c>
      <c r="O54">
        <v>48</v>
      </c>
      <c r="P54">
        <v>76</v>
      </c>
      <c r="Q54" t="s">
        <v>99</v>
      </c>
      <c r="R54">
        <v>30</v>
      </c>
      <c r="S54" s="19">
        <v>0.5</v>
      </c>
      <c r="T54">
        <v>0</v>
      </c>
      <c r="U54" s="19">
        <v>0</v>
      </c>
      <c r="V54" t="s">
        <v>99</v>
      </c>
      <c r="W54">
        <v>6</v>
      </c>
      <c r="X54" t="s">
        <v>102</v>
      </c>
      <c r="Y54" t="b">
        <v>0</v>
      </c>
    </row>
    <row r="55" spans="1:25" x14ac:dyDescent="0.55000000000000004">
      <c r="A55" t="s">
        <v>94</v>
      </c>
      <c r="B55" t="s">
        <v>110</v>
      </c>
      <c r="C55" t="s">
        <v>96</v>
      </c>
      <c r="D55" t="s">
        <v>111</v>
      </c>
      <c r="E55" t="s">
        <v>117</v>
      </c>
      <c r="F55" t="s">
        <v>118</v>
      </c>
      <c r="G55">
        <v>24346</v>
      </c>
      <c r="H55" t="s">
        <v>124</v>
      </c>
      <c r="I55">
        <v>1</v>
      </c>
      <c r="J55" t="s">
        <v>104</v>
      </c>
      <c r="K55" s="19">
        <v>0.29166666666666669</v>
      </c>
      <c r="L55" s="19">
        <v>0.5625</v>
      </c>
      <c r="M55">
        <v>6.5</v>
      </c>
      <c r="N55">
        <v>174.3</v>
      </c>
      <c r="O55">
        <v>48</v>
      </c>
      <c r="P55">
        <v>76</v>
      </c>
      <c r="Q55" t="s">
        <v>99</v>
      </c>
      <c r="R55">
        <v>30</v>
      </c>
      <c r="S55" s="19">
        <v>0.45833333333333331</v>
      </c>
      <c r="T55">
        <v>0</v>
      </c>
      <c r="U55" s="19">
        <v>0.54166666666666663</v>
      </c>
      <c r="V55" t="s">
        <v>99</v>
      </c>
      <c r="W55">
        <v>6</v>
      </c>
      <c r="X55" t="s">
        <v>102</v>
      </c>
      <c r="Y55" t="b">
        <v>0</v>
      </c>
    </row>
    <row r="56" spans="1:25" x14ac:dyDescent="0.55000000000000004">
      <c r="A56" t="s">
        <v>94</v>
      </c>
      <c r="B56" t="s">
        <v>110</v>
      </c>
      <c r="C56" t="s">
        <v>96</v>
      </c>
      <c r="D56" t="s">
        <v>111</v>
      </c>
      <c r="E56" t="s">
        <v>117</v>
      </c>
      <c r="F56" t="s">
        <v>118</v>
      </c>
      <c r="G56">
        <v>24346</v>
      </c>
      <c r="H56" t="s">
        <v>124</v>
      </c>
      <c r="I56">
        <v>1</v>
      </c>
      <c r="J56" t="s">
        <v>105</v>
      </c>
      <c r="K56" s="19">
        <v>0.29166666666666669</v>
      </c>
      <c r="L56" s="19">
        <v>0.5625</v>
      </c>
      <c r="M56">
        <v>6.5</v>
      </c>
      <c r="N56">
        <v>174.3</v>
      </c>
      <c r="O56">
        <v>48</v>
      </c>
      <c r="P56">
        <v>76</v>
      </c>
      <c r="Q56" t="s">
        <v>99</v>
      </c>
      <c r="R56">
        <v>30</v>
      </c>
      <c r="S56" s="19">
        <v>0.5</v>
      </c>
      <c r="T56">
        <v>0</v>
      </c>
      <c r="U56" s="19">
        <v>0</v>
      </c>
      <c r="V56" t="s">
        <v>99</v>
      </c>
      <c r="W56">
        <v>6</v>
      </c>
      <c r="X56" t="s">
        <v>102</v>
      </c>
      <c r="Y56" t="b">
        <v>0</v>
      </c>
    </row>
    <row r="57" spans="1:25" x14ac:dyDescent="0.55000000000000004">
      <c r="A57" t="s">
        <v>94</v>
      </c>
      <c r="B57" t="s">
        <v>110</v>
      </c>
      <c r="C57" t="s">
        <v>96</v>
      </c>
      <c r="D57" t="s">
        <v>111</v>
      </c>
      <c r="E57" t="s">
        <v>117</v>
      </c>
      <c r="F57" t="s">
        <v>118</v>
      </c>
      <c r="G57">
        <v>24346</v>
      </c>
      <c r="H57" t="s">
        <v>124</v>
      </c>
      <c r="I57">
        <v>2</v>
      </c>
      <c r="J57" t="s">
        <v>107</v>
      </c>
      <c r="K57" s="19">
        <v>0.29166666666666669</v>
      </c>
      <c r="L57" s="19">
        <v>0.5625</v>
      </c>
      <c r="M57">
        <v>6.5</v>
      </c>
      <c r="N57">
        <v>174.3</v>
      </c>
      <c r="O57">
        <v>48</v>
      </c>
      <c r="P57">
        <v>76</v>
      </c>
      <c r="Q57" t="s">
        <v>99</v>
      </c>
      <c r="R57">
        <v>30</v>
      </c>
      <c r="S57" s="19">
        <v>0.5</v>
      </c>
      <c r="T57">
        <v>0</v>
      </c>
      <c r="U57" s="19">
        <v>0.54166666666666663</v>
      </c>
      <c r="V57" t="s">
        <v>99</v>
      </c>
      <c r="W57">
        <v>6</v>
      </c>
      <c r="X57" t="s">
        <v>102</v>
      </c>
      <c r="Y57" t="b">
        <v>0</v>
      </c>
    </row>
    <row r="58" spans="1:25" x14ac:dyDescent="0.55000000000000004">
      <c r="A58" t="s">
        <v>94</v>
      </c>
      <c r="B58" t="s">
        <v>110</v>
      </c>
      <c r="C58" t="s">
        <v>96</v>
      </c>
      <c r="D58" t="s">
        <v>111</v>
      </c>
      <c r="E58" t="s">
        <v>117</v>
      </c>
      <c r="F58" t="s">
        <v>118</v>
      </c>
      <c r="G58">
        <v>24346</v>
      </c>
      <c r="H58" t="s">
        <v>124</v>
      </c>
      <c r="I58">
        <v>2</v>
      </c>
      <c r="J58" t="s">
        <v>105</v>
      </c>
      <c r="K58" s="19">
        <v>0.29166666666666669</v>
      </c>
      <c r="L58" s="19">
        <v>0.5625</v>
      </c>
      <c r="M58">
        <v>6.5</v>
      </c>
      <c r="N58">
        <v>174.3</v>
      </c>
      <c r="O58">
        <v>48</v>
      </c>
      <c r="P58">
        <v>76</v>
      </c>
      <c r="Q58" t="s">
        <v>99</v>
      </c>
      <c r="R58">
        <v>30</v>
      </c>
      <c r="S58" s="19">
        <v>0.5</v>
      </c>
      <c r="T58">
        <v>0</v>
      </c>
      <c r="U58" s="19">
        <v>0.54166666666666663</v>
      </c>
      <c r="V58" t="s">
        <v>99</v>
      </c>
      <c r="W58">
        <v>6</v>
      </c>
      <c r="X58" t="s">
        <v>102</v>
      </c>
      <c r="Y58" t="b">
        <v>0</v>
      </c>
    </row>
    <row r="59" spans="1:25" x14ac:dyDescent="0.55000000000000004">
      <c r="A59" t="s">
        <v>94</v>
      </c>
      <c r="B59" t="s">
        <v>110</v>
      </c>
      <c r="C59" t="s">
        <v>96</v>
      </c>
      <c r="D59" t="s">
        <v>111</v>
      </c>
      <c r="E59" t="s">
        <v>117</v>
      </c>
      <c r="F59" t="s">
        <v>118</v>
      </c>
      <c r="G59">
        <v>25316</v>
      </c>
      <c r="H59" t="s">
        <v>125</v>
      </c>
      <c r="I59">
        <v>1</v>
      </c>
      <c r="J59" t="s">
        <v>116</v>
      </c>
      <c r="K59" s="19">
        <v>0.54166666666666663</v>
      </c>
      <c r="L59" s="19">
        <v>0.8125</v>
      </c>
      <c r="M59">
        <v>6.5</v>
      </c>
      <c r="N59">
        <v>305.02</v>
      </c>
      <c r="O59">
        <v>36</v>
      </c>
      <c r="P59">
        <v>76</v>
      </c>
      <c r="Q59" t="s">
        <v>99</v>
      </c>
      <c r="R59">
        <v>30</v>
      </c>
      <c r="S59" s="19">
        <v>0.75</v>
      </c>
      <c r="T59">
        <v>0</v>
      </c>
      <c r="U59" s="19">
        <v>0.54166666666666663</v>
      </c>
      <c r="V59" t="s">
        <v>99</v>
      </c>
      <c r="W59">
        <v>6</v>
      </c>
      <c r="X59" t="s">
        <v>102</v>
      </c>
      <c r="Y59" t="b">
        <v>0</v>
      </c>
    </row>
    <row r="60" spans="1:25" x14ac:dyDescent="0.55000000000000004">
      <c r="A60" t="s">
        <v>94</v>
      </c>
      <c r="B60" t="s">
        <v>110</v>
      </c>
      <c r="C60" t="s">
        <v>96</v>
      </c>
      <c r="D60" t="s">
        <v>111</v>
      </c>
      <c r="E60" t="s">
        <v>117</v>
      </c>
      <c r="F60" t="s">
        <v>118</v>
      </c>
      <c r="G60">
        <v>25316</v>
      </c>
      <c r="H60" t="s">
        <v>125</v>
      </c>
      <c r="I60">
        <v>1</v>
      </c>
      <c r="J60" t="s">
        <v>104</v>
      </c>
      <c r="K60" s="19">
        <v>0.54166666666666663</v>
      </c>
      <c r="L60" s="19">
        <v>0.8125</v>
      </c>
      <c r="M60">
        <v>6.5</v>
      </c>
      <c r="N60">
        <v>196.09</v>
      </c>
      <c r="O60">
        <v>36</v>
      </c>
      <c r="P60">
        <v>76</v>
      </c>
      <c r="Q60" t="s">
        <v>99</v>
      </c>
      <c r="R60">
        <v>30</v>
      </c>
      <c r="S60" s="19">
        <v>0.75</v>
      </c>
      <c r="T60">
        <v>0</v>
      </c>
      <c r="U60" s="19">
        <v>0.54166666666666663</v>
      </c>
      <c r="V60" t="s">
        <v>99</v>
      </c>
      <c r="W60">
        <v>6</v>
      </c>
      <c r="X60" t="s">
        <v>102</v>
      </c>
      <c r="Y60" t="b">
        <v>0</v>
      </c>
    </row>
    <row r="61" spans="1:25" x14ac:dyDescent="0.55000000000000004">
      <c r="A61" t="s">
        <v>94</v>
      </c>
      <c r="B61" t="s">
        <v>110</v>
      </c>
      <c r="C61" t="s">
        <v>96</v>
      </c>
      <c r="D61" t="s">
        <v>111</v>
      </c>
      <c r="E61" t="s">
        <v>117</v>
      </c>
      <c r="F61" t="s">
        <v>118</v>
      </c>
      <c r="G61">
        <v>25316</v>
      </c>
      <c r="H61" t="s">
        <v>125</v>
      </c>
      <c r="I61">
        <v>1</v>
      </c>
      <c r="J61" t="s">
        <v>105</v>
      </c>
      <c r="K61" s="19">
        <v>0.54166666666666663</v>
      </c>
      <c r="L61" s="19">
        <v>0.8125</v>
      </c>
      <c r="M61">
        <v>6.5</v>
      </c>
      <c r="N61">
        <v>196.09</v>
      </c>
      <c r="O61">
        <v>36</v>
      </c>
      <c r="P61">
        <v>76</v>
      </c>
      <c r="Q61" t="s">
        <v>99</v>
      </c>
      <c r="R61">
        <v>30</v>
      </c>
      <c r="S61" s="19">
        <v>0.75</v>
      </c>
      <c r="T61">
        <v>0</v>
      </c>
      <c r="U61" s="19">
        <v>0.54166666666666663</v>
      </c>
      <c r="V61" t="s">
        <v>99</v>
      </c>
      <c r="W61">
        <v>6</v>
      </c>
      <c r="X61" t="s">
        <v>102</v>
      </c>
      <c r="Y61" t="b">
        <v>0</v>
      </c>
    </row>
    <row r="62" spans="1:25" x14ac:dyDescent="0.55000000000000004">
      <c r="A62" t="s">
        <v>94</v>
      </c>
      <c r="B62" t="s">
        <v>110</v>
      </c>
      <c r="C62" t="s">
        <v>96</v>
      </c>
      <c r="D62" t="s">
        <v>111</v>
      </c>
      <c r="E62" t="s">
        <v>117</v>
      </c>
      <c r="F62" t="s">
        <v>118</v>
      </c>
      <c r="G62">
        <v>25316</v>
      </c>
      <c r="H62" t="s">
        <v>125</v>
      </c>
      <c r="I62">
        <v>2</v>
      </c>
      <c r="J62" t="s">
        <v>116</v>
      </c>
      <c r="K62" s="19">
        <v>0.54166666666666663</v>
      </c>
      <c r="L62" s="19">
        <v>0.8125</v>
      </c>
      <c r="M62">
        <v>6.5</v>
      </c>
      <c r="N62">
        <v>305.02</v>
      </c>
      <c r="O62">
        <v>36</v>
      </c>
      <c r="P62">
        <v>76</v>
      </c>
      <c r="Q62" t="s">
        <v>99</v>
      </c>
      <c r="R62">
        <v>30</v>
      </c>
      <c r="S62" s="19">
        <v>0.75</v>
      </c>
      <c r="T62">
        <v>0</v>
      </c>
      <c r="U62" s="19">
        <v>0.54166666666666663</v>
      </c>
      <c r="V62" t="s">
        <v>99</v>
      </c>
      <c r="W62">
        <v>6</v>
      </c>
      <c r="X62" t="s">
        <v>102</v>
      </c>
      <c r="Y62" t="b">
        <v>0</v>
      </c>
    </row>
    <row r="63" spans="1:25" x14ac:dyDescent="0.55000000000000004">
      <c r="A63" t="s">
        <v>94</v>
      </c>
      <c r="B63" t="s">
        <v>110</v>
      </c>
      <c r="C63" t="s">
        <v>96</v>
      </c>
      <c r="D63" t="s">
        <v>111</v>
      </c>
      <c r="E63" t="s">
        <v>117</v>
      </c>
      <c r="F63" t="s">
        <v>118</v>
      </c>
      <c r="G63">
        <v>25675</v>
      </c>
      <c r="H63" t="s">
        <v>126</v>
      </c>
      <c r="I63">
        <v>1</v>
      </c>
      <c r="J63" t="s">
        <v>101</v>
      </c>
      <c r="K63" s="19">
        <v>0.29166666666666669</v>
      </c>
      <c r="L63" s="19">
        <v>0.5625</v>
      </c>
      <c r="M63">
        <v>6.5</v>
      </c>
      <c r="N63">
        <v>0</v>
      </c>
      <c r="O63">
        <v>30</v>
      </c>
      <c r="P63">
        <v>76</v>
      </c>
      <c r="Q63" t="s">
        <v>99</v>
      </c>
      <c r="R63">
        <v>30</v>
      </c>
      <c r="S63" s="19">
        <v>0.5</v>
      </c>
      <c r="T63">
        <v>0</v>
      </c>
      <c r="U63" s="19">
        <v>0.54166666666666663</v>
      </c>
      <c r="V63" t="s">
        <v>99</v>
      </c>
      <c r="W63">
        <v>6</v>
      </c>
      <c r="X63" t="s">
        <v>102</v>
      </c>
      <c r="Y63" t="b">
        <v>0</v>
      </c>
    </row>
    <row r="64" spans="1:25" x14ac:dyDescent="0.55000000000000004">
      <c r="A64" t="s">
        <v>94</v>
      </c>
      <c r="B64" t="s">
        <v>110</v>
      </c>
      <c r="C64" t="s">
        <v>96</v>
      </c>
      <c r="D64" t="s">
        <v>111</v>
      </c>
      <c r="E64" t="s">
        <v>117</v>
      </c>
      <c r="F64" t="s">
        <v>118</v>
      </c>
      <c r="G64">
        <v>25675</v>
      </c>
      <c r="H64" t="s">
        <v>126</v>
      </c>
      <c r="I64">
        <v>2</v>
      </c>
      <c r="J64" t="s">
        <v>116</v>
      </c>
      <c r="K64" s="19">
        <v>0.29166666666666669</v>
      </c>
      <c r="L64" s="19">
        <v>0.5625</v>
      </c>
      <c r="M64">
        <v>6.5</v>
      </c>
      <c r="N64">
        <v>0</v>
      </c>
      <c r="O64">
        <v>30</v>
      </c>
      <c r="P64">
        <v>76</v>
      </c>
      <c r="Q64" t="s">
        <v>99</v>
      </c>
      <c r="R64">
        <v>30</v>
      </c>
      <c r="S64" s="19">
        <v>0.5</v>
      </c>
      <c r="T64">
        <v>0</v>
      </c>
      <c r="U64" s="19">
        <v>0.54166666666666663</v>
      </c>
      <c r="V64" t="s">
        <v>99</v>
      </c>
      <c r="W64">
        <v>6</v>
      </c>
      <c r="X64" t="s">
        <v>102</v>
      </c>
      <c r="Y64" t="b">
        <v>0</v>
      </c>
    </row>
    <row r="65" spans="1:25" x14ac:dyDescent="0.55000000000000004">
      <c r="A65" t="s">
        <v>94</v>
      </c>
      <c r="B65" t="s">
        <v>110</v>
      </c>
      <c r="C65" t="s">
        <v>96</v>
      </c>
      <c r="D65" t="s">
        <v>111</v>
      </c>
      <c r="E65" t="s">
        <v>117</v>
      </c>
      <c r="F65" t="s">
        <v>118</v>
      </c>
      <c r="G65">
        <v>26102</v>
      </c>
      <c r="H65" t="s">
        <v>127</v>
      </c>
      <c r="I65">
        <v>2</v>
      </c>
      <c r="J65" t="s">
        <v>103</v>
      </c>
      <c r="K65" s="19">
        <v>0.54166666666666663</v>
      </c>
      <c r="L65" s="19">
        <v>0.8125</v>
      </c>
      <c r="M65">
        <v>6.5</v>
      </c>
      <c r="N65">
        <v>0</v>
      </c>
      <c r="O65">
        <v>24</v>
      </c>
      <c r="P65">
        <v>76</v>
      </c>
      <c r="Q65" t="s">
        <v>99</v>
      </c>
      <c r="R65">
        <v>30</v>
      </c>
      <c r="S65" s="19">
        <v>0.75</v>
      </c>
      <c r="T65">
        <v>0</v>
      </c>
      <c r="U65" s="19">
        <v>0.54166666666666663</v>
      </c>
      <c r="V65" t="s">
        <v>99</v>
      </c>
      <c r="W65">
        <v>6</v>
      </c>
      <c r="X65" t="s">
        <v>102</v>
      </c>
      <c r="Y65" t="b">
        <v>0</v>
      </c>
    </row>
    <row r="66" spans="1:25" x14ac:dyDescent="0.55000000000000004">
      <c r="A66" t="s">
        <v>94</v>
      </c>
      <c r="B66" t="s">
        <v>110</v>
      </c>
      <c r="C66" t="s">
        <v>96</v>
      </c>
      <c r="D66" t="s">
        <v>111</v>
      </c>
      <c r="E66" t="s">
        <v>117</v>
      </c>
      <c r="F66" t="s">
        <v>118</v>
      </c>
      <c r="G66">
        <v>26102</v>
      </c>
      <c r="H66" t="s">
        <v>127</v>
      </c>
      <c r="I66">
        <v>2</v>
      </c>
      <c r="J66" t="s">
        <v>105</v>
      </c>
      <c r="K66" s="19">
        <v>0.54166666666666663</v>
      </c>
      <c r="L66" s="19">
        <v>0.8125</v>
      </c>
      <c r="M66">
        <v>6.5</v>
      </c>
      <c r="N66">
        <v>0</v>
      </c>
      <c r="O66">
        <v>24</v>
      </c>
      <c r="P66">
        <v>76</v>
      </c>
      <c r="Q66" t="s">
        <v>99</v>
      </c>
      <c r="R66">
        <v>30</v>
      </c>
      <c r="S66" s="19">
        <v>0.75</v>
      </c>
      <c r="T66">
        <v>0</v>
      </c>
      <c r="U66" s="19">
        <v>0.54166666666666663</v>
      </c>
      <c r="V66" t="s">
        <v>99</v>
      </c>
      <c r="W66">
        <v>6</v>
      </c>
      <c r="X66" t="s">
        <v>102</v>
      </c>
      <c r="Y66" t="b">
        <v>0</v>
      </c>
    </row>
    <row r="67" spans="1:25" x14ac:dyDescent="0.55000000000000004">
      <c r="A67" t="s">
        <v>94</v>
      </c>
      <c r="B67" t="s">
        <v>110</v>
      </c>
      <c r="C67" t="s">
        <v>96</v>
      </c>
      <c r="D67" t="s">
        <v>111</v>
      </c>
      <c r="E67" t="s">
        <v>117</v>
      </c>
      <c r="F67" t="s">
        <v>128</v>
      </c>
      <c r="H67" t="s">
        <v>99</v>
      </c>
      <c r="I67">
        <v>1</v>
      </c>
      <c r="J67" t="s">
        <v>103</v>
      </c>
      <c r="K67" s="19">
        <v>0.54166666666666663</v>
      </c>
      <c r="L67" s="19">
        <v>0.8125</v>
      </c>
      <c r="M67">
        <v>6.5</v>
      </c>
      <c r="N67">
        <v>174.3</v>
      </c>
      <c r="O67">
        <v>0</v>
      </c>
      <c r="P67">
        <v>0</v>
      </c>
      <c r="Q67" t="s">
        <v>99</v>
      </c>
      <c r="R67">
        <v>30</v>
      </c>
      <c r="S67" s="19">
        <v>0.75</v>
      </c>
      <c r="T67">
        <v>0</v>
      </c>
      <c r="U67" s="19">
        <v>0.54166666666666663</v>
      </c>
      <c r="V67" t="s">
        <v>99</v>
      </c>
      <c r="W67">
        <v>6</v>
      </c>
      <c r="X67" t="s">
        <v>102</v>
      </c>
      <c r="Y67" t="b">
        <v>0</v>
      </c>
    </row>
    <row r="68" spans="1:25" x14ac:dyDescent="0.55000000000000004">
      <c r="A68" t="s">
        <v>94</v>
      </c>
      <c r="B68" t="s">
        <v>110</v>
      </c>
      <c r="C68" t="s">
        <v>96</v>
      </c>
      <c r="D68" t="s">
        <v>111</v>
      </c>
      <c r="E68" t="s">
        <v>117</v>
      </c>
      <c r="F68" t="s">
        <v>128</v>
      </c>
      <c r="H68" t="s">
        <v>99</v>
      </c>
      <c r="I68">
        <v>2</v>
      </c>
      <c r="J68" t="s">
        <v>107</v>
      </c>
      <c r="K68" s="19">
        <v>0.54166666666666663</v>
      </c>
      <c r="L68" s="19">
        <v>0.8125</v>
      </c>
      <c r="M68">
        <v>6.5</v>
      </c>
      <c r="N68">
        <v>179.88</v>
      </c>
      <c r="O68">
        <v>0</v>
      </c>
      <c r="P68">
        <v>0</v>
      </c>
      <c r="Q68" t="s">
        <v>99</v>
      </c>
      <c r="R68">
        <v>30</v>
      </c>
      <c r="S68" s="19">
        <v>0.70833333333333337</v>
      </c>
      <c r="T68">
        <v>0</v>
      </c>
      <c r="U68" s="19">
        <v>0.54166666666666663</v>
      </c>
      <c r="V68" t="s">
        <v>99</v>
      </c>
      <c r="W68">
        <v>6</v>
      </c>
      <c r="X68" t="s">
        <v>102</v>
      </c>
      <c r="Y68" t="b">
        <v>0</v>
      </c>
    </row>
    <row r="69" spans="1:25" x14ac:dyDescent="0.55000000000000004">
      <c r="A69" t="s">
        <v>94</v>
      </c>
      <c r="B69" t="s">
        <v>110</v>
      </c>
      <c r="C69" t="s">
        <v>96</v>
      </c>
      <c r="D69" t="s">
        <v>111</v>
      </c>
      <c r="E69" t="s">
        <v>117</v>
      </c>
      <c r="F69" t="s">
        <v>128</v>
      </c>
      <c r="H69" t="s">
        <v>99</v>
      </c>
      <c r="I69">
        <v>2</v>
      </c>
      <c r="J69" t="s">
        <v>101</v>
      </c>
      <c r="K69" s="19">
        <v>0.29166666666666669</v>
      </c>
      <c r="L69" s="19">
        <v>0.5625</v>
      </c>
      <c r="M69">
        <v>6.5</v>
      </c>
      <c r="N69">
        <v>174.3</v>
      </c>
      <c r="O69">
        <v>0</v>
      </c>
      <c r="P69">
        <v>0</v>
      </c>
      <c r="Q69" t="s">
        <v>99</v>
      </c>
      <c r="R69">
        <v>30</v>
      </c>
      <c r="S69" s="19">
        <v>0.5</v>
      </c>
      <c r="T69">
        <v>0</v>
      </c>
      <c r="U69" s="19">
        <v>0.54166666666666663</v>
      </c>
      <c r="V69" t="s">
        <v>99</v>
      </c>
      <c r="W69">
        <v>6</v>
      </c>
      <c r="X69" t="s">
        <v>102</v>
      </c>
      <c r="Y69" t="b">
        <v>0</v>
      </c>
    </row>
    <row r="70" spans="1:25" x14ac:dyDescent="0.55000000000000004">
      <c r="A70" t="s">
        <v>94</v>
      </c>
      <c r="B70" t="s">
        <v>110</v>
      </c>
      <c r="C70" t="s">
        <v>96</v>
      </c>
      <c r="D70" t="s">
        <v>111</v>
      </c>
      <c r="E70" t="s">
        <v>117</v>
      </c>
      <c r="F70" t="s">
        <v>128</v>
      </c>
      <c r="H70" t="s">
        <v>99</v>
      </c>
      <c r="I70">
        <v>2</v>
      </c>
      <c r="J70" t="s">
        <v>103</v>
      </c>
      <c r="K70" s="19">
        <v>0.54166666666666663</v>
      </c>
      <c r="L70" s="19">
        <v>0.8125</v>
      </c>
      <c r="M70">
        <v>6.5</v>
      </c>
      <c r="N70">
        <v>174.3</v>
      </c>
      <c r="O70">
        <v>0</v>
      </c>
      <c r="P70">
        <v>0</v>
      </c>
      <c r="Q70" t="s">
        <v>99</v>
      </c>
      <c r="R70">
        <v>30</v>
      </c>
      <c r="S70" s="19">
        <v>0.72916666666666663</v>
      </c>
      <c r="T70">
        <v>0</v>
      </c>
      <c r="U70" s="19">
        <v>0.54166666666666663</v>
      </c>
      <c r="V70" t="s">
        <v>99</v>
      </c>
      <c r="W70">
        <v>6</v>
      </c>
      <c r="X70" t="s">
        <v>102</v>
      </c>
      <c r="Y70" t="b">
        <v>0</v>
      </c>
    </row>
    <row r="71" spans="1:25" x14ac:dyDescent="0.55000000000000004">
      <c r="A71" t="s">
        <v>94</v>
      </c>
      <c r="B71" t="s">
        <v>110</v>
      </c>
      <c r="C71" t="s">
        <v>96</v>
      </c>
      <c r="D71" t="s">
        <v>111</v>
      </c>
      <c r="E71" t="s">
        <v>117</v>
      </c>
      <c r="F71" t="s">
        <v>128</v>
      </c>
      <c r="H71" t="s">
        <v>99</v>
      </c>
      <c r="I71">
        <v>2</v>
      </c>
      <c r="J71" t="s">
        <v>105</v>
      </c>
      <c r="K71" s="19">
        <v>0.54166666666666663</v>
      </c>
      <c r="L71" s="19">
        <v>0.8125</v>
      </c>
      <c r="M71">
        <v>6.5</v>
      </c>
      <c r="N71">
        <v>0</v>
      </c>
      <c r="O71">
        <v>0</v>
      </c>
      <c r="P71">
        <v>0</v>
      </c>
      <c r="Q71" t="s">
        <v>99</v>
      </c>
      <c r="R71">
        <v>30</v>
      </c>
      <c r="S71" s="19">
        <v>0.75</v>
      </c>
      <c r="T71">
        <v>0</v>
      </c>
      <c r="U71" s="19">
        <v>0.54166666666666663</v>
      </c>
      <c r="V71" t="s">
        <v>99</v>
      </c>
      <c r="W71">
        <v>6</v>
      </c>
      <c r="X71" t="s">
        <v>102</v>
      </c>
      <c r="Y71" t="b">
        <v>0</v>
      </c>
    </row>
    <row r="72" spans="1:25" x14ac:dyDescent="0.55000000000000004">
      <c r="A72" t="s">
        <v>94</v>
      </c>
      <c r="B72" t="s">
        <v>110</v>
      </c>
      <c r="C72" t="s">
        <v>96</v>
      </c>
      <c r="D72" t="s">
        <v>111</v>
      </c>
      <c r="E72" t="s">
        <v>117</v>
      </c>
      <c r="F72" t="s">
        <v>128</v>
      </c>
      <c r="G72">
        <v>20329</v>
      </c>
      <c r="H72" t="s">
        <v>129</v>
      </c>
      <c r="I72">
        <v>1</v>
      </c>
      <c r="J72" t="s">
        <v>101</v>
      </c>
      <c r="K72" s="19">
        <v>0.54166666666666663</v>
      </c>
      <c r="L72" s="19">
        <v>0.8125</v>
      </c>
      <c r="M72">
        <v>6.5</v>
      </c>
      <c r="N72">
        <v>196.09</v>
      </c>
      <c r="O72">
        <v>69</v>
      </c>
      <c r="P72">
        <v>76</v>
      </c>
      <c r="Q72" t="s">
        <v>99</v>
      </c>
      <c r="R72">
        <v>30</v>
      </c>
      <c r="S72" s="19">
        <v>0.75</v>
      </c>
      <c r="T72">
        <v>0</v>
      </c>
      <c r="U72" s="19">
        <v>0.54166666666666663</v>
      </c>
      <c r="V72" t="s">
        <v>99</v>
      </c>
      <c r="W72">
        <v>6</v>
      </c>
      <c r="X72" t="s">
        <v>102</v>
      </c>
      <c r="Y72" t="b">
        <v>0</v>
      </c>
    </row>
    <row r="73" spans="1:25" x14ac:dyDescent="0.55000000000000004">
      <c r="A73" t="s">
        <v>94</v>
      </c>
      <c r="B73" t="s">
        <v>110</v>
      </c>
      <c r="C73" t="s">
        <v>96</v>
      </c>
      <c r="D73" t="s">
        <v>111</v>
      </c>
      <c r="E73" t="s">
        <v>117</v>
      </c>
      <c r="F73" t="s">
        <v>128</v>
      </c>
      <c r="G73">
        <v>20329</v>
      </c>
      <c r="H73" t="s">
        <v>129</v>
      </c>
      <c r="I73">
        <v>1</v>
      </c>
      <c r="J73" t="s">
        <v>104</v>
      </c>
      <c r="K73" s="19">
        <v>0.54166666666666663</v>
      </c>
      <c r="L73" s="19">
        <v>0.8125</v>
      </c>
      <c r="M73">
        <v>6.5</v>
      </c>
      <c r="N73">
        <v>196.09</v>
      </c>
      <c r="O73">
        <v>69</v>
      </c>
      <c r="P73">
        <v>76</v>
      </c>
      <c r="Q73" t="s">
        <v>99</v>
      </c>
      <c r="R73">
        <v>30</v>
      </c>
      <c r="S73" s="19">
        <v>0.75</v>
      </c>
      <c r="T73">
        <v>0</v>
      </c>
      <c r="U73" s="19">
        <v>0.54166666666666663</v>
      </c>
      <c r="V73" t="s">
        <v>99</v>
      </c>
      <c r="W73">
        <v>6</v>
      </c>
      <c r="X73" t="s">
        <v>102</v>
      </c>
      <c r="Y73" t="b">
        <v>0</v>
      </c>
    </row>
    <row r="74" spans="1:25" x14ac:dyDescent="0.55000000000000004">
      <c r="A74" t="s">
        <v>94</v>
      </c>
      <c r="B74" t="s">
        <v>110</v>
      </c>
      <c r="C74" t="s">
        <v>96</v>
      </c>
      <c r="D74" t="s">
        <v>111</v>
      </c>
      <c r="E74" t="s">
        <v>117</v>
      </c>
      <c r="F74" t="s">
        <v>128</v>
      </c>
      <c r="G74">
        <v>20329</v>
      </c>
      <c r="H74" t="s">
        <v>129</v>
      </c>
      <c r="I74">
        <v>2</v>
      </c>
      <c r="J74" t="s">
        <v>101</v>
      </c>
      <c r="K74" s="19">
        <v>0.5</v>
      </c>
      <c r="L74" s="19">
        <v>0.8125</v>
      </c>
      <c r="M74">
        <v>7.5</v>
      </c>
      <c r="N74">
        <v>203.35</v>
      </c>
      <c r="O74">
        <v>69</v>
      </c>
      <c r="P74">
        <v>76</v>
      </c>
      <c r="Q74" t="s">
        <v>99</v>
      </c>
      <c r="R74">
        <v>30</v>
      </c>
      <c r="S74" s="19">
        <v>0.75</v>
      </c>
      <c r="T74">
        <v>0</v>
      </c>
      <c r="U74" s="19">
        <v>0.54166666666666663</v>
      </c>
      <c r="V74" t="s">
        <v>99</v>
      </c>
      <c r="W74">
        <v>7</v>
      </c>
      <c r="X74" t="s">
        <v>102</v>
      </c>
      <c r="Y74" t="b">
        <v>0</v>
      </c>
    </row>
    <row r="75" spans="1:25" x14ac:dyDescent="0.55000000000000004">
      <c r="A75" t="s">
        <v>94</v>
      </c>
      <c r="B75" t="s">
        <v>110</v>
      </c>
      <c r="C75" t="s">
        <v>96</v>
      </c>
      <c r="D75" t="s">
        <v>111</v>
      </c>
      <c r="E75" t="s">
        <v>117</v>
      </c>
      <c r="F75" t="s">
        <v>128</v>
      </c>
      <c r="G75">
        <v>20329</v>
      </c>
      <c r="H75" t="s">
        <v>129</v>
      </c>
      <c r="I75">
        <v>2</v>
      </c>
      <c r="J75" t="s">
        <v>115</v>
      </c>
      <c r="K75" s="19">
        <v>0.54166666666666663</v>
      </c>
      <c r="L75" s="19">
        <v>0.8125</v>
      </c>
      <c r="M75">
        <v>6.5</v>
      </c>
      <c r="N75">
        <v>261.45</v>
      </c>
      <c r="O75">
        <v>69</v>
      </c>
      <c r="P75">
        <v>76</v>
      </c>
      <c r="Q75" t="s">
        <v>99</v>
      </c>
      <c r="R75">
        <v>30</v>
      </c>
      <c r="S75" s="19">
        <v>0.75</v>
      </c>
      <c r="T75">
        <v>0</v>
      </c>
      <c r="U75" s="19">
        <v>0.54166666666666663</v>
      </c>
      <c r="V75" t="s">
        <v>99</v>
      </c>
      <c r="W75">
        <v>6</v>
      </c>
      <c r="X75" t="s">
        <v>102</v>
      </c>
      <c r="Y75" t="b">
        <v>0</v>
      </c>
    </row>
    <row r="76" spans="1:25" x14ac:dyDescent="0.55000000000000004">
      <c r="A76" t="s">
        <v>94</v>
      </c>
      <c r="B76" t="s">
        <v>110</v>
      </c>
      <c r="C76" t="s">
        <v>96</v>
      </c>
      <c r="D76" t="s">
        <v>111</v>
      </c>
      <c r="E76" t="s">
        <v>117</v>
      </c>
      <c r="F76" t="s">
        <v>128</v>
      </c>
      <c r="G76">
        <v>20329</v>
      </c>
      <c r="H76" t="s">
        <v>129</v>
      </c>
      <c r="I76">
        <v>2</v>
      </c>
      <c r="J76" t="s">
        <v>116</v>
      </c>
      <c r="K76" s="19">
        <v>0.54166666666666663</v>
      </c>
      <c r="L76" s="19">
        <v>0.8125</v>
      </c>
      <c r="M76">
        <v>6.5</v>
      </c>
      <c r="N76">
        <v>305.02</v>
      </c>
      <c r="O76">
        <v>69</v>
      </c>
      <c r="P76">
        <v>76</v>
      </c>
      <c r="Q76" t="s">
        <v>99</v>
      </c>
      <c r="R76">
        <v>30</v>
      </c>
      <c r="S76" s="19">
        <v>0.75</v>
      </c>
      <c r="T76">
        <v>0</v>
      </c>
      <c r="U76" s="19">
        <v>0.54166666666666663</v>
      </c>
      <c r="V76" t="s">
        <v>99</v>
      </c>
      <c r="W76">
        <v>6</v>
      </c>
      <c r="X76" t="s">
        <v>102</v>
      </c>
      <c r="Y76" t="b">
        <v>0</v>
      </c>
    </row>
    <row r="77" spans="1:25" x14ac:dyDescent="0.55000000000000004">
      <c r="A77" t="s">
        <v>94</v>
      </c>
      <c r="B77" t="s">
        <v>110</v>
      </c>
      <c r="C77" t="s">
        <v>96</v>
      </c>
      <c r="D77" t="s">
        <v>111</v>
      </c>
      <c r="E77" t="s">
        <v>117</v>
      </c>
      <c r="F77" t="s">
        <v>128</v>
      </c>
      <c r="G77">
        <v>22919</v>
      </c>
      <c r="H77" t="s">
        <v>130</v>
      </c>
      <c r="I77">
        <v>2</v>
      </c>
      <c r="J77" t="s">
        <v>116</v>
      </c>
      <c r="K77" s="19">
        <v>0.29166666666666669</v>
      </c>
      <c r="L77" s="19">
        <v>0.5625</v>
      </c>
      <c r="M77">
        <v>6.5</v>
      </c>
      <c r="N77">
        <v>308.60000000000002</v>
      </c>
      <c r="O77">
        <v>60</v>
      </c>
      <c r="P77">
        <v>76</v>
      </c>
      <c r="Q77" t="s">
        <v>99</v>
      </c>
      <c r="R77">
        <v>30</v>
      </c>
      <c r="S77" s="19">
        <v>0.5</v>
      </c>
      <c r="T77">
        <v>0</v>
      </c>
      <c r="U77" s="19">
        <v>0.54166666666666663</v>
      </c>
      <c r="V77" t="s">
        <v>99</v>
      </c>
      <c r="W77">
        <v>6</v>
      </c>
      <c r="X77" t="s">
        <v>102</v>
      </c>
      <c r="Y77" t="b">
        <v>0</v>
      </c>
    </row>
    <row r="78" spans="1:25" x14ac:dyDescent="0.55000000000000004">
      <c r="A78" t="s">
        <v>94</v>
      </c>
      <c r="B78" t="s">
        <v>110</v>
      </c>
      <c r="C78" t="s">
        <v>96</v>
      </c>
      <c r="D78" t="s">
        <v>111</v>
      </c>
      <c r="E78" t="s">
        <v>117</v>
      </c>
      <c r="F78" t="s">
        <v>128</v>
      </c>
      <c r="G78">
        <v>23264</v>
      </c>
      <c r="H78" t="s">
        <v>121</v>
      </c>
      <c r="I78">
        <v>1</v>
      </c>
      <c r="J78" t="s">
        <v>107</v>
      </c>
      <c r="K78" s="19">
        <v>0.45833333333333331</v>
      </c>
      <c r="L78" s="19">
        <v>0.8125</v>
      </c>
      <c r="M78">
        <v>8.5</v>
      </c>
      <c r="N78">
        <v>232.4</v>
      </c>
      <c r="O78">
        <v>64.5</v>
      </c>
      <c r="P78">
        <v>76</v>
      </c>
      <c r="Q78" t="s">
        <v>99</v>
      </c>
      <c r="R78">
        <v>30</v>
      </c>
      <c r="S78" s="19">
        <v>0.75</v>
      </c>
      <c r="T78">
        <v>0</v>
      </c>
      <c r="U78" s="19">
        <v>0.54166666666666663</v>
      </c>
      <c r="V78" t="s">
        <v>99</v>
      </c>
      <c r="W78">
        <v>8</v>
      </c>
      <c r="X78" t="s">
        <v>102</v>
      </c>
      <c r="Y78" t="b">
        <v>0</v>
      </c>
    </row>
    <row r="79" spans="1:25" x14ac:dyDescent="0.55000000000000004">
      <c r="A79" t="s">
        <v>94</v>
      </c>
      <c r="B79" t="s">
        <v>110</v>
      </c>
      <c r="C79" t="s">
        <v>96</v>
      </c>
      <c r="D79" t="s">
        <v>111</v>
      </c>
      <c r="E79" t="s">
        <v>117</v>
      </c>
      <c r="F79" t="s">
        <v>128</v>
      </c>
      <c r="G79">
        <v>23264</v>
      </c>
      <c r="H79" t="s">
        <v>121</v>
      </c>
      <c r="I79">
        <v>1</v>
      </c>
      <c r="J79" t="s">
        <v>115</v>
      </c>
      <c r="K79" s="19">
        <v>0.54166666666666663</v>
      </c>
      <c r="L79" s="19">
        <v>0.8125</v>
      </c>
      <c r="M79">
        <v>6.5</v>
      </c>
      <c r="N79">
        <v>261.45</v>
      </c>
      <c r="O79">
        <v>64.5</v>
      </c>
      <c r="P79">
        <v>76</v>
      </c>
      <c r="Q79" t="s">
        <v>99</v>
      </c>
      <c r="R79">
        <v>30</v>
      </c>
      <c r="S79" s="19">
        <v>0.72916666666666663</v>
      </c>
      <c r="T79">
        <v>0</v>
      </c>
      <c r="U79" s="19">
        <v>0.54166666666666663</v>
      </c>
      <c r="V79" t="s">
        <v>99</v>
      </c>
      <c r="W79">
        <v>6</v>
      </c>
      <c r="X79" t="s">
        <v>102</v>
      </c>
      <c r="Y79" t="b">
        <v>0</v>
      </c>
    </row>
    <row r="80" spans="1:25" x14ac:dyDescent="0.55000000000000004">
      <c r="A80" t="s">
        <v>94</v>
      </c>
      <c r="B80" t="s">
        <v>110</v>
      </c>
      <c r="C80" t="s">
        <v>96</v>
      </c>
      <c r="D80" t="s">
        <v>111</v>
      </c>
      <c r="E80" t="s">
        <v>117</v>
      </c>
      <c r="F80" t="s">
        <v>128</v>
      </c>
      <c r="G80">
        <v>23264</v>
      </c>
      <c r="H80" t="s">
        <v>121</v>
      </c>
      <c r="I80">
        <v>1</v>
      </c>
      <c r="J80" t="s">
        <v>116</v>
      </c>
      <c r="K80" s="19">
        <v>0.52083333333333337</v>
      </c>
      <c r="L80" s="19">
        <v>0.8125</v>
      </c>
      <c r="M80">
        <v>7</v>
      </c>
      <c r="N80">
        <v>330.44</v>
      </c>
      <c r="O80">
        <v>64.5</v>
      </c>
      <c r="P80">
        <v>76</v>
      </c>
      <c r="Q80" t="s">
        <v>99</v>
      </c>
      <c r="R80">
        <v>30</v>
      </c>
      <c r="S80" s="19">
        <v>0.72916666666666663</v>
      </c>
      <c r="T80">
        <v>0</v>
      </c>
      <c r="U80" s="19">
        <v>0.54166666666666663</v>
      </c>
      <c r="V80" t="s">
        <v>99</v>
      </c>
      <c r="W80">
        <v>6.5</v>
      </c>
      <c r="X80" t="s">
        <v>102</v>
      </c>
      <c r="Y80" t="b">
        <v>0</v>
      </c>
    </row>
    <row r="81" spans="1:25" x14ac:dyDescent="0.55000000000000004">
      <c r="A81" t="s">
        <v>94</v>
      </c>
      <c r="B81" t="s">
        <v>110</v>
      </c>
      <c r="C81" t="s">
        <v>96</v>
      </c>
      <c r="D81" t="s">
        <v>111</v>
      </c>
      <c r="E81" t="s">
        <v>117</v>
      </c>
      <c r="F81" t="s">
        <v>128</v>
      </c>
      <c r="G81">
        <v>23264</v>
      </c>
      <c r="H81" t="s">
        <v>121</v>
      </c>
      <c r="I81">
        <v>1</v>
      </c>
      <c r="J81" t="s">
        <v>105</v>
      </c>
      <c r="K81" s="19">
        <v>0.54166666666666663</v>
      </c>
      <c r="L81" s="19">
        <v>0.8125</v>
      </c>
      <c r="M81">
        <v>6.5</v>
      </c>
      <c r="N81">
        <v>196.09</v>
      </c>
      <c r="O81">
        <v>64.5</v>
      </c>
      <c r="P81">
        <v>76</v>
      </c>
      <c r="Q81" t="s">
        <v>99</v>
      </c>
      <c r="R81">
        <v>30</v>
      </c>
      <c r="S81" s="19">
        <v>0.75</v>
      </c>
      <c r="T81">
        <v>0</v>
      </c>
      <c r="U81" s="19">
        <v>0.54166666666666663</v>
      </c>
      <c r="V81" t="s">
        <v>99</v>
      </c>
      <c r="W81">
        <v>6</v>
      </c>
      <c r="X81" t="s">
        <v>102</v>
      </c>
      <c r="Y81" t="b">
        <v>0</v>
      </c>
    </row>
    <row r="82" spans="1:25" x14ac:dyDescent="0.55000000000000004">
      <c r="A82" t="s">
        <v>94</v>
      </c>
      <c r="B82" t="s">
        <v>110</v>
      </c>
      <c r="C82" t="s">
        <v>96</v>
      </c>
      <c r="D82" t="s">
        <v>111</v>
      </c>
      <c r="E82" t="s">
        <v>117</v>
      </c>
      <c r="F82" t="s">
        <v>128</v>
      </c>
      <c r="G82">
        <v>23264</v>
      </c>
      <c r="H82" t="s">
        <v>121</v>
      </c>
      <c r="I82">
        <v>2</v>
      </c>
      <c r="J82" t="s">
        <v>104</v>
      </c>
      <c r="K82" s="19">
        <v>0.45833333333333331</v>
      </c>
      <c r="L82" s="19">
        <v>0.8125</v>
      </c>
      <c r="M82">
        <v>8.5</v>
      </c>
      <c r="N82">
        <v>232.4</v>
      </c>
      <c r="O82">
        <v>64.5</v>
      </c>
      <c r="P82">
        <v>76</v>
      </c>
      <c r="Q82" t="s">
        <v>99</v>
      </c>
      <c r="R82">
        <v>30</v>
      </c>
      <c r="S82" s="19">
        <v>0.75</v>
      </c>
      <c r="T82">
        <v>0</v>
      </c>
      <c r="U82" s="19">
        <v>0.54166666666666663</v>
      </c>
      <c r="V82" t="s">
        <v>99</v>
      </c>
      <c r="W82">
        <v>8</v>
      </c>
      <c r="X82" t="s">
        <v>102</v>
      </c>
      <c r="Y82" t="b">
        <v>0</v>
      </c>
    </row>
    <row r="83" spans="1:25" x14ac:dyDescent="0.55000000000000004">
      <c r="A83" t="s">
        <v>94</v>
      </c>
      <c r="B83" t="s">
        <v>110</v>
      </c>
      <c r="C83" t="s">
        <v>96</v>
      </c>
      <c r="D83" t="s">
        <v>111</v>
      </c>
      <c r="E83" t="s">
        <v>117</v>
      </c>
      <c r="F83" t="s">
        <v>128</v>
      </c>
      <c r="G83">
        <v>23543</v>
      </c>
      <c r="H83" t="s">
        <v>131</v>
      </c>
      <c r="I83">
        <v>1</v>
      </c>
      <c r="J83" t="s">
        <v>105</v>
      </c>
      <c r="K83" s="19">
        <v>0.29166666666666669</v>
      </c>
      <c r="L83" s="19">
        <v>0.5625</v>
      </c>
      <c r="M83">
        <v>6.5</v>
      </c>
      <c r="N83">
        <v>0</v>
      </c>
      <c r="O83">
        <v>44</v>
      </c>
      <c r="P83">
        <v>76</v>
      </c>
      <c r="Q83" t="s">
        <v>99</v>
      </c>
      <c r="R83">
        <v>30</v>
      </c>
      <c r="S83" s="19">
        <v>0.5</v>
      </c>
      <c r="T83">
        <v>0</v>
      </c>
      <c r="U83" s="19">
        <v>0.54166666666666663</v>
      </c>
      <c r="V83" t="s">
        <v>99</v>
      </c>
      <c r="W83">
        <v>6</v>
      </c>
      <c r="X83" t="s">
        <v>102</v>
      </c>
      <c r="Y83" t="b">
        <v>0</v>
      </c>
    </row>
    <row r="84" spans="1:25" x14ac:dyDescent="0.55000000000000004">
      <c r="A84" t="s">
        <v>94</v>
      </c>
      <c r="B84" t="s">
        <v>110</v>
      </c>
      <c r="C84" t="s">
        <v>96</v>
      </c>
      <c r="D84" t="s">
        <v>111</v>
      </c>
      <c r="E84" t="s">
        <v>117</v>
      </c>
      <c r="F84" t="s">
        <v>128</v>
      </c>
      <c r="G84">
        <v>24344</v>
      </c>
      <c r="H84" t="s">
        <v>123</v>
      </c>
      <c r="I84">
        <v>1</v>
      </c>
      <c r="J84" t="s">
        <v>107</v>
      </c>
      <c r="K84" s="19">
        <v>0.29166666666666669</v>
      </c>
      <c r="L84" s="19">
        <v>0.5625</v>
      </c>
      <c r="M84">
        <v>6.5</v>
      </c>
      <c r="N84">
        <v>174.3</v>
      </c>
      <c r="O84">
        <v>36</v>
      </c>
      <c r="P84">
        <v>76</v>
      </c>
      <c r="Q84" t="s">
        <v>99</v>
      </c>
      <c r="R84">
        <v>30</v>
      </c>
      <c r="S84" s="19">
        <v>0.5</v>
      </c>
      <c r="T84">
        <v>0</v>
      </c>
      <c r="U84" s="19">
        <v>0.54166666666666663</v>
      </c>
      <c r="V84" t="s">
        <v>99</v>
      </c>
      <c r="W84">
        <v>6</v>
      </c>
      <c r="X84" t="s">
        <v>102</v>
      </c>
      <c r="Y84" t="b">
        <v>0</v>
      </c>
    </row>
    <row r="85" spans="1:25" x14ac:dyDescent="0.55000000000000004">
      <c r="A85" t="s">
        <v>94</v>
      </c>
      <c r="B85" t="s">
        <v>110</v>
      </c>
      <c r="C85" t="s">
        <v>96</v>
      </c>
      <c r="D85" t="s">
        <v>111</v>
      </c>
      <c r="E85" t="s">
        <v>117</v>
      </c>
      <c r="F85" t="s">
        <v>128</v>
      </c>
      <c r="G85">
        <v>24344</v>
      </c>
      <c r="H85" t="s">
        <v>123</v>
      </c>
      <c r="I85">
        <v>1</v>
      </c>
      <c r="J85" t="s">
        <v>103</v>
      </c>
      <c r="K85" s="19">
        <v>0.29166666666666669</v>
      </c>
      <c r="L85" s="19">
        <v>0.5625</v>
      </c>
      <c r="M85">
        <v>6.5</v>
      </c>
      <c r="N85">
        <v>174.3</v>
      </c>
      <c r="O85">
        <v>36</v>
      </c>
      <c r="P85">
        <v>76</v>
      </c>
      <c r="Q85" t="s">
        <v>99</v>
      </c>
      <c r="R85">
        <v>30</v>
      </c>
      <c r="S85" s="19">
        <v>0.5</v>
      </c>
      <c r="T85">
        <v>0</v>
      </c>
      <c r="U85" s="19">
        <v>0.54166666666666663</v>
      </c>
      <c r="V85" t="s">
        <v>99</v>
      </c>
      <c r="W85">
        <v>6</v>
      </c>
      <c r="X85" t="s">
        <v>102</v>
      </c>
      <c r="Y85" t="b">
        <v>0</v>
      </c>
    </row>
    <row r="86" spans="1:25" x14ac:dyDescent="0.55000000000000004">
      <c r="A86" t="s">
        <v>94</v>
      </c>
      <c r="B86" t="s">
        <v>110</v>
      </c>
      <c r="C86" t="s">
        <v>96</v>
      </c>
      <c r="D86" t="s">
        <v>111</v>
      </c>
      <c r="E86" t="s">
        <v>117</v>
      </c>
      <c r="F86" t="s">
        <v>128</v>
      </c>
      <c r="G86">
        <v>24344</v>
      </c>
      <c r="H86" t="s">
        <v>123</v>
      </c>
      <c r="I86">
        <v>2</v>
      </c>
      <c r="J86" t="s">
        <v>115</v>
      </c>
      <c r="K86" s="19">
        <v>0.29166666666666669</v>
      </c>
      <c r="L86" s="19">
        <v>0.5625</v>
      </c>
      <c r="M86">
        <v>6.5</v>
      </c>
      <c r="N86">
        <v>261.45</v>
      </c>
      <c r="O86">
        <v>36</v>
      </c>
      <c r="P86">
        <v>76</v>
      </c>
      <c r="Q86" t="s">
        <v>99</v>
      </c>
      <c r="R86">
        <v>30</v>
      </c>
      <c r="S86" s="19">
        <v>0.5</v>
      </c>
      <c r="T86">
        <v>0</v>
      </c>
      <c r="U86" s="19">
        <v>0.54166666666666663</v>
      </c>
      <c r="V86" t="s">
        <v>99</v>
      </c>
      <c r="W86">
        <v>6</v>
      </c>
      <c r="X86" t="s">
        <v>102</v>
      </c>
      <c r="Y86" t="b">
        <v>0</v>
      </c>
    </row>
    <row r="87" spans="1:25" x14ac:dyDescent="0.55000000000000004">
      <c r="A87" t="s">
        <v>94</v>
      </c>
      <c r="B87" t="s">
        <v>110</v>
      </c>
      <c r="C87" t="s">
        <v>96</v>
      </c>
      <c r="D87" t="s">
        <v>111</v>
      </c>
      <c r="E87" t="s">
        <v>117</v>
      </c>
      <c r="F87" t="s">
        <v>128</v>
      </c>
      <c r="G87">
        <v>24344</v>
      </c>
      <c r="H87" t="s">
        <v>123</v>
      </c>
      <c r="I87">
        <v>2</v>
      </c>
      <c r="J87" t="s">
        <v>105</v>
      </c>
      <c r="K87" s="19">
        <v>0.29166666666666669</v>
      </c>
      <c r="L87" s="19">
        <v>0.5625</v>
      </c>
      <c r="M87">
        <v>6.5</v>
      </c>
      <c r="N87">
        <v>174.3</v>
      </c>
      <c r="O87">
        <v>36</v>
      </c>
      <c r="P87">
        <v>76</v>
      </c>
      <c r="Q87" t="s">
        <v>99</v>
      </c>
      <c r="R87">
        <v>30</v>
      </c>
      <c r="S87" s="19">
        <v>0.5</v>
      </c>
      <c r="T87">
        <v>0</v>
      </c>
      <c r="U87" s="19">
        <v>0.54166666666666663</v>
      </c>
      <c r="V87" t="s">
        <v>99</v>
      </c>
      <c r="W87">
        <v>6</v>
      </c>
      <c r="X87" t="s">
        <v>102</v>
      </c>
      <c r="Y87" t="b">
        <v>0</v>
      </c>
    </row>
    <row r="88" spans="1:25" x14ac:dyDescent="0.55000000000000004">
      <c r="A88" t="s">
        <v>94</v>
      </c>
      <c r="B88" t="s">
        <v>110</v>
      </c>
      <c r="C88" t="s">
        <v>96</v>
      </c>
      <c r="D88" t="s">
        <v>111</v>
      </c>
      <c r="E88" t="s">
        <v>117</v>
      </c>
      <c r="F88" t="s">
        <v>128</v>
      </c>
      <c r="G88">
        <v>24346</v>
      </c>
      <c r="H88" t="s">
        <v>124</v>
      </c>
      <c r="I88">
        <v>2</v>
      </c>
      <c r="J88" t="s">
        <v>103</v>
      </c>
      <c r="K88" s="19">
        <v>0.29166666666666669</v>
      </c>
      <c r="L88" s="19">
        <v>0.5625</v>
      </c>
      <c r="M88">
        <v>6.5</v>
      </c>
      <c r="N88">
        <v>174.3</v>
      </c>
      <c r="O88">
        <v>48</v>
      </c>
      <c r="P88">
        <v>76</v>
      </c>
      <c r="Q88" t="s">
        <v>99</v>
      </c>
      <c r="R88">
        <v>30</v>
      </c>
      <c r="S88" s="19">
        <v>0.5</v>
      </c>
      <c r="T88">
        <v>0</v>
      </c>
      <c r="U88" s="19">
        <v>0.54166666666666663</v>
      </c>
      <c r="V88" t="s">
        <v>99</v>
      </c>
      <c r="W88">
        <v>6</v>
      </c>
      <c r="X88" t="s">
        <v>102</v>
      </c>
      <c r="Y88" t="b">
        <v>0</v>
      </c>
    </row>
    <row r="89" spans="1:25" x14ac:dyDescent="0.55000000000000004">
      <c r="A89" t="s">
        <v>94</v>
      </c>
      <c r="B89" t="s">
        <v>110</v>
      </c>
      <c r="C89" t="s">
        <v>96</v>
      </c>
      <c r="D89" t="s">
        <v>111</v>
      </c>
      <c r="E89" t="s">
        <v>117</v>
      </c>
      <c r="F89" t="s">
        <v>128</v>
      </c>
      <c r="G89">
        <v>24346</v>
      </c>
      <c r="H89" t="s">
        <v>124</v>
      </c>
      <c r="I89">
        <v>2</v>
      </c>
      <c r="J89" t="s">
        <v>104</v>
      </c>
      <c r="K89" s="19">
        <v>0.29166666666666669</v>
      </c>
      <c r="L89" s="19">
        <v>0.5625</v>
      </c>
      <c r="M89">
        <v>6.5</v>
      </c>
      <c r="N89">
        <v>174.3</v>
      </c>
      <c r="O89">
        <v>48</v>
      </c>
      <c r="P89">
        <v>76</v>
      </c>
      <c r="Q89" t="s">
        <v>99</v>
      </c>
      <c r="R89">
        <v>30</v>
      </c>
      <c r="S89" s="19">
        <v>0.5</v>
      </c>
      <c r="T89">
        <v>0</v>
      </c>
      <c r="U89" s="19">
        <v>0.54166666666666663</v>
      </c>
      <c r="V89" t="s">
        <v>99</v>
      </c>
      <c r="W89">
        <v>6</v>
      </c>
      <c r="X89" t="s">
        <v>102</v>
      </c>
      <c r="Y89" t="b">
        <v>0</v>
      </c>
    </row>
    <row r="90" spans="1:25" x14ac:dyDescent="0.55000000000000004">
      <c r="A90" t="s">
        <v>94</v>
      </c>
      <c r="B90" t="s">
        <v>110</v>
      </c>
      <c r="C90" t="s">
        <v>96</v>
      </c>
      <c r="D90" t="s">
        <v>111</v>
      </c>
      <c r="E90" t="s">
        <v>117</v>
      </c>
      <c r="F90" t="s">
        <v>128</v>
      </c>
      <c r="G90">
        <v>25226</v>
      </c>
      <c r="H90" t="s">
        <v>132</v>
      </c>
      <c r="I90">
        <v>1</v>
      </c>
      <c r="J90" t="s">
        <v>101</v>
      </c>
      <c r="K90" s="19">
        <v>0.29166666666666669</v>
      </c>
      <c r="L90" s="19">
        <v>0.5625</v>
      </c>
      <c r="M90">
        <v>6.5</v>
      </c>
      <c r="N90">
        <v>174.3</v>
      </c>
      <c r="O90">
        <v>54</v>
      </c>
      <c r="P90">
        <v>76</v>
      </c>
      <c r="Q90" t="s">
        <v>99</v>
      </c>
      <c r="R90">
        <v>30</v>
      </c>
      <c r="S90" s="19">
        <v>0.5</v>
      </c>
      <c r="T90">
        <v>0</v>
      </c>
      <c r="U90" s="19">
        <v>0.54166666666666663</v>
      </c>
      <c r="V90" t="s">
        <v>99</v>
      </c>
      <c r="W90">
        <v>6</v>
      </c>
      <c r="X90" t="s">
        <v>102</v>
      </c>
      <c r="Y90" t="b">
        <v>0</v>
      </c>
    </row>
    <row r="91" spans="1:25" x14ac:dyDescent="0.55000000000000004">
      <c r="A91" t="s">
        <v>94</v>
      </c>
      <c r="B91" t="s">
        <v>110</v>
      </c>
      <c r="C91" t="s">
        <v>96</v>
      </c>
      <c r="D91" t="s">
        <v>111</v>
      </c>
      <c r="E91" t="s">
        <v>117</v>
      </c>
      <c r="F91" t="s">
        <v>128</v>
      </c>
      <c r="G91">
        <v>25226</v>
      </c>
      <c r="H91" t="s">
        <v>132</v>
      </c>
      <c r="I91">
        <v>1</v>
      </c>
      <c r="J91" t="s">
        <v>116</v>
      </c>
      <c r="K91" s="19">
        <v>0.29166666666666669</v>
      </c>
      <c r="L91" s="19">
        <v>0.5625</v>
      </c>
      <c r="M91">
        <v>6.5</v>
      </c>
      <c r="N91">
        <v>305.02</v>
      </c>
      <c r="O91">
        <v>54</v>
      </c>
      <c r="P91">
        <v>76</v>
      </c>
      <c r="Q91" t="s">
        <v>99</v>
      </c>
      <c r="R91">
        <v>30</v>
      </c>
      <c r="S91" s="19">
        <v>0.5</v>
      </c>
      <c r="T91">
        <v>0</v>
      </c>
      <c r="U91" s="19">
        <v>0.54166666666666663</v>
      </c>
      <c r="V91" t="s">
        <v>99</v>
      </c>
      <c r="W91">
        <v>6</v>
      </c>
      <c r="X91" t="s">
        <v>102</v>
      </c>
      <c r="Y91" t="b">
        <v>0</v>
      </c>
    </row>
    <row r="92" spans="1:25" x14ac:dyDescent="0.55000000000000004">
      <c r="A92" t="s">
        <v>94</v>
      </c>
      <c r="B92" t="s">
        <v>110</v>
      </c>
      <c r="C92" t="s">
        <v>96</v>
      </c>
      <c r="D92" t="s">
        <v>111</v>
      </c>
      <c r="E92" t="s">
        <v>117</v>
      </c>
      <c r="F92" t="s">
        <v>128</v>
      </c>
      <c r="G92">
        <v>25226</v>
      </c>
      <c r="H92" t="s">
        <v>132</v>
      </c>
      <c r="I92">
        <v>1</v>
      </c>
      <c r="J92" t="s">
        <v>104</v>
      </c>
      <c r="K92" s="19">
        <v>0.29166666666666669</v>
      </c>
      <c r="L92" s="19">
        <v>0.5625</v>
      </c>
      <c r="M92">
        <v>6.5</v>
      </c>
      <c r="N92">
        <v>174.3</v>
      </c>
      <c r="O92">
        <v>54</v>
      </c>
      <c r="P92">
        <v>76</v>
      </c>
      <c r="Q92" t="s">
        <v>99</v>
      </c>
      <c r="R92">
        <v>30</v>
      </c>
      <c r="S92" s="19">
        <v>0.5</v>
      </c>
      <c r="T92">
        <v>0</v>
      </c>
      <c r="U92" s="19">
        <v>0.54166666666666663</v>
      </c>
      <c r="V92" t="s">
        <v>99</v>
      </c>
      <c r="W92">
        <v>6</v>
      </c>
      <c r="X92" t="s">
        <v>102</v>
      </c>
      <c r="Y92" t="b">
        <v>0</v>
      </c>
    </row>
    <row r="93" spans="1:25" x14ac:dyDescent="0.55000000000000004">
      <c r="A93" t="s">
        <v>94</v>
      </c>
      <c r="B93" t="s">
        <v>110</v>
      </c>
      <c r="C93" t="s">
        <v>96</v>
      </c>
      <c r="D93" t="s">
        <v>111</v>
      </c>
      <c r="E93" t="s">
        <v>117</v>
      </c>
      <c r="F93" t="s">
        <v>128</v>
      </c>
      <c r="G93">
        <v>25226</v>
      </c>
      <c r="H93" t="s">
        <v>132</v>
      </c>
      <c r="I93">
        <v>2</v>
      </c>
      <c r="J93" t="s">
        <v>107</v>
      </c>
      <c r="K93" s="19">
        <v>0.29166666666666669</v>
      </c>
      <c r="L93" s="19">
        <v>0.5625</v>
      </c>
      <c r="M93">
        <v>6.5</v>
      </c>
      <c r="N93">
        <v>174.3</v>
      </c>
      <c r="O93">
        <v>54</v>
      </c>
      <c r="P93">
        <v>76</v>
      </c>
      <c r="Q93" t="s">
        <v>99</v>
      </c>
      <c r="R93">
        <v>30</v>
      </c>
      <c r="S93" s="19">
        <v>0.5</v>
      </c>
      <c r="T93">
        <v>0</v>
      </c>
      <c r="U93" s="19">
        <v>0.54166666666666663</v>
      </c>
      <c r="V93" t="s">
        <v>99</v>
      </c>
      <c r="W93">
        <v>6</v>
      </c>
      <c r="X93" t="s">
        <v>102</v>
      </c>
      <c r="Y93" t="b">
        <v>0</v>
      </c>
    </row>
    <row r="94" spans="1:25" x14ac:dyDescent="0.55000000000000004">
      <c r="A94" t="s">
        <v>94</v>
      </c>
      <c r="B94" t="s">
        <v>110</v>
      </c>
      <c r="C94" t="s">
        <v>96</v>
      </c>
      <c r="D94" t="s">
        <v>111</v>
      </c>
      <c r="E94" t="s">
        <v>117</v>
      </c>
      <c r="F94" t="s">
        <v>128</v>
      </c>
      <c r="G94">
        <v>25858</v>
      </c>
      <c r="H94" t="s">
        <v>133</v>
      </c>
      <c r="I94">
        <v>1</v>
      </c>
      <c r="J94" t="s">
        <v>115</v>
      </c>
      <c r="K94" s="19">
        <v>0.29166666666666669</v>
      </c>
      <c r="L94" s="19">
        <v>0.5625</v>
      </c>
      <c r="M94">
        <v>6.5</v>
      </c>
      <c r="N94">
        <v>264.51</v>
      </c>
      <c r="O94">
        <v>54</v>
      </c>
      <c r="P94">
        <v>76</v>
      </c>
      <c r="Q94" t="s">
        <v>99</v>
      </c>
      <c r="R94">
        <v>30</v>
      </c>
      <c r="S94" s="19">
        <v>0.5</v>
      </c>
      <c r="T94">
        <v>0</v>
      </c>
      <c r="U94" s="19">
        <v>0.54166666666666663</v>
      </c>
      <c r="V94" t="s">
        <v>99</v>
      </c>
      <c r="W94">
        <v>6</v>
      </c>
      <c r="X94" t="s">
        <v>102</v>
      </c>
      <c r="Y94" t="b">
        <v>0</v>
      </c>
    </row>
    <row r="95" spans="1:25" x14ac:dyDescent="0.55000000000000004">
      <c r="A95" t="s">
        <v>94</v>
      </c>
      <c r="B95" t="s">
        <v>110</v>
      </c>
      <c r="C95" t="s">
        <v>96</v>
      </c>
      <c r="D95" t="s">
        <v>111</v>
      </c>
      <c r="E95" t="s">
        <v>117</v>
      </c>
      <c r="F95" t="s">
        <v>113</v>
      </c>
      <c r="G95">
        <v>18301</v>
      </c>
      <c r="H95" t="s">
        <v>114</v>
      </c>
      <c r="I95">
        <v>1</v>
      </c>
      <c r="J95" t="s">
        <v>103</v>
      </c>
      <c r="K95" s="19">
        <v>0.25</v>
      </c>
      <c r="L95" s="19">
        <v>0.58333333333333337</v>
      </c>
      <c r="M95">
        <v>8</v>
      </c>
      <c r="N95">
        <v>220.43</v>
      </c>
      <c r="O95">
        <v>60.5</v>
      </c>
      <c r="P95">
        <v>76</v>
      </c>
      <c r="Q95" t="s">
        <v>99</v>
      </c>
      <c r="R95">
        <v>30</v>
      </c>
      <c r="S95" s="19">
        <v>0.4375</v>
      </c>
      <c r="T95">
        <v>0</v>
      </c>
      <c r="U95" s="19">
        <v>0.54166666666666663</v>
      </c>
      <c r="V95" t="s">
        <v>99</v>
      </c>
      <c r="W95">
        <v>7.5</v>
      </c>
      <c r="X95" t="s">
        <v>102</v>
      </c>
      <c r="Y95" t="b">
        <v>0</v>
      </c>
    </row>
    <row r="96" spans="1:25" x14ac:dyDescent="0.55000000000000004">
      <c r="A96" t="s">
        <v>94</v>
      </c>
      <c r="B96" t="s">
        <v>110</v>
      </c>
      <c r="C96" t="s">
        <v>96</v>
      </c>
      <c r="D96" t="s">
        <v>111</v>
      </c>
      <c r="E96" t="s">
        <v>117</v>
      </c>
      <c r="F96" t="s">
        <v>113</v>
      </c>
      <c r="G96">
        <v>18301</v>
      </c>
      <c r="H96" t="s">
        <v>114</v>
      </c>
      <c r="I96">
        <v>2</v>
      </c>
      <c r="J96" t="s">
        <v>103</v>
      </c>
      <c r="K96" s="19">
        <v>0.25</v>
      </c>
      <c r="L96" s="19">
        <v>0.58333333333333337</v>
      </c>
      <c r="M96">
        <v>8</v>
      </c>
      <c r="N96">
        <v>220.43</v>
      </c>
      <c r="O96">
        <v>60.5</v>
      </c>
      <c r="P96">
        <v>76</v>
      </c>
      <c r="Q96" t="s">
        <v>99</v>
      </c>
      <c r="R96">
        <v>30</v>
      </c>
      <c r="S96" s="19">
        <v>0.4375</v>
      </c>
      <c r="T96">
        <v>0</v>
      </c>
      <c r="U96" s="19">
        <v>0.54166666666666663</v>
      </c>
      <c r="V96" t="s">
        <v>99</v>
      </c>
      <c r="W96">
        <v>7.5</v>
      </c>
      <c r="X96" t="s">
        <v>102</v>
      </c>
      <c r="Y96" t="b">
        <v>0</v>
      </c>
    </row>
    <row r="97" spans="1:25" x14ac:dyDescent="0.55000000000000004">
      <c r="A97" t="s">
        <v>94</v>
      </c>
      <c r="B97" t="s">
        <v>110</v>
      </c>
      <c r="C97" t="s">
        <v>96</v>
      </c>
      <c r="D97" t="s">
        <v>111</v>
      </c>
      <c r="E97" t="s">
        <v>117</v>
      </c>
      <c r="F97" t="s">
        <v>113</v>
      </c>
      <c r="G97">
        <v>20329</v>
      </c>
      <c r="H97" t="s">
        <v>129</v>
      </c>
      <c r="I97">
        <v>1</v>
      </c>
      <c r="J97" t="s">
        <v>103</v>
      </c>
      <c r="K97" s="19">
        <v>0.45833333333333331</v>
      </c>
      <c r="L97" s="19">
        <v>0.8125</v>
      </c>
      <c r="M97">
        <v>8.5</v>
      </c>
      <c r="N97">
        <v>232.4</v>
      </c>
      <c r="O97">
        <v>69</v>
      </c>
      <c r="P97">
        <v>76</v>
      </c>
      <c r="Q97" t="s">
        <v>99</v>
      </c>
      <c r="R97">
        <v>30</v>
      </c>
      <c r="S97" s="19">
        <v>0.54166666666666663</v>
      </c>
      <c r="T97">
        <v>0</v>
      </c>
      <c r="U97" s="19">
        <v>0.54166666666666663</v>
      </c>
      <c r="V97" t="s">
        <v>99</v>
      </c>
      <c r="W97">
        <v>8</v>
      </c>
      <c r="X97" t="s">
        <v>102</v>
      </c>
      <c r="Y97" t="b">
        <v>0</v>
      </c>
    </row>
    <row r="98" spans="1:25" x14ac:dyDescent="0.55000000000000004">
      <c r="A98" t="s">
        <v>94</v>
      </c>
      <c r="B98" t="s">
        <v>110</v>
      </c>
      <c r="C98" t="s">
        <v>96</v>
      </c>
      <c r="D98" t="s">
        <v>111</v>
      </c>
      <c r="E98" t="s">
        <v>117</v>
      </c>
      <c r="F98" t="s">
        <v>113</v>
      </c>
      <c r="G98">
        <v>20329</v>
      </c>
      <c r="H98" t="s">
        <v>129</v>
      </c>
      <c r="I98">
        <v>1</v>
      </c>
      <c r="J98" t="s">
        <v>105</v>
      </c>
      <c r="K98" s="19">
        <v>0.45833333333333331</v>
      </c>
      <c r="L98" s="19">
        <v>0.8125</v>
      </c>
      <c r="M98">
        <v>8.5</v>
      </c>
      <c r="N98">
        <v>232.4</v>
      </c>
      <c r="O98">
        <v>69</v>
      </c>
      <c r="P98">
        <v>76</v>
      </c>
      <c r="Q98" t="s">
        <v>99</v>
      </c>
      <c r="R98">
        <v>30</v>
      </c>
      <c r="S98" s="19">
        <v>0.54166666666666663</v>
      </c>
      <c r="T98">
        <v>0</v>
      </c>
      <c r="U98" s="19">
        <v>0.54166666666666663</v>
      </c>
      <c r="V98" t="s">
        <v>99</v>
      </c>
      <c r="W98">
        <v>8</v>
      </c>
      <c r="X98" t="s">
        <v>102</v>
      </c>
      <c r="Y98" t="b">
        <v>0</v>
      </c>
    </row>
    <row r="99" spans="1:25" x14ac:dyDescent="0.55000000000000004">
      <c r="A99" t="s">
        <v>94</v>
      </c>
      <c r="B99" t="s">
        <v>110</v>
      </c>
      <c r="C99" t="s">
        <v>96</v>
      </c>
      <c r="D99" t="s">
        <v>111</v>
      </c>
      <c r="E99" t="s">
        <v>117</v>
      </c>
      <c r="F99" t="s">
        <v>113</v>
      </c>
      <c r="G99">
        <v>20329</v>
      </c>
      <c r="H99" t="s">
        <v>129</v>
      </c>
      <c r="I99">
        <v>2</v>
      </c>
      <c r="J99" t="s">
        <v>103</v>
      </c>
      <c r="K99" s="19">
        <v>0.45833333333333331</v>
      </c>
      <c r="L99" s="19">
        <v>0.8125</v>
      </c>
      <c r="M99">
        <v>8.5</v>
      </c>
      <c r="N99">
        <v>232.4</v>
      </c>
      <c r="O99">
        <v>69</v>
      </c>
      <c r="P99">
        <v>76</v>
      </c>
      <c r="Q99" t="s">
        <v>99</v>
      </c>
      <c r="R99">
        <v>30</v>
      </c>
      <c r="S99" s="19">
        <v>0.54166666666666663</v>
      </c>
      <c r="T99">
        <v>0</v>
      </c>
      <c r="U99" s="19">
        <v>0.54166666666666663</v>
      </c>
      <c r="V99" t="s">
        <v>99</v>
      </c>
      <c r="W99">
        <v>8</v>
      </c>
      <c r="X99" t="s">
        <v>102</v>
      </c>
      <c r="Y99" t="b">
        <v>0</v>
      </c>
    </row>
    <row r="100" spans="1:25" x14ac:dyDescent="0.55000000000000004">
      <c r="A100" t="s">
        <v>94</v>
      </c>
      <c r="B100" t="s">
        <v>110</v>
      </c>
      <c r="C100" t="s">
        <v>96</v>
      </c>
      <c r="D100" t="s">
        <v>111</v>
      </c>
      <c r="E100" t="s">
        <v>117</v>
      </c>
      <c r="F100" t="s">
        <v>113</v>
      </c>
      <c r="G100">
        <v>20329</v>
      </c>
      <c r="H100" t="s">
        <v>129</v>
      </c>
      <c r="I100">
        <v>2</v>
      </c>
      <c r="J100" t="s">
        <v>105</v>
      </c>
      <c r="K100" s="19">
        <v>0.45833333333333331</v>
      </c>
      <c r="L100" s="19">
        <v>0.8125</v>
      </c>
      <c r="M100">
        <v>8.5</v>
      </c>
      <c r="N100">
        <v>232.4</v>
      </c>
      <c r="O100">
        <v>69</v>
      </c>
      <c r="P100">
        <v>76</v>
      </c>
      <c r="Q100" t="s">
        <v>99</v>
      </c>
      <c r="R100">
        <v>30</v>
      </c>
      <c r="S100" s="19">
        <v>0.54166666666666663</v>
      </c>
      <c r="T100">
        <v>0</v>
      </c>
      <c r="U100" s="19">
        <v>0.54166666666666663</v>
      </c>
      <c r="V100" t="s">
        <v>99</v>
      </c>
      <c r="W100">
        <v>8</v>
      </c>
      <c r="X100" t="s">
        <v>102</v>
      </c>
      <c r="Y100" t="b">
        <v>0</v>
      </c>
    </row>
    <row r="101" spans="1:25" x14ac:dyDescent="0.55000000000000004">
      <c r="A101" t="s">
        <v>94</v>
      </c>
      <c r="B101" t="s">
        <v>110</v>
      </c>
      <c r="C101" t="s">
        <v>96</v>
      </c>
      <c r="D101" t="s">
        <v>111</v>
      </c>
      <c r="E101" t="s">
        <v>117</v>
      </c>
      <c r="F101" t="s">
        <v>113</v>
      </c>
      <c r="G101">
        <v>21587</v>
      </c>
      <c r="H101" t="s">
        <v>120</v>
      </c>
      <c r="I101">
        <v>1</v>
      </c>
      <c r="J101" t="s">
        <v>105</v>
      </c>
      <c r="K101" s="19">
        <v>0.29166666666666669</v>
      </c>
      <c r="L101" s="19">
        <v>0.5625</v>
      </c>
      <c r="M101">
        <v>6.5</v>
      </c>
      <c r="N101">
        <v>174.3</v>
      </c>
      <c r="O101">
        <v>48</v>
      </c>
      <c r="P101">
        <v>76</v>
      </c>
      <c r="Q101" t="s">
        <v>99</v>
      </c>
      <c r="R101">
        <v>30</v>
      </c>
      <c r="S101" s="19">
        <v>0.45833333333333331</v>
      </c>
      <c r="T101">
        <v>0</v>
      </c>
      <c r="U101" s="19">
        <v>0.54166666666666663</v>
      </c>
      <c r="V101" t="s">
        <v>99</v>
      </c>
      <c r="W101">
        <v>6</v>
      </c>
      <c r="X101" t="s">
        <v>102</v>
      </c>
      <c r="Y101" t="b">
        <v>0</v>
      </c>
    </row>
    <row r="102" spans="1:25" x14ac:dyDescent="0.55000000000000004">
      <c r="A102" t="s">
        <v>94</v>
      </c>
      <c r="B102" t="s">
        <v>110</v>
      </c>
      <c r="C102" t="s">
        <v>96</v>
      </c>
      <c r="D102" t="s">
        <v>111</v>
      </c>
      <c r="E102" t="s">
        <v>117</v>
      </c>
      <c r="F102" t="s">
        <v>113</v>
      </c>
      <c r="G102">
        <v>21587</v>
      </c>
      <c r="H102" t="s">
        <v>120</v>
      </c>
      <c r="I102">
        <v>2</v>
      </c>
      <c r="J102" t="s">
        <v>116</v>
      </c>
      <c r="K102" s="19">
        <v>0.29166666666666669</v>
      </c>
      <c r="L102" s="19">
        <v>0.5625</v>
      </c>
      <c r="M102">
        <v>6.5</v>
      </c>
      <c r="N102">
        <v>305.02</v>
      </c>
      <c r="O102">
        <v>48</v>
      </c>
      <c r="P102">
        <v>76</v>
      </c>
      <c r="Q102" t="s">
        <v>99</v>
      </c>
      <c r="R102">
        <v>30</v>
      </c>
      <c r="S102" s="19">
        <v>0.45833333333333331</v>
      </c>
      <c r="T102">
        <v>0</v>
      </c>
      <c r="U102" s="19">
        <v>0.54166666666666663</v>
      </c>
      <c r="V102" t="s">
        <v>99</v>
      </c>
      <c r="W102">
        <v>6</v>
      </c>
      <c r="X102" t="s">
        <v>102</v>
      </c>
      <c r="Y102" t="b">
        <v>0</v>
      </c>
    </row>
    <row r="103" spans="1:25" x14ac:dyDescent="0.55000000000000004">
      <c r="A103" t="s">
        <v>94</v>
      </c>
      <c r="B103" t="s">
        <v>110</v>
      </c>
      <c r="C103" t="s">
        <v>96</v>
      </c>
      <c r="D103" t="s">
        <v>111</v>
      </c>
      <c r="E103" t="s">
        <v>117</v>
      </c>
      <c r="F103" t="s">
        <v>113</v>
      </c>
      <c r="G103">
        <v>21587</v>
      </c>
      <c r="H103" t="s">
        <v>120</v>
      </c>
      <c r="I103">
        <v>2</v>
      </c>
      <c r="J103" t="s">
        <v>105</v>
      </c>
      <c r="K103" s="19">
        <v>0.29166666666666669</v>
      </c>
      <c r="L103" s="19">
        <v>0.5625</v>
      </c>
      <c r="M103">
        <v>6.5</v>
      </c>
      <c r="N103">
        <v>174.3</v>
      </c>
      <c r="O103">
        <v>48</v>
      </c>
      <c r="P103">
        <v>76</v>
      </c>
      <c r="Q103" t="s">
        <v>99</v>
      </c>
      <c r="R103">
        <v>30</v>
      </c>
      <c r="S103" s="19">
        <v>0.45833333333333331</v>
      </c>
      <c r="T103">
        <v>0</v>
      </c>
      <c r="U103" s="19">
        <v>0.54166666666666663</v>
      </c>
      <c r="V103" t="s">
        <v>99</v>
      </c>
      <c r="W103">
        <v>6</v>
      </c>
      <c r="X103" t="s">
        <v>102</v>
      </c>
      <c r="Y103" t="b">
        <v>0</v>
      </c>
    </row>
    <row r="104" spans="1:25" x14ac:dyDescent="0.55000000000000004">
      <c r="A104" t="s">
        <v>94</v>
      </c>
      <c r="B104" t="s">
        <v>110</v>
      </c>
      <c r="C104" t="s">
        <v>96</v>
      </c>
      <c r="D104" t="s">
        <v>111</v>
      </c>
      <c r="E104" t="s">
        <v>117</v>
      </c>
      <c r="F104" t="s">
        <v>113</v>
      </c>
      <c r="G104">
        <v>22919</v>
      </c>
      <c r="H104" t="s">
        <v>130</v>
      </c>
      <c r="I104">
        <v>1</v>
      </c>
      <c r="J104" t="s">
        <v>115</v>
      </c>
      <c r="K104" s="19">
        <v>0.29166666666666669</v>
      </c>
      <c r="L104" s="19">
        <v>0.5625</v>
      </c>
      <c r="M104">
        <v>6.5</v>
      </c>
      <c r="N104">
        <v>264.51</v>
      </c>
      <c r="O104">
        <v>60</v>
      </c>
      <c r="P104">
        <v>76</v>
      </c>
      <c r="Q104" t="s">
        <v>99</v>
      </c>
      <c r="R104">
        <v>30</v>
      </c>
      <c r="S104" s="19">
        <v>0.45833333333333331</v>
      </c>
      <c r="T104">
        <v>0</v>
      </c>
      <c r="U104" s="19">
        <v>0.54166666666666663</v>
      </c>
      <c r="V104" t="s">
        <v>99</v>
      </c>
      <c r="W104">
        <v>6</v>
      </c>
      <c r="X104" t="s">
        <v>102</v>
      </c>
      <c r="Y104" t="b">
        <v>0</v>
      </c>
    </row>
    <row r="105" spans="1:25" x14ac:dyDescent="0.55000000000000004">
      <c r="A105" t="s">
        <v>94</v>
      </c>
      <c r="B105" t="s">
        <v>110</v>
      </c>
      <c r="C105" t="s">
        <v>96</v>
      </c>
      <c r="D105" t="s">
        <v>111</v>
      </c>
      <c r="E105" t="s">
        <v>117</v>
      </c>
      <c r="F105" t="s">
        <v>113</v>
      </c>
      <c r="G105">
        <v>22919</v>
      </c>
      <c r="H105" t="s">
        <v>130</v>
      </c>
      <c r="I105">
        <v>1</v>
      </c>
      <c r="J105" t="s">
        <v>116</v>
      </c>
      <c r="K105" s="19">
        <v>0.29166666666666669</v>
      </c>
      <c r="L105" s="19">
        <v>0.5625</v>
      </c>
      <c r="M105">
        <v>6.5</v>
      </c>
      <c r="N105">
        <v>308.60000000000002</v>
      </c>
      <c r="O105">
        <v>60</v>
      </c>
      <c r="P105">
        <v>76</v>
      </c>
      <c r="Q105" t="s">
        <v>99</v>
      </c>
      <c r="R105">
        <v>30</v>
      </c>
      <c r="S105" s="19">
        <v>0.45833333333333331</v>
      </c>
      <c r="T105">
        <v>0</v>
      </c>
      <c r="U105" s="19">
        <v>0.54166666666666663</v>
      </c>
      <c r="V105" t="s">
        <v>99</v>
      </c>
      <c r="W105">
        <v>6</v>
      </c>
      <c r="X105" t="s">
        <v>102</v>
      </c>
      <c r="Y105" t="b">
        <v>0</v>
      </c>
    </row>
    <row r="106" spans="1:25" x14ac:dyDescent="0.55000000000000004">
      <c r="A106" t="s">
        <v>94</v>
      </c>
      <c r="B106" t="s">
        <v>110</v>
      </c>
      <c r="C106" t="s">
        <v>96</v>
      </c>
      <c r="D106" t="s">
        <v>111</v>
      </c>
      <c r="E106" t="s">
        <v>117</v>
      </c>
      <c r="F106" t="s">
        <v>113</v>
      </c>
      <c r="G106">
        <v>22919</v>
      </c>
      <c r="H106" t="s">
        <v>130</v>
      </c>
      <c r="I106">
        <v>2</v>
      </c>
      <c r="J106" t="s">
        <v>101</v>
      </c>
      <c r="K106" s="19">
        <v>0.29166666666666669</v>
      </c>
      <c r="L106" s="19">
        <v>0.5625</v>
      </c>
      <c r="M106">
        <v>6.5</v>
      </c>
      <c r="N106">
        <v>176.34</v>
      </c>
      <c r="O106">
        <v>60</v>
      </c>
      <c r="P106">
        <v>76</v>
      </c>
      <c r="Q106" t="s">
        <v>99</v>
      </c>
      <c r="R106">
        <v>30</v>
      </c>
      <c r="S106" s="19">
        <v>0.45833333333333331</v>
      </c>
      <c r="T106">
        <v>0</v>
      </c>
      <c r="U106" s="19">
        <v>0.54166666666666663</v>
      </c>
      <c r="V106" t="s">
        <v>99</v>
      </c>
      <c r="W106">
        <v>6</v>
      </c>
      <c r="X106" t="s">
        <v>102</v>
      </c>
      <c r="Y106" t="b">
        <v>0</v>
      </c>
    </row>
    <row r="107" spans="1:25" x14ac:dyDescent="0.55000000000000004">
      <c r="A107" t="s">
        <v>94</v>
      </c>
      <c r="B107" t="s">
        <v>110</v>
      </c>
      <c r="C107" t="s">
        <v>96</v>
      </c>
      <c r="D107" t="s">
        <v>111</v>
      </c>
      <c r="E107" t="s">
        <v>117</v>
      </c>
      <c r="F107" t="s">
        <v>113</v>
      </c>
      <c r="G107">
        <v>22919</v>
      </c>
      <c r="H107" t="s">
        <v>130</v>
      </c>
      <c r="I107">
        <v>2</v>
      </c>
      <c r="J107" t="s">
        <v>104</v>
      </c>
      <c r="K107" s="19">
        <v>0.29166666666666669</v>
      </c>
      <c r="L107" s="19">
        <v>0.5625</v>
      </c>
      <c r="M107">
        <v>6.5</v>
      </c>
      <c r="N107">
        <v>176.34</v>
      </c>
      <c r="O107">
        <v>60</v>
      </c>
      <c r="P107">
        <v>76</v>
      </c>
      <c r="Q107" t="s">
        <v>99</v>
      </c>
      <c r="R107">
        <v>30</v>
      </c>
      <c r="S107" s="19">
        <v>0.45833333333333331</v>
      </c>
      <c r="T107">
        <v>0</v>
      </c>
      <c r="U107" s="19">
        <v>0.54166666666666663</v>
      </c>
      <c r="V107" t="s">
        <v>99</v>
      </c>
      <c r="W107">
        <v>6</v>
      </c>
      <c r="X107" t="s">
        <v>102</v>
      </c>
      <c r="Y107" t="b">
        <v>0</v>
      </c>
    </row>
    <row r="108" spans="1:25" x14ac:dyDescent="0.55000000000000004">
      <c r="A108" t="s">
        <v>94</v>
      </c>
      <c r="B108" t="s">
        <v>110</v>
      </c>
      <c r="C108" t="s">
        <v>96</v>
      </c>
      <c r="D108" t="s">
        <v>111</v>
      </c>
      <c r="E108" t="s">
        <v>117</v>
      </c>
      <c r="F108" t="s">
        <v>113</v>
      </c>
      <c r="G108">
        <v>23981</v>
      </c>
      <c r="H108" t="s">
        <v>134</v>
      </c>
      <c r="I108">
        <v>1</v>
      </c>
      <c r="J108" t="s">
        <v>107</v>
      </c>
      <c r="K108" s="19">
        <v>0.29166666666666669</v>
      </c>
      <c r="L108" s="19">
        <v>0.5625</v>
      </c>
      <c r="M108">
        <v>6.5</v>
      </c>
      <c r="N108">
        <v>174.3</v>
      </c>
      <c r="O108">
        <v>54</v>
      </c>
      <c r="P108">
        <v>76</v>
      </c>
      <c r="Q108" t="s">
        <v>99</v>
      </c>
      <c r="R108">
        <v>30</v>
      </c>
      <c r="S108" s="19">
        <v>0.45833333333333331</v>
      </c>
      <c r="T108">
        <v>0</v>
      </c>
      <c r="U108" s="19">
        <v>0.54166666666666663</v>
      </c>
      <c r="V108" t="s">
        <v>99</v>
      </c>
      <c r="W108">
        <v>6</v>
      </c>
      <c r="X108" t="s">
        <v>102</v>
      </c>
      <c r="Y108" t="b">
        <v>0</v>
      </c>
    </row>
    <row r="109" spans="1:25" x14ac:dyDescent="0.55000000000000004">
      <c r="A109" t="s">
        <v>94</v>
      </c>
      <c r="B109" t="s">
        <v>110</v>
      </c>
      <c r="C109" t="s">
        <v>96</v>
      </c>
      <c r="D109" t="s">
        <v>111</v>
      </c>
      <c r="E109" t="s">
        <v>117</v>
      </c>
      <c r="F109" t="s">
        <v>113</v>
      </c>
      <c r="G109">
        <v>23981</v>
      </c>
      <c r="H109" t="s">
        <v>134</v>
      </c>
      <c r="I109">
        <v>1</v>
      </c>
      <c r="J109" t="s">
        <v>101</v>
      </c>
      <c r="K109" s="19">
        <v>0.29166666666666669</v>
      </c>
      <c r="L109" s="19">
        <v>0.5625</v>
      </c>
      <c r="M109">
        <v>6.5</v>
      </c>
      <c r="N109">
        <v>174.3</v>
      </c>
      <c r="O109">
        <v>54</v>
      </c>
      <c r="P109">
        <v>76</v>
      </c>
      <c r="Q109" t="s">
        <v>99</v>
      </c>
      <c r="R109">
        <v>30</v>
      </c>
      <c r="S109" s="19">
        <v>0.45833333333333331</v>
      </c>
      <c r="T109">
        <v>0</v>
      </c>
      <c r="U109" s="19">
        <v>0.54166666666666663</v>
      </c>
      <c r="V109" t="s">
        <v>99</v>
      </c>
      <c r="W109">
        <v>6</v>
      </c>
      <c r="X109" t="s">
        <v>102</v>
      </c>
      <c r="Y109" t="b">
        <v>0</v>
      </c>
    </row>
    <row r="110" spans="1:25" x14ac:dyDescent="0.55000000000000004">
      <c r="A110" t="s">
        <v>94</v>
      </c>
      <c r="B110" t="s">
        <v>110</v>
      </c>
      <c r="C110" t="s">
        <v>96</v>
      </c>
      <c r="D110" t="s">
        <v>111</v>
      </c>
      <c r="E110" t="s">
        <v>117</v>
      </c>
      <c r="F110" t="s">
        <v>113</v>
      </c>
      <c r="G110">
        <v>23981</v>
      </c>
      <c r="H110" t="s">
        <v>134</v>
      </c>
      <c r="I110">
        <v>1</v>
      </c>
      <c r="J110" t="s">
        <v>104</v>
      </c>
      <c r="K110" s="19">
        <v>0.29166666666666669</v>
      </c>
      <c r="L110" s="19">
        <v>0.5625</v>
      </c>
      <c r="M110">
        <v>6.5</v>
      </c>
      <c r="N110">
        <v>174.3</v>
      </c>
      <c r="O110">
        <v>54</v>
      </c>
      <c r="P110">
        <v>76</v>
      </c>
      <c r="Q110" t="s">
        <v>99</v>
      </c>
      <c r="R110">
        <v>30</v>
      </c>
      <c r="S110" s="19">
        <v>0.45833333333333331</v>
      </c>
      <c r="T110">
        <v>0</v>
      </c>
      <c r="U110" s="19">
        <v>0.54166666666666663</v>
      </c>
      <c r="V110" t="s">
        <v>99</v>
      </c>
      <c r="W110">
        <v>6</v>
      </c>
      <c r="X110" t="s">
        <v>102</v>
      </c>
      <c r="Y110" t="b">
        <v>0</v>
      </c>
    </row>
    <row r="111" spans="1:25" x14ac:dyDescent="0.55000000000000004">
      <c r="A111" t="s">
        <v>94</v>
      </c>
      <c r="B111" t="s">
        <v>110</v>
      </c>
      <c r="C111" t="s">
        <v>96</v>
      </c>
      <c r="D111" t="s">
        <v>111</v>
      </c>
      <c r="E111" t="s">
        <v>117</v>
      </c>
      <c r="F111" t="s">
        <v>113</v>
      </c>
      <c r="G111">
        <v>23981</v>
      </c>
      <c r="H111" t="s">
        <v>134</v>
      </c>
      <c r="I111">
        <v>2</v>
      </c>
      <c r="J111" t="s">
        <v>107</v>
      </c>
      <c r="K111" s="19">
        <v>0.29166666666666669</v>
      </c>
      <c r="L111" s="19">
        <v>0.5625</v>
      </c>
      <c r="M111">
        <v>6.5</v>
      </c>
      <c r="N111">
        <v>174.3</v>
      </c>
      <c r="O111">
        <v>54</v>
      </c>
      <c r="P111">
        <v>76</v>
      </c>
      <c r="Q111" t="s">
        <v>99</v>
      </c>
      <c r="R111">
        <v>30</v>
      </c>
      <c r="S111" s="19">
        <v>0.45833333333333331</v>
      </c>
      <c r="T111">
        <v>0</v>
      </c>
      <c r="U111" s="19">
        <v>0.54166666666666663</v>
      </c>
      <c r="V111" t="s">
        <v>99</v>
      </c>
      <c r="W111">
        <v>6</v>
      </c>
      <c r="X111" t="s">
        <v>102</v>
      </c>
      <c r="Y111" t="b">
        <v>0</v>
      </c>
    </row>
    <row r="112" spans="1:25" x14ac:dyDescent="0.55000000000000004">
      <c r="A112" t="s">
        <v>94</v>
      </c>
      <c r="B112" t="s">
        <v>110</v>
      </c>
      <c r="C112" t="s">
        <v>96</v>
      </c>
      <c r="D112" t="s">
        <v>111</v>
      </c>
      <c r="E112" t="s">
        <v>117</v>
      </c>
      <c r="F112" t="s">
        <v>113</v>
      </c>
      <c r="G112">
        <v>23981</v>
      </c>
      <c r="H112" t="s">
        <v>134</v>
      </c>
      <c r="I112">
        <v>2</v>
      </c>
      <c r="J112" t="s">
        <v>115</v>
      </c>
      <c r="K112" s="19">
        <v>0.29166666666666669</v>
      </c>
      <c r="L112" s="19">
        <v>0.5625</v>
      </c>
      <c r="M112">
        <v>6.5</v>
      </c>
      <c r="N112">
        <v>261.45</v>
      </c>
      <c r="O112">
        <v>54</v>
      </c>
      <c r="P112">
        <v>76</v>
      </c>
      <c r="Q112" t="s">
        <v>99</v>
      </c>
      <c r="R112">
        <v>30</v>
      </c>
      <c r="S112" s="19">
        <v>0.45833333333333331</v>
      </c>
      <c r="T112">
        <v>0</v>
      </c>
      <c r="U112" s="19">
        <v>0.54166666666666663</v>
      </c>
      <c r="V112" t="s">
        <v>99</v>
      </c>
      <c r="W112">
        <v>6</v>
      </c>
      <c r="X112" t="s">
        <v>102</v>
      </c>
      <c r="Y112" t="b">
        <v>0</v>
      </c>
    </row>
    <row r="113" spans="1:25" x14ac:dyDescent="0.55000000000000004">
      <c r="A113" t="s">
        <v>94</v>
      </c>
      <c r="B113" t="s">
        <v>110</v>
      </c>
      <c r="C113" t="s">
        <v>96</v>
      </c>
      <c r="D113" t="s">
        <v>111</v>
      </c>
      <c r="E113" t="s">
        <v>117</v>
      </c>
      <c r="F113" t="s">
        <v>135</v>
      </c>
      <c r="H113" t="s">
        <v>99</v>
      </c>
      <c r="I113">
        <v>1</v>
      </c>
      <c r="J113" t="s">
        <v>107</v>
      </c>
      <c r="K113" s="19">
        <v>0.54166666666666663</v>
      </c>
      <c r="L113" s="19">
        <v>0.8125</v>
      </c>
      <c r="M113">
        <v>6.5</v>
      </c>
      <c r="N113">
        <v>0</v>
      </c>
      <c r="O113">
        <v>0</v>
      </c>
      <c r="P113">
        <v>0</v>
      </c>
      <c r="Q113" t="s">
        <v>99</v>
      </c>
      <c r="R113">
        <v>30</v>
      </c>
      <c r="S113" s="19">
        <v>0.70833333333333337</v>
      </c>
      <c r="T113">
        <v>0</v>
      </c>
      <c r="U113" s="19">
        <v>0.54166666666666663</v>
      </c>
      <c r="V113" t="s">
        <v>99</v>
      </c>
      <c r="W113">
        <v>6</v>
      </c>
      <c r="X113" t="s">
        <v>102</v>
      </c>
      <c r="Y113" t="b">
        <v>0</v>
      </c>
    </row>
    <row r="114" spans="1:25" x14ac:dyDescent="0.55000000000000004">
      <c r="A114" t="s">
        <v>94</v>
      </c>
      <c r="B114" t="s">
        <v>110</v>
      </c>
      <c r="C114" t="s">
        <v>96</v>
      </c>
      <c r="D114" t="s">
        <v>111</v>
      </c>
      <c r="E114" t="s">
        <v>117</v>
      </c>
      <c r="F114" t="s">
        <v>135</v>
      </c>
      <c r="H114" t="s">
        <v>99</v>
      </c>
      <c r="I114">
        <v>1</v>
      </c>
      <c r="J114" t="s">
        <v>104</v>
      </c>
      <c r="K114" s="19">
        <v>0.54166666666666663</v>
      </c>
      <c r="L114" s="19">
        <v>0.8125</v>
      </c>
      <c r="M114">
        <v>6.5</v>
      </c>
      <c r="N114">
        <v>180.7</v>
      </c>
      <c r="O114">
        <v>0</v>
      </c>
      <c r="P114">
        <v>0</v>
      </c>
      <c r="Q114" t="s">
        <v>99</v>
      </c>
      <c r="R114">
        <v>30</v>
      </c>
      <c r="S114" s="19">
        <v>0.70833333333333337</v>
      </c>
      <c r="T114">
        <v>0</v>
      </c>
      <c r="U114" s="19">
        <v>0.54166666666666663</v>
      </c>
      <c r="V114" t="s">
        <v>99</v>
      </c>
      <c r="W114">
        <v>6</v>
      </c>
      <c r="X114" t="s">
        <v>102</v>
      </c>
      <c r="Y114" t="b">
        <v>0</v>
      </c>
    </row>
    <row r="115" spans="1:25" x14ac:dyDescent="0.55000000000000004">
      <c r="A115" t="s">
        <v>94</v>
      </c>
      <c r="B115" t="s">
        <v>110</v>
      </c>
      <c r="C115" t="s">
        <v>96</v>
      </c>
      <c r="D115" t="s">
        <v>111</v>
      </c>
      <c r="E115" t="s">
        <v>117</v>
      </c>
      <c r="F115" t="s">
        <v>135</v>
      </c>
      <c r="H115" t="s">
        <v>99</v>
      </c>
      <c r="I115">
        <v>1</v>
      </c>
      <c r="J115" t="s">
        <v>105</v>
      </c>
      <c r="K115" s="19">
        <v>0.54166666666666663</v>
      </c>
      <c r="L115" s="19">
        <v>0.8125</v>
      </c>
      <c r="M115">
        <v>6.5</v>
      </c>
      <c r="N115">
        <v>174.3</v>
      </c>
      <c r="O115">
        <v>0</v>
      </c>
      <c r="P115">
        <v>0</v>
      </c>
      <c r="Q115" t="s">
        <v>99</v>
      </c>
      <c r="R115">
        <v>30</v>
      </c>
      <c r="S115" s="19">
        <v>0.72916666666666663</v>
      </c>
      <c r="T115">
        <v>0</v>
      </c>
      <c r="U115" s="19">
        <v>0.54166666666666663</v>
      </c>
      <c r="V115" t="s">
        <v>99</v>
      </c>
      <c r="W115">
        <v>6</v>
      </c>
      <c r="X115" t="s">
        <v>102</v>
      </c>
      <c r="Y115" t="b">
        <v>0</v>
      </c>
    </row>
    <row r="116" spans="1:25" x14ac:dyDescent="0.55000000000000004">
      <c r="A116" t="s">
        <v>94</v>
      </c>
      <c r="B116" t="s">
        <v>110</v>
      </c>
      <c r="C116" t="s">
        <v>96</v>
      </c>
      <c r="D116" t="s">
        <v>111</v>
      </c>
      <c r="E116" t="s">
        <v>117</v>
      </c>
      <c r="F116" t="s">
        <v>135</v>
      </c>
      <c r="H116" t="s">
        <v>99</v>
      </c>
      <c r="I116">
        <v>2</v>
      </c>
      <c r="J116" t="s">
        <v>107</v>
      </c>
      <c r="K116" s="19">
        <v>0.29166666666666669</v>
      </c>
      <c r="L116" s="19">
        <v>0.5625</v>
      </c>
      <c r="M116">
        <v>6.5</v>
      </c>
      <c r="N116">
        <v>174.3</v>
      </c>
      <c r="O116">
        <v>0</v>
      </c>
      <c r="P116">
        <v>0</v>
      </c>
      <c r="Q116" t="s">
        <v>99</v>
      </c>
      <c r="R116">
        <v>30</v>
      </c>
      <c r="S116" s="19">
        <v>0.5</v>
      </c>
      <c r="T116">
        <v>0</v>
      </c>
      <c r="U116" s="19">
        <v>0.54166666666666663</v>
      </c>
      <c r="V116" t="s">
        <v>99</v>
      </c>
      <c r="W116">
        <v>6</v>
      </c>
      <c r="X116" t="s">
        <v>102</v>
      </c>
      <c r="Y116" t="b">
        <v>0</v>
      </c>
    </row>
    <row r="117" spans="1:25" x14ac:dyDescent="0.55000000000000004">
      <c r="A117" t="s">
        <v>94</v>
      </c>
      <c r="B117" t="s">
        <v>110</v>
      </c>
      <c r="C117" t="s">
        <v>96</v>
      </c>
      <c r="D117" t="s">
        <v>111</v>
      </c>
      <c r="E117" t="s">
        <v>117</v>
      </c>
      <c r="F117" t="s">
        <v>135</v>
      </c>
      <c r="H117" t="s">
        <v>99</v>
      </c>
      <c r="I117">
        <v>2</v>
      </c>
      <c r="J117" t="s">
        <v>104</v>
      </c>
      <c r="K117" s="19">
        <v>0.54166666666666663</v>
      </c>
      <c r="L117" s="19">
        <v>0.8125</v>
      </c>
      <c r="M117">
        <v>6.5</v>
      </c>
      <c r="N117">
        <v>0</v>
      </c>
      <c r="O117">
        <v>0</v>
      </c>
      <c r="P117">
        <v>0</v>
      </c>
      <c r="Q117" t="s">
        <v>99</v>
      </c>
      <c r="R117">
        <v>30</v>
      </c>
      <c r="S117" s="19">
        <v>0.70833333333333337</v>
      </c>
      <c r="T117">
        <v>0</v>
      </c>
      <c r="U117" s="19">
        <v>0.54166666666666663</v>
      </c>
      <c r="V117" t="s">
        <v>99</v>
      </c>
      <c r="W117">
        <v>6</v>
      </c>
      <c r="X117" t="s">
        <v>102</v>
      </c>
      <c r="Y117" t="b">
        <v>0</v>
      </c>
    </row>
    <row r="118" spans="1:25" x14ac:dyDescent="0.55000000000000004">
      <c r="A118" t="s">
        <v>94</v>
      </c>
      <c r="B118" t="s">
        <v>110</v>
      </c>
      <c r="C118" t="s">
        <v>96</v>
      </c>
      <c r="D118" t="s">
        <v>111</v>
      </c>
      <c r="E118" t="s">
        <v>117</v>
      </c>
      <c r="F118" t="s">
        <v>135</v>
      </c>
      <c r="H118" t="s">
        <v>99</v>
      </c>
      <c r="I118">
        <v>2</v>
      </c>
      <c r="J118" t="s">
        <v>105</v>
      </c>
      <c r="K118" s="19">
        <v>0.54166666666666663</v>
      </c>
      <c r="L118" s="19">
        <v>0.8125</v>
      </c>
      <c r="M118">
        <v>6.5</v>
      </c>
      <c r="N118">
        <v>174.3</v>
      </c>
      <c r="O118">
        <v>0</v>
      </c>
      <c r="P118">
        <v>0</v>
      </c>
      <c r="Q118" t="s">
        <v>99</v>
      </c>
      <c r="R118">
        <v>30</v>
      </c>
      <c r="S118" s="19">
        <v>0.72916666666666663</v>
      </c>
      <c r="T118">
        <v>0</v>
      </c>
      <c r="U118" s="19">
        <v>0.54166666666666663</v>
      </c>
      <c r="V118" t="s">
        <v>99</v>
      </c>
      <c r="W118">
        <v>6</v>
      </c>
      <c r="X118" t="s">
        <v>102</v>
      </c>
      <c r="Y118" t="b">
        <v>0</v>
      </c>
    </row>
    <row r="119" spans="1:25" x14ac:dyDescent="0.55000000000000004">
      <c r="A119" t="s">
        <v>94</v>
      </c>
      <c r="B119" t="s">
        <v>110</v>
      </c>
      <c r="C119" t="s">
        <v>96</v>
      </c>
      <c r="D119" t="s">
        <v>111</v>
      </c>
      <c r="E119" t="s">
        <v>117</v>
      </c>
      <c r="F119" t="s">
        <v>135</v>
      </c>
      <c r="G119">
        <v>22919</v>
      </c>
      <c r="H119" t="s">
        <v>130</v>
      </c>
      <c r="I119">
        <v>1</v>
      </c>
      <c r="J119" t="s">
        <v>101</v>
      </c>
      <c r="K119" s="19">
        <v>0.29166666666666669</v>
      </c>
      <c r="L119" s="19">
        <v>0.5625</v>
      </c>
      <c r="M119">
        <v>6.5</v>
      </c>
      <c r="N119">
        <v>176.34</v>
      </c>
      <c r="O119">
        <v>60</v>
      </c>
      <c r="P119">
        <v>76</v>
      </c>
      <c r="Q119" t="s">
        <v>99</v>
      </c>
      <c r="R119">
        <v>30</v>
      </c>
      <c r="S119" s="19">
        <v>0.5</v>
      </c>
      <c r="T119">
        <v>0</v>
      </c>
      <c r="U119" s="19">
        <v>0.54166666666666663</v>
      </c>
      <c r="V119" t="s">
        <v>99</v>
      </c>
      <c r="W119">
        <v>6</v>
      </c>
      <c r="X119" t="s">
        <v>102</v>
      </c>
      <c r="Y119" t="b">
        <v>0</v>
      </c>
    </row>
    <row r="120" spans="1:25" x14ac:dyDescent="0.55000000000000004">
      <c r="A120" t="s">
        <v>94</v>
      </c>
      <c r="B120" t="s">
        <v>110</v>
      </c>
      <c r="C120" t="s">
        <v>96</v>
      </c>
      <c r="D120" t="s">
        <v>111</v>
      </c>
      <c r="E120" t="s">
        <v>117</v>
      </c>
      <c r="F120" t="s">
        <v>135</v>
      </c>
      <c r="G120">
        <v>22919</v>
      </c>
      <c r="H120" t="s">
        <v>130</v>
      </c>
      <c r="I120">
        <v>1</v>
      </c>
      <c r="J120" t="s">
        <v>104</v>
      </c>
      <c r="K120" s="19">
        <v>0.29166666666666669</v>
      </c>
      <c r="L120" s="19">
        <v>0.5625</v>
      </c>
      <c r="M120">
        <v>6.5</v>
      </c>
      <c r="N120">
        <v>176.34</v>
      </c>
      <c r="O120">
        <v>60</v>
      </c>
      <c r="P120">
        <v>76</v>
      </c>
      <c r="Q120" t="s">
        <v>99</v>
      </c>
      <c r="R120">
        <v>30</v>
      </c>
      <c r="S120" s="19">
        <v>0.5</v>
      </c>
      <c r="T120">
        <v>0</v>
      </c>
      <c r="U120" s="19">
        <v>0.54166666666666663</v>
      </c>
      <c r="V120" t="s">
        <v>99</v>
      </c>
      <c r="W120">
        <v>6</v>
      </c>
      <c r="X120" t="s">
        <v>102</v>
      </c>
      <c r="Y120" t="b">
        <v>0</v>
      </c>
    </row>
    <row r="121" spans="1:25" x14ac:dyDescent="0.55000000000000004">
      <c r="A121" t="s">
        <v>94</v>
      </c>
      <c r="B121" t="s">
        <v>110</v>
      </c>
      <c r="C121" t="s">
        <v>96</v>
      </c>
      <c r="D121" t="s">
        <v>111</v>
      </c>
      <c r="E121" t="s">
        <v>117</v>
      </c>
      <c r="F121" t="s">
        <v>135</v>
      </c>
      <c r="G121">
        <v>22919</v>
      </c>
      <c r="H121" t="s">
        <v>130</v>
      </c>
      <c r="I121">
        <v>1</v>
      </c>
      <c r="J121" t="s">
        <v>105</v>
      </c>
      <c r="K121" s="19">
        <v>0.29166666666666669</v>
      </c>
      <c r="L121" s="19">
        <v>0.5625</v>
      </c>
      <c r="M121">
        <v>6.5</v>
      </c>
      <c r="N121">
        <v>176.34</v>
      </c>
      <c r="O121">
        <v>60</v>
      </c>
      <c r="P121">
        <v>76</v>
      </c>
      <c r="Q121" t="s">
        <v>99</v>
      </c>
      <c r="R121">
        <v>30</v>
      </c>
      <c r="S121" s="19">
        <v>0.5</v>
      </c>
      <c r="T121">
        <v>0</v>
      </c>
      <c r="U121" s="19">
        <v>0.54166666666666663</v>
      </c>
      <c r="V121" t="s">
        <v>99</v>
      </c>
      <c r="W121">
        <v>6</v>
      </c>
      <c r="X121" t="s">
        <v>102</v>
      </c>
      <c r="Y121" t="b">
        <v>0</v>
      </c>
    </row>
    <row r="122" spans="1:25" x14ac:dyDescent="0.55000000000000004">
      <c r="A122" t="s">
        <v>94</v>
      </c>
      <c r="B122" t="s">
        <v>110</v>
      </c>
      <c r="C122" t="s">
        <v>96</v>
      </c>
      <c r="D122" t="s">
        <v>111</v>
      </c>
      <c r="E122" t="s">
        <v>117</v>
      </c>
      <c r="F122" t="s">
        <v>135</v>
      </c>
      <c r="G122">
        <v>22919</v>
      </c>
      <c r="H122" t="s">
        <v>130</v>
      </c>
      <c r="I122">
        <v>2</v>
      </c>
      <c r="J122" t="s">
        <v>103</v>
      </c>
      <c r="K122" s="19">
        <v>0.29166666666666669</v>
      </c>
      <c r="L122" s="19">
        <v>0.5625</v>
      </c>
      <c r="M122">
        <v>6.5</v>
      </c>
      <c r="N122">
        <v>176.34</v>
      </c>
      <c r="O122">
        <v>60</v>
      </c>
      <c r="P122">
        <v>76</v>
      </c>
      <c r="Q122" t="s">
        <v>99</v>
      </c>
      <c r="R122">
        <v>30</v>
      </c>
      <c r="S122" s="19">
        <v>0.5</v>
      </c>
      <c r="T122">
        <v>0</v>
      </c>
      <c r="U122" s="19">
        <v>0.54166666666666663</v>
      </c>
      <c r="V122" t="s">
        <v>99</v>
      </c>
      <c r="W122">
        <v>6</v>
      </c>
      <c r="X122" t="s">
        <v>102</v>
      </c>
      <c r="Y122" t="b">
        <v>0</v>
      </c>
    </row>
    <row r="123" spans="1:25" x14ac:dyDescent="0.55000000000000004">
      <c r="A123" t="s">
        <v>94</v>
      </c>
      <c r="B123" t="s">
        <v>110</v>
      </c>
      <c r="C123" t="s">
        <v>96</v>
      </c>
      <c r="D123" t="s">
        <v>111</v>
      </c>
      <c r="E123" t="s">
        <v>117</v>
      </c>
      <c r="F123" t="s">
        <v>135</v>
      </c>
      <c r="G123">
        <v>22919</v>
      </c>
      <c r="H123" t="s">
        <v>130</v>
      </c>
      <c r="I123">
        <v>2</v>
      </c>
      <c r="J123" t="s">
        <v>105</v>
      </c>
      <c r="K123" s="19">
        <v>0.29166666666666669</v>
      </c>
      <c r="L123" s="19">
        <v>0.5625</v>
      </c>
      <c r="M123">
        <v>6.5</v>
      </c>
      <c r="N123">
        <v>176.34</v>
      </c>
      <c r="O123">
        <v>60</v>
      </c>
      <c r="P123">
        <v>76</v>
      </c>
      <c r="Q123" t="s">
        <v>99</v>
      </c>
      <c r="R123">
        <v>30</v>
      </c>
      <c r="S123" s="19">
        <v>0.5</v>
      </c>
      <c r="T123">
        <v>0</v>
      </c>
      <c r="U123" s="19">
        <v>0.54166666666666663</v>
      </c>
      <c r="V123" t="s">
        <v>99</v>
      </c>
      <c r="W123">
        <v>6</v>
      </c>
      <c r="X123" t="s">
        <v>102</v>
      </c>
      <c r="Y123" t="b">
        <v>0</v>
      </c>
    </row>
    <row r="124" spans="1:25" x14ac:dyDescent="0.55000000000000004">
      <c r="A124" t="s">
        <v>94</v>
      </c>
      <c r="B124" t="s">
        <v>110</v>
      </c>
      <c r="C124" t="s">
        <v>96</v>
      </c>
      <c r="D124" t="s">
        <v>111</v>
      </c>
      <c r="E124" t="s">
        <v>117</v>
      </c>
      <c r="F124" t="s">
        <v>135</v>
      </c>
      <c r="G124">
        <v>23264</v>
      </c>
      <c r="H124" t="s">
        <v>121</v>
      </c>
      <c r="I124">
        <v>2</v>
      </c>
      <c r="J124" t="s">
        <v>101</v>
      </c>
      <c r="K124" s="19">
        <v>0.54166666666666663</v>
      </c>
      <c r="L124" s="19">
        <v>0.8125</v>
      </c>
      <c r="M124">
        <v>6.5</v>
      </c>
      <c r="N124">
        <v>196.09</v>
      </c>
      <c r="O124">
        <v>64.5</v>
      </c>
      <c r="P124">
        <v>76</v>
      </c>
      <c r="Q124" t="s">
        <v>99</v>
      </c>
      <c r="R124">
        <v>30</v>
      </c>
      <c r="S124" s="19">
        <v>0.72916666666666663</v>
      </c>
      <c r="T124">
        <v>0</v>
      </c>
      <c r="U124" s="19">
        <v>0.54166666666666663</v>
      </c>
      <c r="V124" t="s">
        <v>99</v>
      </c>
      <c r="W124">
        <v>6</v>
      </c>
      <c r="X124" t="s">
        <v>102</v>
      </c>
      <c r="Y124" t="b">
        <v>0</v>
      </c>
    </row>
    <row r="125" spans="1:25" x14ac:dyDescent="0.55000000000000004">
      <c r="A125" t="s">
        <v>94</v>
      </c>
      <c r="B125" t="s">
        <v>110</v>
      </c>
      <c r="C125" t="s">
        <v>96</v>
      </c>
      <c r="D125" t="s">
        <v>111</v>
      </c>
      <c r="E125" t="s">
        <v>117</v>
      </c>
      <c r="F125" t="s">
        <v>135</v>
      </c>
      <c r="G125">
        <v>23453</v>
      </c>
      <c r="H125" t="s">
        <v>122</v>
      </c>
      <c r="I125">
        <v>1</v>
      </c>
      <c r="J125" t="s">
        <v>116</v>
      </c>
      <c r="K125" s="19">
        <v>0.29166666666666669</v>
      </c>
      <c r="L125" s="19">
        <v>0.5625</v>
      </c>
      <c r="M125">
        <v>6.5</v>
      </c>
      <c r="N125">
        <v>281.08999999999997</v>
      </c>
      <c r="O125">
        <v>18</v>
      </c>
      <c r="P125">
        <v>76</v>
      </c>
      <c r="Q125" t="s">
        <v>99</v>
      </c>
      <c r="R125">
        <v>30</v>
      </c>
      <c r="S125" s="19">
        <v>0.5</v>
      </c>
      <c r="T125">
        <v>0</v>
      </c>
      <c r="U125" s="19">
        <v>0.54166666666666663</v>
      </c>
      <c r="V125" t="s">
        <v>99</v>
      </c>
      <c r="W125">
        <v>6</v>
      </c>
      <c r="X125" t="s">
        <v>102</v>
      </c>
      <c r="Y125" t="b">
        <v>0</v>
      </c>
    </row>
    <row r="126" spans="1:25" x14ac:dyDescent="0.55000000000000004">
      <c r="A126" t="s">
        <v>94</v>
      </c>
      <c r="B126" t="s">
        <v>110</v>
      </c>
      <c r="C126" t="s">
        <v>96</v>
      </c>
      <c r="D126" t="s">
        <v>111</v>
      </c>
      <c r="E126" t="s">
        <v>117</v>
      </c>
      <c r="F126" t="s">
        <v>135</v>
      </c>
      <c r="G126">
        <v>23543</v>
      </c>
      <c r="H126" t="s">
        <v>131</v>
      </c>
      <c r="I126">
        <v>1</v>
      </c>
      <c r="J126" t="s">
        <v>115</v>
      </c>
      <c r="K126" s="19">
        <v>0.29166666666666669</v>
      </c>
      <c r="L126" s="19">
        <v>0.5625</v>
      </c>
      <c r="M126">
        <v>6.5</v>
      </c>
      <c r="N126">
        <v>0</v>
      </c>
      <c r="O126">
        <v>44</v>
      </c>
      <c r="P126">
        <v>76</v>
      </c>
      <c r="Q126" t="s">
        <v>99</v>
      </c>
      <c r="R126">
        <v>30</v>
      </c>
      <c r="S126" s="19">
        <v>0.5</v>
      </c>
      <c r="T126">
        <v>0</v>
      </c>
      <c r="U126" s="19">
        <v>0.54166666666666663</v>
      </c>
      <c r="V126" t="s">
        <v>99</v>
      </c>
      <c r="W126">
        <v>6</v>
      </c>
      <c r="X126" t="s">
        <v>102</v>
      </c>
      <c r="Y126" t="b">
        <v>0</v>
      </c>
    </row>
    <row r="127" spans="1:25" x14ac:dyDescent="0.55000000000000004">
      <c r="A127" t="s">
        <v>94</v>
      </c>
      <c r="B127" t="s">
        <v>110</v>
      </c>
      <c r="C127" t="s">
        <v>96</v>
      </c>
      <c r="D127" t="s">
        <v>111</v>
      </c>
      <c r="E127" t="s">
        <v>117</v>
      </c>
      <c r="F127" t="s">
        <v>135</v>
      </c>
      <c r="G127">
        <v>23543</v>
      </c>
      <c r="H127" t="s">
        <v>131</v>
      </c>
      <c r="I127">
        <v>1</v>
      </c>
      <c r="J127" t="s">
        <v>103</v>
      </c>
      <c r="K127" s="19">
        <v>0.29166666666666669</v>
      </c>
      <c r="L127" s="19">
        <v>0.5625</v>
      </c>
      <c r="M127">
        <v>6.5</v>
      </c>
      <c r="N127">
        <v>0</v>
      </c>
      <c r="O127">
        <v>44</v>
      </c>
      <c r="P127">
        <v>76</v>
      </c>
      <c r="Q127" t="s">
        <v>99</v>
      </c>
      <c r="R127">
        <v>30</v>
      </c>
      <c r="S127" s="19">
        <v>0.5</v>
      </c>
      <c r="T127">
        <v>0</v>
      </c>
      <c r="U127" s="19">
        <v>0.54166666666666663</v>
      </c>
      <c r="V127" t="s">
        <v>99</v>
      </c>
      <c r="W127">
        <v>6</v>
      </c>
      <c r="X127" t="s">
        <v>102</v>
      </c>
      <c r="Y127" t="b">
        <v>0</v>
      </c>
    </row>
    <row r="128" spans="1:25" x14ac:dyDescent="0.55000000000000004">
      <c r="A128" t="s">
        <v>94</v>
      </c>
      <c r="B128" t="s">
        <v>110</v>
      </c>
      <c r="C128" t="s">
        <v>96</v>
      </c>
      <c r="D128" t="s">
        <v>111</v>
      </c>
      <c r="E128" t="s">
        <v>117</v>
      </c>
      <c r="F128" t="s">
        <v>135</v>
      </c>
      <c r="G128">
        <v>25226</v>
      </c>
      <c r="H128" t="s">
        <v>132</v>
      </c>
      <c r="I128">
        <v>1</v>
      </c>
      <c r="J128" t="s">
        <v>107</v>
      </c>
      <c r="K128" s="19">
        <v>0.29166666666666669</v>
      </c>
      <c r="L128" s="19">
        <v>0.5625</v>
      </c>
      <c r="M128">
        <v>6.5</v>
      </c>
      <c r="N128">
        <v>174.3</v>
      </c>
      <c r="O128">
        <v>54</v>
      </c>
      <c r="P128">
        <v>76</v>
      </c>
      <c r="Q128" t="s">
        <v>99</v>
      </c>
      <c r="R128">
        <v>30</v>
      </c>
      <c r="S128" s="19">
        <v>0.5</v>
      </c>
      <c r="T128">
        <v>0</v>
      </c>
      <c r="U128" s="19">
        <v>0.54166666666666663</v>
      </c>
      <c r="V128" t="s">
        <v>99</v>
      </c>
      <c r="W128">
        <v>6</v>
      </c>
      <c r="X128" t="s">
        <v>102</v>
      </c>
      <c r="Y128" t="b">
        <v>0</v>
      </c>
    </row>
    <row r="129" spans="1:25" x14ac:dyDescent="0.55000000000000004">
      <c r="A129" t="s">
        <v>94</v>
      </c>
      <c r="B129" t="s">
        <v>110</v>
      </c>
      <c r="C129" t="s">
        <v>96</v>
      </c>
      <c r="D129" t="s">
        <v>111</v>
      </c>
      <c r="E129" t="s">
        <v>117</v>
      </c>
      <c r="F129" t="s">
        <v>135</v>
      </c>
      <c r="G129">
        <v>25316</v>
      </c>
      <c r="H129" t="s">
        <v>125</v>
      </c>
      <c r="I129">
        <v>1</v>
      </c>
      <c r="J129" t="s">
        <v>115</v>
      </c>
      <c r="K129" s="19">
        <v>0.54166666666666663</v>
      </c>
      <c r="L129" s="19">
        <v>0.8125</v>
      </c>
      <c r="M129">
        <v>6.5</v>
      </c>
      <c r="N129">
        <v>261.45</v>
      </c>
      <c r="O129">
        <v>36</v>
      </c>
      <c r="P129">
        <v>76</v>
      </c>
      <c r="Q129" t="s">
        <v>99</v>
      </c>
      <c r="R129">
        <v>30</v>
      </c>
      <c r="S129" s="19">
        <v>0.70833333333333337</v>
      </c>
      <c r="T129">
        <v>0</v>
      </c>
      <c r="U129" s="19">
        <v>0.54166666666666663</v>
      </c>
      <c r="V129" t="s">
        <v>99</v>
      </c>
      <c r="W129">
        <v>6</v>
      </c>
      <c r="X129" t="s">
        <v>102</v>
      </c>
      <c r="Y129" t="b">
        <v>0</v>
      </c>
    </row>
    <row r="130" spans="1:25" x14ac:dyDescent="0.55000000000000004">
      <c r="A130" t="s">
        <v>94</v>
      </c>
      <c r="B130" t="s">
        <v>110</v>
      </c>
      <c r="C130" t="s">
        <v>96</v>
      </c>
      <c r="D130" t="s">
        <v>111</v>
      </c>
      <c r="E130" t="s">
        <v>117</v>
      </c>
      <c r="F130" t="s">
        <v>135</v>
      </c>
      <c r="G130">
        <v>25316</v>
      </c>
      <c r="H130" t="s">
        <v>125</v>
      </c>
      <c r="I130">
        <v>2</v>
      </c>
      <c r="J130" t="s">
        <v>115</v>
      </c>
      <c r="K130" s="19">
        <v>0.54166666666666663</v>
      </c>
      <c r="L130" s="19">
        <v>0.8125</v>
      </c>
      <c r="M130">
        <v>6.5</v>
      </c>
      <c r="N130">
        <v>261.45</v>
      </c>
      <c r="O130">
        <v>36</v>
      </c>
      <c r="P130">
        <v>76</v>
      </c>
      <c r="Q130" t="s">
        <v>99</v>
      </c>
      <c r="R130">
        <v>30</v>
      </c>
      <c r="S130" s="19">
        <v>0.72916666666666663</v>
      </c>
      <c r="T130">
        <v>0</v>
      </c>
      <c r="U130" s="19">
        <v>0.54166666666666663</v>
      </c>
      <c r="V130" t="s">
        <v>99</v>
      </c>
      <c r="W130">
        <v>6</v>
      </c>
      <c r="X130" t="s">
        <v>102</v>
      </c>
      <c r="Y130" t="b">
        <v>0</v>
      </c>
    </row>
    <row r="131" spans="1:25" x14ac:dyDescent="0.55000000000000004">
      <c r="A131" t="s">
        <v>94</v>
      </c>
      <c r="B131" t="s">
        <v>110</v>
      </c>
      <c r="C131" t="s">
        <v>96</v>
      </c>
      <c r="D131" t="s">
        <v>111</v>
      </c>
      <c r="E131" t="s">
        <v>117</v>
      </c>
      <c r="F131" t="s">
        <v>135</v>
      </c>
      <c r="G131">
        <v>25858</v>
      </c>
      <c r="H131" t="s">
        <v>133</v>
      </c>
      <c r="I131">
        <v>2</v>
      </c>
      <c r="J131" t="s">
        <v>115</v>
      </c>
      <c r="K131" s="19">
        <v>0.29166666666666669</v>
      </c>
      <c r="L131" s="19">
        <v>0.5625</v>
      </c>
      <c r="M131">
        <v>6.5</v>
      </c>
      <c r="N131">
        <v>264.51</v>
      </c>
      <c r="O131">
        <v>54</v>
      </c>
      <c r="P131">
        <v>76</v>
      </c>
      <c r="Q131" t="s">
        <v>99</v>
      </c>
      <c r="R131">
        <v>30</v>
      </c>
      <c r="S131" s="19">
        <v>0.5</v>
      </c>
      <c r="T131">
        <v>0</v>
      </c>
      <c r="U131" s="19">
        <v>0.54166666666666663</v>
      </c>
      <c r="V131" t="s">
        <v>99</v>
      </c>
      <c r="W131">
        <v>6</v>
      </c>
      <c r="X131" t="s">
        <v>102</v>
      </c>
      <c r="Y131" t="b">
        <v>0</v>
      </c>
    </row>
    <row r="132" spans="1:25" x14ac:dyDescent="0.55000000000000004">
      <c r="A132" t="s">
        <v>94</v>
      </c>
      <c r="B132" t="s">
        <v>110</v>
      </c>
      <c r="C132" t="s">
        <v>96</v>
      </c>
      <c r="D132" t="s">
        <v>111</v>
      </c>
      <c r="E132" t="s">
        <v>117</v>
      </c>
      <c r="F132" t="s">
        <v>135</v>
      </c>
      <c r="G132">
        <v>25858</v>
      </c>
      <c r="H132" t="s">
        <v>133</v>
      </c>
      <c r="I132">
        <v>2</v>
      </c>
      <c r="J132" t="s">
        <v>116</v>
      </c>
      <c r="K132" s="19">
        <v>0.29166666666666669</v>
      </c>
      <c r="L132" s="19">
        <v>0.5625</v>
      </c>
      <c r="M132">
        <v>6.5</v>
      </c>
      <c r="N132">
        <v>308.60000000000002</v>
      </c>
      <c r="O132">
        <v>54</v>
      </c>
      <c r="P132">
        <v>76</v>
      </c>
      <c r="Q132" t="s">
        <v>99</v>
      </c>
      <c r="R132">
        <v>30</v>
      </c>
      <c r="S132" s="19">
        <v>0.5</v>
      </c>
      <c r="T132">
        <v>0</v>
      </c>
      <c r="U132" s="19">
        <v>0.54166666666666663</v>
      </c>
      <c r="V132" t="s">
        <v>99</v>
      </c>
      <c r="W132">
        <v>6</v>
      </c>
      <c r="X132" t="s">
        <v>102</v>
      </c>
      <c r="Y132" t="b">
        <v>0</v>
      </c>
    </row>
    <row r="133" spans="1:25" x14ac:dyDescent="0.55000000000000004">
      <c r="A133" t="s">
        <v>94</v>
      </c>
      <c r="B133" t="s">
        <v>110</v>
      </c>
      <c r="C133" t="s">
        <v>96</v>
      </c>
      <c r="D133" t="s">
        <v>111</v>
      </c>
      <c r="E133" t="s">
        <v>117</v>
      </c>
      <c r="F133" t="s">
        <v>135</v>
      </c>
      <c r="G133">
        <v>25858</v>
      </c>
      <c r="H133" t="s">
        <v>133</v>
      </c>
      <c r="I133">
        <v>2</v>
      </c>
      <c r="J133" t="s">
        <v>104</v>
      </c>
      <c r="K133" s="19">
        <v>0.29166666666666669</v>
      </c>
      <c r="L133" s="19">
        <v>0.5625</v>
      </c>
      <c r="M133">
        <v>6.5</v>
      </c>
      <c r="N133">
        <v>176.34</v>
      </c>
      <c r="O133">
        <v>54</v>
      </c>
      <c r="P133">
        <v>76</v>
      </c>
      <c r="Q133" t="s">
        <v>99</v>
      </c>
      <c r="R133">
        <v>30</v>
      </c>
      <c r="S133" s="19">
        <v>0.5</v>
      </c>
      <c r="T133">
        <v>0</v>
      </c>
      <c r="U133" s="19">
        <v>0.54166666666666663</v>
      </c>
      <c r="V133" t="s">
        <v>99</v>
      </c>
      <c r="W133">
        <v>6</v>
      </c>
      <c r="X133" t="s">
        <v>102</v>
      </c>
      <c r="Y133" t="b">
        <v>0</v>
      </c>
    </row>
    <row r="134" spans="1:25" x14ac:dyDescent="0.55000000000000004">
      <c r="A134" t="s">
        <v>94</v>
      </c>
      <c r="B134" t="s">
        <v>110</v>
      </c>
      <c r="C134" t="s">
        <v>96</v>
      </c>
      <c r="D134" t="s">
        <v>111</v>
      </c>
      <c r="E134" t="s">
        <v>117</v>
      </c>
      <c r="F134" t="s">
        <v>135</v>
      </c>
      <c r="G134">
        <v>26044</v>
      </c>
      <c r="H134" t="s">
        <v>136</v>
      </c>
      <c r="I134">
        <v>1</v>
      </c>
      <c r="J134" t="s">
        <v>101</v>
      </c>
      <c r="K134" s="19">
        <v>0.54166666666666663</v>
      </c>
      <c r="L134" s="19">
        <v>0.8125</v>
      </c>
      <c r="M134">
        <v>6.5</v>
      </c>
      <c r="N134">
        <v>239.66</v>
      </c>
      <c r="O134">
        <v>24</v>
      </c>
      <c r="P134">
        <v>76</v>
      </c>
      <c r="Q134" t="s">
        <v>99</v>
      </c>
      <c r="R134">
        <v>30</v>
      </c>
      <c r="S134" s="19">
        <v>0.70833333333333337</v>
      </c>
      <c r="T134">
        <v>0</v>
      </c>
      <c r="U134" s="19">
        <v>0.54166666666666663</v>
      </c>
      <c r="V134" t="s">
        <v>99</v>
      </c>
      <c r="W134">
        <v>6</v>
      </c>
      <c r="X134" t="s">
        <v>102</v>
      </c>
      <c r="Y134" t="b">
        <v>0</v>
      </c>
    </row>
    <row r="135" spans="1:25" x14ac:dyDescent="0.55000000000000004">
      <c r="A135" t="s">
        <v>94</v>
      </c>
      <c r="B135" t="s">
        <v>110</v>
      </c>
      <c r="C135" t="s">
        <v>96</v>
      </c>
      <c r="D135" t="s">
        <v>111</v>
      </c>
      <c r="E135" t="s">
        <v>117</v>
      </c>
      <c r="F135" t="s">
        <v>135</v>
      </c>
      <c r="G135">
        <v>26044</v>
      </c>
      <c r="H135" t="s">
        <v>136</v>
      </c>
      <c r="I135">
        <v>1</v>
      </c>
      <c r="J135" t="s">
        <v>116</v>
      </c>
      <c r="K135" s="19">
        <v>0.54166666666666663</v>
      </c>
      <c r="L135" s="19">
        <v>0.8125</v>
      </c>
      <c r="M135">
        <v>6.5</v>
      </c>
      <c r="N135">
        <v>305.02</v>
      </c>
      <c r="O135">
        <v>24</v>
      </c>
      <c r="P135">
        <v>76</v>
      </c>
      <c r="Q135" t="s">
        <v>99</v>
      </c>
      <c r="R135">
        <v>30</v>
      </c>
      <c r="S135" s="19">
        <v>0.70833333333333337</v>
      </c>
      <c r="T135">
        <v>0</v>
      </c>
      <c r="U135" s="19">
        <v>0.54166666666666663</v>
      </c>
      <c r="V135" t="s">
        <v>99</v>
      </c>
      <c r="W135">
        <v>6</v>
      </c>
      <c r="X135" t="s">
        <v>102</v>
      </c>
      <c r="Y135" t="b">
        <v>0</v>
      </c>
    </row>
    <row r="136" spans="1:25" x14ac:dyDescent="0.55000000000000004">
      <c r="A136" t="s">
        <v>94</v>
      </c>
      <c r="B136" t="s">
        <v>110</v>
      </c>
      <c r="C136" t="s">
        <v>96</v>
      </c>
      <c r="D136" t="s">
        <v>111</v>
      </c>
      <c r="E136" t="s">
        <v>117</v>
      </c>
      <c r="F136" t="s">
        <v>135</v>
      </c>
      <c r="G136">
        <v>26102</v>
      </c>
      <c r="H136" t="s">
        <v>127</v>
      </c>
      <c r="I136">
        <v>1</v>
      </c>
      <c r="J136" t="s">
        <v>103</v>
      </c>
      <c r="K136" s="19">
        <v>0.54166666666666663</v>
      </c>
      <c r="L136" s="19">
        <v>0.8125</v>
      </c>
      <c r="M136">
        <v>6.5</v>
      </c>
      <c r="N136">
        <v>0</v>
      </c>
      <c r="O136">
        <v>24</v>
      </c>
      <c r="P136">
        <v>76</v>
      </c>
      <c r="Q136" t="s">
        <v>99</v>
      </c>
      <c r="R136">
        <v>30</v>
      </c>
      <c r="S136" s="19">
        <v>0.72916666666666663</v>
      </c>
      <c r="T136">
        <v>0</v>
      </c>
      <c r="U136" s="19">
        <v>0.54166666666666663</v>
      </c>
      <c r="V136" t="s">
        <v>99</v>
      </c>
      <c r="W136">
        <v>6</v>
      </c>
      <c r="X136" t="s">
        <v>102</v>
      </c>
      <c r="Y136" t="b">
        <v>0</v>
      </c>
    </row>
    <row r="137" spans="1:25" x14ac:dyDescent="0.55000000000000004">
      <c r="A137" t="s">
        <v>94</v>
      </c>
      <c r="B137" t="s">
        <v>110</v>
      </c>
      <c r="C137" t="s">
        <v>96</v>
      </c>
      <c r="D137" t="s">
        <v>111</v>
      </c>
      <c r="E137" t="s">
        <v>117</v>
      </c>
      <c r="F137" t="s">
        <v>135</v>
      </c>
      <c r="G137">
        <v>26106</v>
      </c>
      <c r="H137" t="s">
        <v>137</v>
      </c>
      <c r="I137">
        <v>2</v>
      </c>
      <c r="J137" t="s">
        <v>107</v>
      </c>
      <c r="K137" s="19">
        <v>0.54166666666666663</v>
      </c>
      <c r="L137" s="19">
        <v>0.8125</v>
      </c>
      <c r="M137">
        <v>6.5</v>
      </c>
      <c r="N137">
        <v>196.09</v>
      </c>
      <c r="O137">
        <v>48</v>
      </c>
      <c r="P137">
        <v>76</v>
      </c>
      <c r="Q137" t="s">
        <v>99</v>
      </c>
      <c r="R137">
        <v>30</v>
      </c>
      <c r="S137" s="19">
        <v>0.75</v>
      </c>
      <c r="T137">
        <v>0</v>
      </c>
      <c r="U137" s="19">
        <v>0.54166666666666663</v>
      </c>
      <c r="V137" t="s">
        <v>99</v>
      </c>
      <c r="W137">
        <v>6</v>
      </c>
      <c r="X137" t="s">
        <v>102</v>
      </c>
      <c r="Y137" t="b">
        <v>0</v>
      </c>
    </row>
    <row r="138" spans="1:25" x14ac:dyDescent="0.55000000000000004">
      <c r="A138" t="s">
        <v>94</v>
      </c>
      <c r="B138" t="s">
        <v>110</v>
      </c>
      <c r="C138" t="s">
        <v>96</v>
      </c>
      <c r="D138" t="s">
        <v>111</v>
      </c>
      <c r="E138" t="s">
        <v>117</v>
      </c>
      <c r="F138" t="s">
        <v>135</v>
      </c>
      <c r="G138">
        <v>26106</v>
      </c>
      <c r="H138" t="s">
        <v>137</v>
      </c>
      <c r="I138">
        <v>2</v>
      </c>
      <c r="J138" t="s">
        <v>116</v>
      </c>
      <c r="K138" s="19">
        <v>0.54166666666666663</v>
      </c>
      <c r="L138" s="19">
        <v>0.8125</v>
      </c>
      <c r="M138">
        <v>6.5</v>
      </c>
      <c r="N138">
        <v>305.02</v>
      </c>
      <c r="O138">
        <v>48</v>
      </c>
      <c r="P138">
        <v>76</v>
      </c>
      <c r="Q138" t="s">
        <v>99</v>
      </c>
      <c r="R138">
        <v>30</v>
      </c>
      <c r="S138" s="19">
        <v>0.72916666666666663</v>
      </c>
      <c r="T138">
        <v>0</v>
      </c>
      <c r="U138" s="19">
        <v>0.54166666666666663</v>
      </c>
      <c r="V138" t="s">
        <v>99</v>
      </c>
      <c r="W138">
        <v>6</v>
      </c>
      <c r="X138" t="s">
        <v>102</v>
      </c>
      <c r="Y138" t="b">
        <v>0</v>
      </c>
    </row>
    <row r="139" spans="1:25" x14ac:dyDescent="0.55000000000000004">
      <c r="A139" t="s">
        <v>94</v>
      </c>
      <c r="B139" t="s">
        <v>110</v>
      </c>
      <c r="C139" t="s">
        <v>96</v>
      </c>
      <c r="D139" t="s">
        <v>111</v>
      </c>
      <c r="E139" t="s">
        <v>117</v>
      </c>
      <c r="F139" t="s">
        <v>135</v>
      </c>
      <c r="G139">
        <v>26106</v>
      </c>
      <c r="H139" t="s">
        <v>137</v>
      </c>
      <c r="I139">
        <v>2</v>
      </c>
      <c r="J139" t="s">
        <v>103</v>
      </c>
      <c r="K139" s="19">
        <v>0.54166666666666663</v>
      </c>
      <c r="L139" s="19">
        <v>0.8125</v>
      </c>
      <c r="M139">
        <v>6.5</v>
      </c>
      <c r="N139">
        <v>196.09</v>
      </c>
      <c r="O139">
        <v>48</v>
      </c>
      <c r="P139">
        <v>76</v>
      </c>
      <c r="Q139" t="s">
        <v>99</v>
      </c>
      <c r="R139">
        <v>30</v>
      </c>
      <c r="S139" s="19">
        <v>0.70833333333333337</v>
      </c>
      <c r="T139">
        <v>0</v>
      </c>
      <c r="U139" s="19">
        <v>0.54166666666666663</v>
      </c>
      <c r="V139" t="s">
        <v>99</v>
      </c>
      <c r="W139">
        <v>6</v>
      </c>
      <c r="X139" t="s">
        <v>102</v>
      </c>
      <c r="Y139" t="b">
        <v>0</v>
      </c>
    </row>
    <row r="140" spans="1:25" x14ac:dyDescent="0.55000000000000004">
      <c r="A140" t="s">
        <v>94</v>
      </c>
      <c r="B140" t="s">
        <v>110</v>
      </c>
      <c r="C140" t="s">
        <v>96</v>
      </c>
      <c r="D140" t="s">
        <v>111</v>
      </c>
      <c r="E140" t="s">
        <v>117</v>
      </c>
      <c r="F140" t="s">
        <v>135</v>
      </c>
      <c r="G140">
        <v>26127</v>
      </c>
      <c r="H140" t="s">
        <v>138</v>
      </c>
      <c r="I140">
        <v>2</v>
      </c>
      <c r="J140" t="s">
        <v>101</v>
      </c>
      <c r="K140" s="19">
        <v>0.29166666666666669</v>
      </c>
      <c r="L140" s="19">
        <v>0.5625</v>
      </c>
      <c r="M140">
        <v>6.5</v>
      </c>
      <c r="N140">
        <v>179.88</v>
      </c>
      <c r="O140">
        <v>42</v>
      </c>
      <c r="P140">
        <v>76</v>
      </c>
      <c r="Q140" t="s">
        <v>99</v>
      </c>
      <c r="R140">
        <v>30</v>
      </c>
      <c r="S140" s="19">
        <v>0.5</v>
      </c>
      <c r="T140">
        <v>0</v>
      </c>
      <c r="U140" s="19">
        <v>0.54166666666666663</v>
      </c>
      <c r="V140" t="s">
        <v>99</v>
      </c>
      <c r="W140">
        <v>6</v>
      </c>
      <c r="X140" t="s">
        <v>102</v>
      </c>
      <c r="Y140" t="b">
        <v>0</v>
      </c>
    </row>
    <row r="141" spans="1:25" x14ac:dyDescent="0.55000000000000004">
      <c r="A141" t="s">
        <v>94</v>
      </c>
      <c r="B141" t="s">
        <v>110</v>
      </c>
      <c r="C141" t="s">
        <v>96</v>
      </c>
      <c r="D141" t="s">
        <v>111</v>
      </c>
      <c r="E141" t="s">
        <v>117</v>
      </c>
      <c r="F141" t="s">
        <v>139</v>
      </c>
      <c r="H141" t="s">
        <v>99</v>
      </c>
      <c r="I141">
        <v>1</v>
      </c>
      <c r="J141" t="s">
        <v>107</v>
      </c>
      <c r="K141" s="19">
        <v>0.29166666666666669</v>
      </c>
      <c r="L141" s="19">
        <v>0.5625</v>
      </c>
      <c r="M141">
        <v>6.5</v>
      </c>
      <c r="N141">
        <v>174.3</v>
      </c>
      <c r="O141">
        <v>0</v>
      </c>
      <c r="P141">
        <v>0</v>
      </c>
      <c r="Q141" t="s">
        <v>99</v>
      </c>
      <c r="R141">
        <v>30</v>
      </c>
      <c r="S141" s="19">
        <v>0.5</v>
      </c>
      <c r="T141">
        <v>0</v>
      </c>
      <c r="U141" s="19">
        <v>0.54166666666666663</v>
      </c>
      <c r="V141" t="s">
        <v>99</v>
      </c>
      <c r="W141">
        <v>6</v>
      </c>
      <c r="X141" t="s">
        <v>102</v>
      </c>
      <c r="Y141" t="b">
        <v>0</v>
      </c>
    </row>
    <row r="142" spans="1:25" x14ac:dyDescent="0.55000000000000004">
      <c r="A142" t="s">
        <v>94</v>
      </c>
      <c r="B142" t="s">
        <v>110</v>
      </c>
      <c r="C142" t="s">
        <v>96</v>
      </c>
      <c r="D142" t="s">
        <v>111</v>
      </c>
      <c r="E142" t="s">
        <v>117</v>
      </c>
      <c r="F142" t="s">
        <v>139</v>
      </c>
      <c r="H142" t="s">
        <v>99</v>
      </c>
      <c r="I142">
        <v>2</v>
      </c>
      <c r="J142" t="s">
        <v>107</v>
      </c>
      <c r="K142" s="19">
        <v>0.29166666666666669</v>
      </c>
      <c r="L142" s="19">
        <v>0.5625</v>
      </c>
      <c r="M142">
        <v>6.5</v>
      </c>
      <c r="N142">
        <v>174.3</v>
      </c>
      <c r="O142">
        <v>0</v>
      </c>
      <c r="P142">
        <v>0</v>
      </c>
      <c r="Q142" t="s">
        <v>99</v>
      </c>
      <c r="R142">
        <v>30</v>
      </c>
      <c r="S142" s="19">
        <v>0.5</v>
      </c>
      <c r="T142">
        <v>0</v>
      </c>
      <c r="U142" s="19">
        <v>0.54166666666666663</v>
      </c>
      <c r="V142" t="s">
        <v>99</v>
      </c>
      <c r="W142">
        <v>6</v>
      </c>
      <c r="X142" t="s">
        <v>102</v>
      </c>
      <c r="Y142" t="b">
        <v>0</v>
      </c>
    </row>
    <row r="143" spans="1:25" x14ac:dyDescent="0.55000000000000004">
      <c r="A143" t="s">
        <v>94</v>
      </c>
      <c r="B143" t="s">
        <v>110</v>
      </c>
      <c r="C143" t="s">
        <v>96</v>
      </c>
      <c r="D143" t="s">
        <v>111</v>
      </c>
      <c r="E143" t="s">
        <v>117</v>
      </c>
      <c r="F143" t="s">
        <v>139</v>
      </c>
      <c r="H143" t="s">
        <v>99</v>
      </c>
      <c r="I143">
        <v>2</v>
      </c>
      <c r="J143" t="s">
        <v>107</v>
      </c>
      <c r="K143" s="19">
        <v>0.54166666666666663</v>
      </c>
      <c r="L143" s="19">
        <v>0.8125</v>
      </c>
      <c r="M143">
        <v>6.5</v>
      </c>
      <c r="N143">
        <v>174.3</v>
      </c>
      <c r="O143">
        <v>0</v>
      </c>
      <c r="P143">
        <v>0</v>
      </c>
      <c r="Q143" t="s">
        <v>99</v>
      </c>
      <c r="R143">
        <v>30</v>
      </c>
      <c r="S143" s="19">
        <v>0.72916666666666663</v>
      </c>
      <c r="T143">
        <v>0</v>
      </c>
      <c r="U143" s="19">
        <v>0.54166666666666663</v>
      </c>
      <c r="V143" t="s">
        <v>99</v>
      </c>
      <c r="W143">
        <v>6</v>
      </c>
      <c r="X143" t="s">
        <v>102</v>
      </c>
      <c r="Y143" t="b">
        <v>0</v>
      </c>
    </row>
    <row r="144" spans="1:25" x14ac:dyDescent="0.55000000000000004">
      <c r="A144" t="s">
        <v>94</v>
      </c>
      <c r="B144" t="s">
        <v>110</v>
      </c>
      <c r="C144" t="s">
        <v>96</v>
      </c>
      <c r="D144" t="s">
        <v>111</v>
      </c>
      <c r="E144" t="s">
        <v>117</v>
      </c>
      <c r="F144" t="s">
        <v>139</v>
      </c>
      <c r="H144" t="s">
        <v>99</v>
      </c>
      <c r="I144">
        <v>2</v>
      </c>
      <c r="J144" t="s">
        <v>115</v>
      </c>
      <c r="K144" s="19">
        <v>0.54166666666666663</v>
      </c>
      <c r="L144" s="19">
        <v>0.8125</v>
      </c>
      <c r="M144">
        <v>6.5</v>
      </c>
      <c r="N144">
        <v>261.45</v>
      </c>
      <c r="O144">
        <v>0</v>
      </c>
      <c r="P144">
        <v>0</v>
      </c>
      <c r="Q144" t="s">
        <v>99</v>
      </c>
      <c r="R144">
        <v>30</v>
      </c>
      <c r="S144" s="19">
        <v>0.72916666666666663</v>
      </c>
      <c r="T144">
        <v>0</v>
      </c>
      <c r="U144" s="19">
        <v>0.54166666666666663</v>
      </c>
      <c r="V144" t="s">
        <v>99</v>
      </c>
      <c r="W144">
        <v>6</v>
      </c>
      <c r="X144" t="s">
        <v>102</v>
      </c>
      <c r="Y144" t="b">
        <v>0</v>
      </c>
    </row>
    <row r="145" spans="1:25" x14ac:dyDescent="0.55000000000000004">
      <c r="A145" t="s">
        <v>94</v>
      </c>
      <c r="B145" t="s">
        <v>110</v>
      </c>
      <c r="C145" t="s">
        <v>96</v>
      </c>
      <c r="D145" t="s">
        <v>111</v>
      </c>
      <c r="E145" t="s">
        <v>117</v>
      </c>
      <c r="F145" t="s">
        <v>139</v>
      </c>
      <c r="G145">
        <v>21587</v>
      </c>
      <c r="H145" t="s">
        <v>120</v>
      </c>
      <c r="I145">
        <v>1</v>
      </c>
      <c r="J145" t="s">
        <v>101</v>
      </c>
      <c r="K145" s="19">
        <v>0.29166666666666669</v>
      </c>
      <c r="L145" s="19">
        <v>0.5625</v>
      </c>
      <c r="M145">
        <v>6.5</v>
      </c>
      <c r="N145">
        <v>174.3</v>
      </c>
      <c r="O145">
        <v>48</v>
      </c>
      <c r="P145">
        <v>76</v>
      </c>
      <c r="Q145" t="s">
        <v>99</v>
      </c>
      <c r="R145">
        <v>30</v>
      </c>
      <c r="S145" s="19">
        <v>0.5</v>
      </c>
      <c r="T145">
        <v>0</v>
      </c>
      <c r="U145" s="19">
        <v>0</v>
      </c>
      <c r="V145" t="s">
        <v>99</v>
      </c>
      <c r="W145">
        <v>6</v>
      </c>
      <c r="X145" t="s">
        <v>102</v>
      </c>
      <c r="Y145" t="b">
        <v>0</v>
      </c>
    </row>
    <row r="146" spans="1:25" x14ac:dyDescent="0.55000000000000004">
      <c r="A146" t="s">
        <v>94</v>
      </c>
      <c r="B146" t="s">
        <v>110</v>
      </c>
      <c r="C146" t="s">
        <v>96</v>
      </c>
      <c r="D146" t="s">
        <v>111</v>
      </c>
      <c r="E146" t="s">
        <v>117</v>
      </c>
      <c r="F146" t="s">
        <v>139</v>
      </c>
      <c r="G146">
        <v>21587</v>
      </c>
      <c r="H146" t="s">
        <v>120</v>
      </c>
      <c r="I146">
        <v>1</v>
      </c>
      <c r="J146" t="s">
        <v>104</v>
      </c>
      <c r="K146" s="19">
        <v>0.29166666666666669</v>
      </c>
      <c r="L146" s="19">
        <v>0.5625</v>
      </c>
      <c r="M146">
        <v>6.5</v>
      </c>
      <c r="N146">
        <v>174.3</v>
      </c>
      <c r="O146">
        <v>48</v>
      </c>
      <c r="P146">
        <v>76</v>
      </c>
      <c r="Q146" t="s">
        <v>99</v>
      </c>
      <c r="R146">
        <v>30</v>
      </c>
      <c r="S146" s="19">
        <v>0.5</v>
      </c>
      <c r="T146">
        <v>0</v>
      </c>
      <c r="U146" s="19">
        <v>0</v>
      </c>
      <c r="V146" t="s">
        <v>99</v>
      </c>
      <c r="W146">
        <v>6</v>
      </c>
      <c r="X146" t="s">
        <v>102</v>
      </c>
      <c r="Y146" t="b">
        <v>0</v>
      </c>
    </row>
    <row r="147" spans="1:25" x14ac:dyDescent="0.55000000000000004">
      <c r="A147" t="s">
        <v>94</v>
      </c>
      <c r="B147" t="s">
        <v>110</v>
      </c>
      <c r="C147" t="s">
        <v>96</v>
      </c>
      <c r="D147" t="s">
        <v>111</v>
      </c>
      <c r="E147" t="s">
        <v>117</v>
      </c>
      <c r="F147" t="s">
        <v>139</v>
      </c>
      <c r="G147">
        <v>23981</v>
      </c>
      <c r="H147" t="s">
        <v>134</v>
      </c>
      <c r="I147">
        <v>1</v>
      </c>
      <c r="J147" t="s">
        <v>115</v>
      </c>
      <c r="K147" s="19">
        <v>0.29166666666666669</v>
      </c>
      <c r="L147" s="19">
        <v>0.5625</v>
      </c>
      <c r="M147">
        <v>6.5</v>
      </c>
      <c r="N147">
        <v>261.45</v>
      </c>
      <c r="O147">
        <v>54</v>
      </c>
      <c r="P147">
        <v>76</v>
      </c>
      <c r="Q147" t="s">
        <v>99</v>
      </c>
      <c r="R147">
        <v>30</v>
      </c>
      <c r="S147" s="19">
        <v>0.5</v>
      </c>
      <c r="T147">
        <v>0</v>
      </c>
      <c r="U147" s="19">
        <v>0.54166666666666663</v>
      </c>
      <c r="V147" t="s">
        <v>99</v>
      </c>
      <c r="W147">
        <v>6</v>
      </c>
      <c r="X147" t="s">
        <v>102</v>
      </c>
      <c r="Y147" t="b">
        <v>0</v>
      </c>
    </row>
    <row r="148" spans="1:25" x14ac:dyDescent="0.55000000000000004">
      <c r="A148" t="s">
        <v>94</v>
      </c>
      <c r="B148" t="s">
        <v>110</v>
      </c>
      <c r="C148" t="s">
        <v>96</v>
      </c>
      <c r="D148" t="s">
        <v>111</v>
      </c>
      <c r="E148" t="s">
        <v>117</v>
      </c>
      <c r="F148" t="s">
        <v>139</v>
      </c>
      <c r="G148">
        <v>23981</v>
      </c>
      <c r="H148" t="s">
        <v>134</v>
      </c>
      <c r="I148">
        <v>1</v>
      </c>
      <c r="J148" t="s">
        <v>116</v>
      </c>
      <c r="K148" s="19">
        <v>0.29166666666666669</v>
      </c>
      <c r="L148" s="19">
        <v>0.5625</v>
      </c>
      <c r="M148">
        <v>6.5</v>
      </c>
      <c r="N148">
        <v>305.02</v>
      </c>
      <c r="O148">
        <v>54</v>
      </c>
      <c r="P148">
        <v>76</v>
      </c>
      <c r="Q148" t="s">
        <v>99</v>
      </c>
      <c r="R148">
        <v>30</v>
      </c>
      <c r="S148" s="19">
        <v>0.5</v>
      </c>
      <c r="T148">
        <v>0</v>
      </c>
      <c r="U148" s="19">
        <v>0.54166666666666663</v>
      </c>
      <c r="V148" t="s">
        <v>99</v>
      </c>
      <c r="W148">
        <v>6</v>
      </c>
      <c r="X148" t="s">
        <v>102</v>
      </c>
      <c r="Y148" t="b">
        <v>0</v>
      </c>
    </row>
    <row r="149" spans="1:25" x14ac:dyDescent="0.55000000000000004">
      <c r="A149" t="s">
        <v>94</v>
      </c>
      <c r="B149" t="s">
        <v>110</v>
      </c>
      <c r="C149" t="s">
        <v>96</v>
      </c>
      <c r="D149" t="s">
        <v>111</v>
      </c>
      <c r="E149" t="s">
        <v>117</v>
      </c>
      <c r="F149" t="s">
        <v>139</v>
      </c>
      <c r="G149">
        <v>23981</v>
      </c>
      <c r="H149" t="s">
        <v>134</v>
      </c>
      <c r="I149">
        <v>2</v>
      </c>
      <c r="J149" t="s">
        <v>103</v>
      </c>
      <c r="K149" s="19">
        <v>0.54166666666666663</v>
      </c>
      <c r="L149" s="19">
        <v>0.8125</v>
      </c>
      <c r="M149">
        <v>6.5</v>
      </c>
      <c r="N149">
        <v>196.09</v>
      </c>
      <c r="O149">
        <v>54</v>
      </c>
      <c r="P149">
        <v>76</v>
      </c>
      <c r="Q149" t="s">
        <v>99</v>
      </c>
      <c r="R149">
        <v>30</v>
      </c>
      <c r="S149" s="19">
        <v>0.72916666666666663</v>
      </c>
      <c r="T149">
        <v>0</v>
      </c>
      <c r="U149" s="19">
        <v>0.54166666666666663</v>
      </c>
      <c r="V149" t="s">
        <v>99</v>
      </c>
      <c r="W149">
        <v>6</v>
      </c>
      <c r="X149" t="s">
        <v>102</v>
      </c>
      <c r="Y149" t="b">
        <v>0</v>
      </c>
    </row>
    <row r="150" spans="1:25" x14ac:dyDescent="0.55000000000000004">
      <c r="A150" t="s">
        <v>94</v>
      </c>
      <c r="B150" t="s">
        <v>110</v>
      </c>
      <c r="C150" t="s">
        <v>96</v>
      </c>
      <c r="D150" t="s">
        <v>111</v>
      </c>
      <c r="E150" t="s">
        <v>117</v>
      </c>
      <c r="F150" t="s">
        <v>139</v>
      </c>
      <c r="G150">
        <v>23981</v>
      </c>
      <c r="H150" t="s">
        <v>134</v>
      </c>
      <c r="I150">
        <v>2</v>
      </c>
      <c r="J150" t="s">
        <v>105</v>
      </c>
      <c r="K150" s="19">
        <v>0.54166666666666663</v>
      </c>
      <c r="L150" s="19">
        <v>0.8125</v>
      </c>
      <c r="M150">
        <v>6.5</v>
      </c>
      <c r="N150">
        <v>196.09</v>
      </c>
      <c r="O150">
        <v>54</v>
      </c>
      <c r="P150">
        <v>76</v>
      </c>
      <c r="Q150" t="s">
        <v>99</v>
      </c>
      <c r="R150">
        <v>30</v>
      </c>
      <c r="S150" s="19">
        <v>0.72916666666666663</v>
      </c>
      <c r="T150">
        <v>0</v>
      </c>
      <c r="U150" s="19">
        <v>0.54166666666666663</v>
      </c>
      <c r="V150" t="s">
        <v>99</v>
      </c>
      <c r="W150">
        <v>6</v>
      </c>
      <c r="X150" t="s">
        <v>102</v>
      </c>
      <c r="Y150" t="b">
        <v>0</v>
      </c>
    </row>
    <row r="151" spans="1:25" x14ac:dyDescent="0.55000000000000004">
      <c r="A151" t="s">
        <v>94</v>
      </c>
      <c r="B151" t="s">
        <v>110</v>
      </c>
      <c r="C151" t="s">
        <v>96</v>
      </c>
      <c r="D151" t="s">
        <v>111</v>
      </c>
      <c r="E151" t="s">
        <v>117</v>
      </c>
      <c r="F151" t="s">
        <v>139</v>
      </c>
      <c r="G151">
        <v>24418</v>
      </c>
      <c r="H151" t="s">
        <v>140</v>
      </c>
      <c r="I151">
        <v>2</v>
      </c>
      <c r="J151" t="s">
        <v>115</v>
      </c>
      <c r="K151" s="19">
        <v>0.29166666666666669</v>
      </c>
      <c r="L151" s="19">
        <v>0.5625</v>
      </c>
      <c r="M151">
        <v>6.5</v>
      </c>
      <c r="N151">
        <v>240.93</v>
      </c>
      <c r="O151">
        <v>51</v>
      </c>
      <c r="P151">
        <v>76</v>
      </c>
      <c r="Q151" t="s">
        <v>99</v>
      </c>
      <c r="R151">
        <v>30</v>
      </c>
      <c r="S151" s="19">
        <v>0.5</v>
      </c>
      <c r="T151">
        <v>0</v>
      </c>
      <c r="U151" s="19">
        <v>0.54166666666666663</v>
      </c>
      <c r="V151" t="s">
        <v>99</v>
      </c>
      <c r="W151">
        <v>6</v>
      </c>
      <c r="X151" t="s">
        <v>102</v>
      </c>
      <c r="Y151" t="b">
        <v>0</v>
      </c>
    </row>
    <row r="152" spans="1:25" x14ac:dyDescent="0.55000000000000004">
      <c r="A152" t="s">
        <v>94</v>
      </c>
      <c r="B152" t="s">
        <v>110</v>
      </c>
      <c r="C152" t="s">
        <v>96</v>
      </c>
      <c r="D152" t="s">
        <v>111</v>
      </c>
      <c r="E152" t="s">
        <v>117</v>
      </c>
      <c r="F152" t="s">
        <v>139</v>
      </c>
      <c r="G152">
        <v>24418</v>
      </c>
      <c r="H152" t="s">
        <v>140</v>
      </c>
      <c r="I152">
        <v>2</v>
      </c>
      <c r="J152" t="s">
        <v>116</v>
      </c>
      <c r="K152" s="19">
        <v>0.29166666666666669</v>
      </c>
      <c r="L152" s="19">
        <v>0.5625</v>
      </c>
      <c r="M152">
        <v>6.5</v>
      </c>
      <c r="N152">
        <v>281.08999999999997</v>
      </c>
      <c r="O152">
        <v>51</v>
      </c>
      <c r="P152">
        <v>76</v>
      </c>
      <c r="Q152" t="s">
        <v>99</v>
      </c>
      <c r="R152">
        <v>30</v>
      </c>
      <c r="S152" s="19">
        <v>0.5</v>
      </c>
      <c r="T152">
        <v>0</v>
      </c>
      <c r="U152" s="19">
        <v>0.54166666666666663</v>
      </c>
      <c r="V152" t="s">
        <v>99</v>
      </c>
      <c r="W152">
        <v>6</v>
      </c>
      <c r="X152" t="s">
        <v>102</v>
      </c>
      <c r="Y152" t="b">
        <v>0</v>
      </c>
    </row>
    <row r="153" spans="1:25" x14ac:dyDescent="0.55000000000000004">
      <c r="A153" t="s">
        <v>94</v>
      </c>
      <c r="B153" t="s">
        <v>110</v>
      </c>
      <c r="C153" t="s">
        <v>96</v>
      </c>
      <c r="D153" t="s">
        <v>111</v>
      </c>
      <c r="E153" t="s">
        <v>117</v>
      </c>
      <c r="F153" t="s">
        <v>139</v>
      </c>
      <c r="G153">
        <v>25226</v>
      </c>
      <c r="H153" t="s">
        <v>132</v>
      </c>
      <c r="I153">
        <v>2</v>
      </c>
      <c r="J153" t="s">
        <v>101</v>
      </c>
      <c r="K153" s="19">
        <v>0.29166666666666669</v>
      </c>
      <c r="L153" s="19">
        <v>0.5625</v>
      </c>
      <c r="M153">
        <v>6.5</v>
      </c>
      <c r="N153">
        <v>174.3</v>
      </c>
      <c r="O153">
        <v>54</v>
      </c>
      <c r="P153">
        <v>76</v>
      </c>
      <c r="Q153" t="s">
        <v>99</v>
      </c>
      <c r="R153">
        <v>30</v>
      </c>
      <c r="S153" s="19">
        <v>0.5</v>
      </c>
      <c r="T153">
        <v>0</v>
      </c>
      <c r="U153" s="19">
        <v>0.54166666666666663</v>
      </c>
      <c r="V153" t="s">
        <v>99</v>
      </c>
      <c r="W153">
        <v>6</v>
      </c>
      <c r="X153" t="s">
        <v>102</v>
      </c>
      <c r="Y153" t="b">
        <v>0</v>
      </c>
    </row>
    <row r="154" spans="1:25" x14ac:dyDescent="0.55000000000000004">
      <c r="A154" t="s">
        <v>94</v>
      </c>
      <c r="B154" t="s">
        <v>110</v>
      </c>
      <c r="C154" t="s">
        <v>96</v>
      </c>
      <c r="D154" t="s">
        <v>111</v>
      </c>
      <c r="E154" t="s">
        <v>117</v>
      </c>
      <c r="F154" t="s">
        <v>139</v>
      </c>
      <c r="G154">
        <v>25226</v>
      </c>
      <c r="H154" t="s">
        <v>132</v>
      </c>
      <c r="I154">
        <v>2</v>
      </c>
      <c r="J154" t="s">
        <v>104</v>
      </c>
      <c r="K154" s="19">
        <v>0.29166666666666669</v>
      </c>
      <c r="L154" s="19">
        <v>0.5625</v>
      </c>
      <c r="M154">
        <v>6.5</v>
      </c>
      <c r="N154">
        <v>174.3</v>
      </c>
      <c r="O154">
        <v>54</v>
      </c>
      <c r="P154">
        <v>76</v>
      </c>
      <c r="Q154" t="s">
        <v>99</v>
      </c>
      <c r="R154">
        <v>30</v>
      </c>
      <c r="S154" s="19">
        <v>0.5</v>
      </c>
      <c r="T154">
        <v>0</v>
      </c>
      <c r="U154" s="19">
        <v>0.54166666666666663</v>
      </c>
      <c r="V154" t="s">
        <v>99</v>
      </c>
      <c r="W154">
        <v>6</v>
      </c>
      <c r="X154" t="s">
        <v>102</v>
      </c>
      <c r="Y154" t="b">
        <v>0</v>
      </c>
    </row>
    <row r="155" spans="1:25" x14ac:dyDescent="0.55000000000000004">
      <c r="A155" t="s">
        <v>94</v>
      </c>
      <c r="B155" t="s">
        <v>110</v>
      </c>
      <c r="C155" t="s">
        <v>96</v>
      </c>
      <c r="D155" t="s">
        <v>111</v>
      </c>
      <c r="E155" t="s">
        <v>117</v>
      </c>
      <c r="F155" t="s">
        <v>139</v>
      </c>
      <c r="G155">
        <v>25858</v>
      </c>
      <c r="H155" t="s">
        <v>133</v>
      </c>
      <c r="I155">
        <v>1</v>
      </c>
      <c r="J155" t="s">
        <v>103</v>
      </c>
      <c r="K155" s="19">
        <v>0.29166666666666669</v>
      </c>
      <c r="L155" s="19">
        <v>0.5625</v>
      </c>
      <c r="M155">
        <v>6.5</v>
      </c>
      <c r="N155">
        <v>176.34</v>
      </c>
      <c r="O155">
        <v>54</v>
      </c>
      <c r="P155">
        <v>76</v>
      </c>
      <c r="Q155" t="s">
        <v>99</v>
      </c>
      <c r="R155">
        <v>30</v>
      </c>
      <c r="S155" s="19">
        <v>0.5</v>
      </c>
      <c r="T155">
        <v>0</v>
      </c>
      <c r="U155" s="19">
        <v>0.54166666666666663</v>
      </c>
      <c r="V155" t="s">
        <v>99</v>
      </c>
      <c r="W155">
        <v>6</v>
      </c>
      <c r="X155" t="s">
        <v>102</v>
      </c>
      <c r="Y155" t="b">
        <v>0</v>
      </c>
    </row>
    <row r="156" spans="1:25" x14ac:dyDescent="0.55000000000000004">
      <c r="A156" t="s">
        <v>94</v>
      </c>
      <c r="B156" t="s">
        <v>110</v>
      </c>
      <c r="C156" t="s">
        <v>96</v>
      </c>
      <c r="D156" t="s">
        <v>111</v>
      </c>
      <c r="E156" t="s">
        <v>117</v>
      </c>
      <c r="F156" t="s">
        <v>139</v>
      </c>
      <c r="G156">
        <v>25858</v>
      </c>
      <c r="H156" t="s">
        <v>133</v>
      </c>
      <c r="I156">
        <v>1</v>
      </c>
      <c r="J156" t="s">
        <v>105</v>
      </c>
      <c r="K156" s="19">
        <v>0.29166666666666669</v>
      </c>
      <c r="L156" s="19">
        <v>0.5625</v>
      </c>
      <c r="M156">
        <v>6.5</v>
      </c>
      <c r="N156">
        <v>176.34</v>
      </c>
      <c r="O156">
        <v>54</v>
      </c>
      <c r="P156">
        <v>76</v>
      </c>
      <c r="Q156" t="s">
        <v>99</v>
      </c>
      <c r="R156">
        <v>30</v>
      </c>
      <c r="S156" s="19">
        <v>0.5</v>
      </c>
      <c r="T156">
        <v>0</v>
      </c>
      <c r="U156" s="19">
        <v>0.54166666666666663</v>
      </c>
      <c r="V156" t="s">
        <v>99</v>
      </c>
      <c r="W156">
        <v>6</v>
      </c>
      <c r="X156" t="s">
        <v>102</v>
      </c>
      <c r="Y156" t="b">
        <v>0</v>
      </c>
    </row>
    <row r="157" spans="1:25" x14ac:dyDescent="0.55000000000000004">
      <c r="A157" t="s">
        <v>94</v>
      </c>
      <c r="B157" t="s">
        <v>110</v>
      </c>
      <c r="C157" t="s">
        <v>96</v>
      </c>
      <c r="D157" t="s">
        <v>111</v>
      </c>
      <c r="E157" t="s">
        <v>117</v>
      </c>
      <c r="F157" t="s">
        <v>139</v>
      </c>
      <c r="G157">
        <v>26044</v>
      </c>
      <c r="H157" t="s">
        <v>136</v>
      </c>
      <c r="I157">
        <v>2</v>
      </c>
      <c r="J157" t="s">
        <v>101</v>
      </c>
      <c r="K157" s="19">
        <v>0.54166666666666663</v>
      </c>
      <c r="L157" s="19">
        <v>0.8125</v>
      </c>
      <c r="M157">
        <v>6.5</v>
      </c>
      <c r="N157">
        <v>239.66</v>
      </c>
      <c r="O157">
        <v>24</v>
      </c>
      <c r="P157">
        <v>76</v>
      </c>
      <c r="Q157" t="s">
        <v>99</v>
      </c>
      <c r="R157">
        <v>30</v>
      </c>
      <c r="S157" s="19">
        <v>0.72916666666666663</v>
      </c>
      <c r="T157">
        <v>0</v>
      </c>
      <c r="U157" s="19">
        <v>0.54166666666666663</v>
      </c>
      <c r="V157" t="s">
        <v>99</v>
      </c>
      <c r="W157">
        <v>6</v>
      </c>
      <c r="X157" t="s">
        <v>102</v>
      </c>
      <c r="Y157" t="b">
        <v>0</v>
      </c>
    </row>
    <row r="158" spans="1:25" x14ac:dyDescent="0.55000000000000004">
      <c r="A158" t="s">
        <v>94</v>
      </c>
      <c r="B158" t="s">
        <v>110</v>
      </c>
      <c r="C158" t="s">
        <v>96</v>
      </c>
      <c r="D158" t="s">
        <v>111</v>
      </c>
      <c r="E158" t="s">
        <v>117</v>
      </c>
      <c r="F158" t="s">
        <v>139</v>
      </c>
      <c r="G158">
        <v>26044</v>
      </c>
      <c r="H158" t="s">
        <v>136</v>
      </c>
      <c r="I158">
        <v>2</v>
      </c>
      <c r="J158" t="s">
        <v>104</v>
      </c>
      <c r="K158" s="19">
        <v>0.54166666666666663</v>
      </c>
      <c r="L158" s="19">
        <v>0.8125</v>
      </c>
      <c r="M158">
        <v>6.5</v>
      </c>
      <c r="N158">
        <v>239.66</v>
      </c>
      <c r="O158">
        <v>24</v>
      </c>
      <c r="P158">
        <v>76</v>
      </c>
      <c r="Q158" t="s">
        <v>99</v>
      </c>
      <c r="R158">
        <v>30</v>
      </c>
      <c r="S158" s="19">
        <v>0.72916666666666663</v>
      </c>
      <c r="T158">
        <v>0</v>
      </c>
      <c r="U158" s="19">
        <v>0.54166666666666663</v>
      </c>
      <c r="V158" t="s">
        <v>99</v>
      </c>
      <c r="W158">
        <v>6</v>
      </c>
      <c r="X158" t="s">
        <v>102</v>
      </c>
      <c r="Y158" t="b">
        <v>0</v>
      </c>
    </row>
    <row r="159" spans="1:25" x14ac:dyDescent="0.55000000000000004">
      <c r="A159" t="s">
        <v>94</v>
      </c>
      <c r="B159" t="s">
        <v>110</v>
      </c>
      <c r="C159" t="s">
        <v>96</v>
      </c>
      <c r="D159" t="s">
        <v>111</v>
      </c>
      <c r="E159" t="s">
        <v>117</v>
      </c>
      <c r="F159" t="s">
        <v>139</v>
      </c>
      <c r="G159">
        <v>26102</v>
      </c>
      <c r="H159" t="s">
        <v>127</v>
      </c>
      <c r="I159">
        <v>1</v>
      </c>
      <c r="J159" t="s">
        <v>105</v>
      </c>
      <c r="K159" s="19">
        <v>0.54166666666666663</v>
      </c>
      <c r="L159" s="19">
        <v>0.8125</v>
      </c>
      <c r="M159">
        <v>6.5</v>
      </c>
      <c r="N159">
        <v>0</v>
      </c>
      <c r="O159">
        <v>24</v>
      </c>
      <c r="P159">
        <v>76</v>
      </c>
      <c r="Q159" t="s">
        <v>99</v>
      </c>
      <c r="R159">
        <v>30</v>
      </c>
      <c r="S159" s="19">
        <v>0.72916666666666663</v>
      </c>
      <c r="T159">
        <v>0</v>
      </c>
      <c r="U159" s="19">
        <v>0.54166666666666663</v>
      </c>
      <c r="V159" t="s">
        <v>99</v>
      </c>
      <c r="W159">
        <v>6</v>
      </c>
      <c r="X159" t="s">
        <v>102</v>
      </c>
      <c r="Y159" t="b">
        <v>0</v>
      </c>
    </row>
    <row r="160" spans="1:25" x14ac:dyDescent="0.55000000000000004">
      <c r="A160" t="s">
        <v>94</v>
      </c>
      <c r="B160" t="s">
        <v>110</v>
      </c>
      <c r="C160" t="s">
        <v>96</v>
      </c>
      <c r="D160" t="s">
        <v>111</v>
      </c>
      <c r="E160" t="s">
        <v>117</v>
      </c>
      <c r="F160" t="s">
        <v>139</v>
      </c>
      <c r="G160">
        <v>26106</v>
      </c>
      <c r="H160" t="s">
        <v>137</v>
      </c>
      <c r="I160">
        <v>1</v>
      </c>
      <c r="J160" t="s">
        <v>101</v>
      </c>
      <c r="K160" s="19">
        <v>0.54166666666666663</v>
      </c>
      <c r="L160" s="19">
        <v>0.8125</v>
      </c>
      <c r="M160">
        <v>6.5</v>
      </c>
      <c r="N160">
        <v>196.09</v>
      </c>
      <c r="O160">
        <v>48</v>
      </c>
      <c r="P160">
        <v>76</v>
      </c>
      <c r="Q160" t="s">
        <v>99</v>
      </c>
      <c r="R160">
        <v>30</v>
      </c>
      <c r="S160" s="19">
        <v>0.70833333333333337</v>
      </c>
      <c r="T160">
        <v>0</v>
      </c>
      <c r="U160" s="19">
        <v>0.54166666666666663</v>
      </c>
      <c r="V160" t="s">
        <v>99</v>
      </c>
      <c r="W160">
        <v>6</v>
      </c>
      <c r="X160" t="s">
        <v>102</v>
      </c>
      <c r="Y160" t="b">
        <v>0</v>
      </c>
    </row>
    <row r="161" spans="1:25" x14ac:dyDescent="0.55000000000000004">
      <c r="A161" t="s">
        <v>94</v>
      </c>
      <c r="B161" t="s">
        <v>110</v>
      </c>
      <c r="C161" t="s">
        <v>96</v>
      </c>
      <c r="D161" t="s">
        <v>111</v>
      </c>
      <c r="E161" t="s">
        <v>117</v>
      </c>
      <c r="F161" t="s">
        <v>139</v>
      </c>
      <c r="G161">
        <v>26106</v>
      </c>
      <c r="H161" t="s">
        <v>137</v>
      </c>
      <c r="I161">
        <v>1</v>
      </c>
      <c r="J161" t="s">
        <v>115</v>
      </c>
      <c r="K161" s="19">
        <v>0.54166666666666663</v>
      </c>
      <c r="L161" s="19">
        <v>0.8125</v>
      </c>
      <c r="M161">
        <v>6.5</v>
      </c>
      <c r="N161">
        <v>261.45</v>
      </c>
      <c r="O161">
        <v>48</v>
      </c>
      <c r="P161">
        <v>76</v>
      </c>
      <c r="Q161" t="s">
        <v>99</v>
      </c>
      <c r="R161">
        <v>30</v>
      </c>
      <c r="S161" s="19">
        <v>0.72916666666666663</v>
      </c>
      <c r="T161">
        <v>0</v>
      </c>
      <c r="U161" s="19">
        <v>0.54166666666666663</v>
      </c>
      <c r="V161" t="s">
        <v>99</v>
      </c>
      <c r="W161">
        <v>6</v>
      </c>
      <c r="X161" t="s">
        <v>102</v>
      </c>
      <c r="Y161" t="b">
        <v>0</v>
      </c>
    </row>
    <row r="162" spans="1:25" x14ac:dyDescent="0.55000000000000004">
      <c r="A162" t="s">
        <v>94</v>
      </c>
      <c r="B162" t="s">
        <v>110</v>
      </c>
      <c r="C162" t="s">
        <v>96</v>
      </c>
      <c r="D162" t="s">
        <v>111</v>
      </c>
      <c r="E162" t="s">
        <v>117</v>
      </c>
      <c r="F162" t="s">
        <v>139</v>
      </c>
      <c r="G162">
        <v>26106</v>
      </c>
      <c r="H162" t="s">
        <v>137</v>
      </c>
      <c r="I162">
        <v>1</v>
      </c>
      <c r="J162" t="s">
        <v>116</v>
      </c>
      <c r="K162" s="19">
        <v>0.54166666666666663</v>
      </c>
      <c r="L162" s="19">
        <v>0.8125</v>
      </c>
      <c r="M162">
        <v>6.5</v>
      </c>
      <c r="N162">
        <v>305.02</v>
      </c>
      <c r="O162">
        <v>48</v>
      </c>
      <c r="P162">
        <v>76</v>
      </c>
      <c r="Q162" t="s">
        <v>99</v>
      </c>
      <c r="R162">
        <v>30</v>
      </c>
      <c r="S162" s="19">
        <v>0.70833333333333337</v>
      </c>
      <c r="T162">
        <v>0</v>
      </c>
      <c r="U162" s="19">
        <v>0.54166666666666663</v>
      </c>
      <c r="V162" t="s">
        <v>99</v>
      </c>
      <c r="W162">
        <v>6</v>
      </c>
      <c r="X162" t="s">
        <v>102</v>
      </c>
      <c r="Y162" t="b">
        <v>0</v>
      </c>
    </row>
    <row r="163" spans="1:25" x14ac:dyDescent="0.55000000000000004">
      <c r="A163" t="s">
        <v>94</v>
      </c>
      <c r="B163" t="s">
        <v>110</v>
      </c>
      <c r="C163" t="s">
        <v>96</v>
      </c>
      <c r="D163" t="s">
        <v>111</v>
      </c>
      <c r="E163" t="s">
        <v>117</v>
      </c>
      <c r="F163" t="s">
        <v>139</v>
      </c>
      <c r="G163">
        <v>26106</v>
      </c>
      <c r="H163" t="s">
        <v>137</v>
      </c>
      <c r="I163">
        <v>1</v>
      </c>
      <c r="J163" t="s">
        <v>104</v>
      </c>
      <c r="K163" s="19">
        <v>0.54166666666666663</v>
      </c>
      <c r="L163" s="19">
        <v>0.8125</v>
      </c>
      <c r="M163">
        <v>6.5</v>
      </c>
      <c r="N163">
        <v>196.09</v>
      </c>
      <c r="O163">
        <v>48</v>
      </c>
      <c r="P163">
        <v>76</v>
      </c>
      <c r="Q163" t="s">
        <v>99</v>
      </c>
      <c r="R163">
        <v>30</v>
      </c>
      <c r="S163" s="19">
        <v>0.70833333333333337</v>
      </c>
      <c r="T163">
        <v>0</v>
      </c>
      <c r="U163" s="19">
        <v>0.54166666666666663</v>
      </c>
      <c r="V163" t="s">
        <v>99</v>
      </c>
      <c r="W163">
        <v>6</v>
      </c>
      <c r="X163" t="s">
        <v>102</v>
      </c>
      <c r="Y163" t="b">
        <v>0</v>
      </c>
    </row>
    <row r="164" spans="1:25" x14ac:dyDescent="0.55000000000000004">
      <c r="A164" t="s">
        <v>94</v>
      </c>
      <c r="B164" t="s">
        <v>110</v>
      </c>
      <c r="C164" t="s">
        <v>96</v>
      </c>
      <c r="D164" t="s">
        <v>111</v>
      </c>
      <c r="E164" t="s">
        <v>117</v>
      </c>
      <c r="F164" t="s">
        <v>139</v>
      </c>
      <c r="G164">
        <v>26127</v>
      </c>
      <c r="H164" t="s">
        <v>138</v>
      </c>
      <c r="I164">
        <v>1</v>
      </c>
      <c r="J164" t="s">
        <v>107</v>
      </c>
      <c r="K164" s="19">
        <v>0.54166666666666663</v>
      </c>
      <c r="L164" s="19">
        <v>0.8125</v>
      </c>
      <c r="M164">
        <v>6.5</v>
      </c>
      <c r="N164">
        <v>202.37</v>
      </c>
      <c r="O164">
        <v>42</v>
      </c>
      <c r="P164">
        <v>76</v>
      </c>
      <c r="Q164" t="s">
        <v>99</v>
      </c>
      <c r="R164">
        <v>30</v>
      </c>
      <c r="S164" s="19">
        <v>0.72916666666666663</v>
      </c>
      <c r="T164">
        <v>0</v>
      </c>
      <c r="U164" s="19">
        <v>0.54166666666666663</v>
      </c>
      <c r="V164" t="s">
        <v>99</v>
      </c>
      <c r="W164">
        <v>6</v>
      </c>
      <c r="X164" t="s">
        <v>102</v>
      </c>
      <c r="Y164" t="b">
        <v>0</v>
      </c>
    </row>
    <row r="165" spans="1:25" x14ac:dyDescent="0.55000000000000004">
      <c r="A165" t="s">
        <v>94</v>
      </c>
      <c r="B165" t="s">
        <v>110</v>
      </c>
      <c r="C165" t="s">
        <v>96</v>
      </c>
      <c r="D165" t="s">
        <v>111</v>
      </c>
      <c r="E165" t="s">
        <v>117</v>
      </c>
      <c r="F165" t="s">
        <v>139</v>
      </c>
      <c r="G165">
        <v>26127</v>
      </c>
      <c r="H165" t="s">
        <v>138</v>
      </c>
      <c r="I165">
        <v>1</v>
      </c>
      <c r="J165" t="s">
        <v>103</v>
      </c>
      <c r="K165" s="19">
        <v>0.54166666666666663</v>
      </c>
      <c r="L165" s="19">
        <v>0.8125</v>
      </c>
      <c r="M165">
        <v>6.5</v>
      </c>
      <c r="N165">
        <v>202.37</v>
      </c>
      <c r="O165">
        <v>42</v>
      </c>
      <c r="P165">
        <v>76</v>
      </c>
      <c r="Q165" t="s">
        <v>99</v>
      </c>
      <c r="R165">
        <v>30</v>
      </c>
      <c r="S165" s="19">
        <v>0.72916666666666663</v>
      </c>
      <c r="T165">
        <v>0</v>
      </c>
      <c r="U165" s="19">
        <v>0.54166666666666663</v>
      </c>
      <c r="V165" t="s">
        <v>99</v>
      </c>
      <c r="W165">
        <v>6</v>
      </c>
      <c r="X165" t="s">
        <v>102</v>
      </c>
      <c r="Y165" t="b">
        <v>0</v>
      </c>
    </row>
    <row r="166" spans="1:25" x14ac:dyDescent="0.55000000000000004">
      <c r="A166" t="s">
        <v>94</v>
      </c>
      <c r="B166" t="s">
        <v>110</v>
      </c>
      <c r="C166" t="s">
        <v>96</v>
      </c>
      <c r="D166" t="s">
        <v>111</v>
      </c>
      <c r="E166" t="s">
        <v>117</v>
      </c>
      <c r="F166" t="s">
        <v>139</v>
      </c>
      <c r="G166">
        <v>26127</v>
      </c>
      <c r="H166" t="s">
        <v>138</v>
      </c>
      <c r="I166">
        <v>2</v>
      </c>
      <c r="J166" t="s">
        <v>116</v>
      </c>
      <c r="K166" s="19">
        <v>0.54166666666666663</v>
      </c>
      <c r="L166" s="19">
        <v>0.8125</v>
      </c>
      <c r="M166">
        <v>6.5</v>
      </c>
      <c r="N166">
        <v>314.79000000000002</v>
      </c>
      <c r="O166">
        <v>42</v>
      </c>
      <c r="P166">
        <v>76</v>
      </c>
      <c r="Q166" t="s">
        <v>99</v>
      </c>
      <c r="R166">
        <v>30</v>
      </c>
      <c r="S166" s="19">
        <v>0.72916666666666663</v>
      </c>
      <c r="T166">
        <v>0</v>
      </c>
      <c r="U166" s="19">
        <v>0.54166666666666663</v>
      </c>
      <c r="V166" t="s">
        <v>99</v>
      </c>
      <c r="W166">
        <v>6</v>
      </c>
      <c r="X166" t="s">
        <v>102</v>
      </c>
      <c r="Y166" t="b">
        <v>0</v>
      </c>
    </row>
    <row r="167" spans="1:25" x14ac:dyDescent="0.55000000000000004">
      <c r="A167" t="s">
        <v>94</v>
      </c>
      <c r="B167" t="s">
        <v>110</v>
      </c>
      <c r="C167" t="s">
        <v>96</v>
      </c>
      <c r="D167" t="s">
        <v>111</v>
      </c>
      <c r="E167" t="s">
        <v>117</v>
      </c>
      <c r="F167" t="s">
        <v>139</v>
      </c>
      <c r="G167">
        <v>26127</v>
      </c>
      <c r="H167" t="s">
        <v>138</v>
      </c>
      <c r="I167">
        <v>2</v>
      </c>
      <c r="J167" t="s">
        <v>103</v>
      </c>
      <c r="K167" s="19">
        <v>0.29166666666666669</v>
      </c>
      <c r="L167" s="19">
        <v>0.5625</v>
      </c>
      <c r="M167">
        <v>6.5</v>
      </c>
      <c r="N167">
        <v>179.88</v>
      </c>
      <c r="O167">
        <v>42</v>
      </c>
      <c r="P167">
        <v>76</v>
      </c>
      <c r="Q167" t="s">
        <v>99</v>
      </c>
      <c r="R167">
        <v>30</v>
      </c>
      <c r="S167" s="19">
        <v>0.5</v>
      </c>
      <c r="T167">
        <v>0</v>
      </c>
      <c r="U167" s="19">
        <v>0.54166666666666663</v>
      </c>
      <c r="V167" t="s">
        <v>99</v>
      </c>
      <c r="W167">
        <v>6</v>
      </c>
      <c r="X167" t="s">
        <v>102</v>
      </c>
      <c r="Y167" t="b">
        <v>0</v>
      </c>
    </row>
    <row r="168" spans="1:25" x14ac:dyDescent="0.55000000000000004">
      <c r="A168" t="s">
        <v>94</v>
      </c>
      <c r="B168" t="s">
        <v>110</v>
      </c>
      <c r="C168" t="s">
        <v>96</v>
      </c>
      <c r="D168" t="s">
        <v>111</v>
      </c>
      <c r="E168" t="s">
        <v>117</v>
      </c>
      <c r="F168" t="s">
        <v>139</v>
      </c>
      <c r="G168">
        <v>26127</v>
      </c>
      <c r="H168" t="s">
        <v>138</v>
      </c>
      <c r="I168">
        <v>2</v>
      </c>
      <c r="J168" t="s">
        <v>105</v>
      </c>
      <c r="K168" s="19">
        <v>0.29166666666666669</v>
      </c>
      <c r="L168" s="19">
        <v>0.5625</v>
      </c>
      <c r="M168">
        <v>6.5</v>
      </c>
      <c r="N168">
        <v>179.88</v>
      </c>
      <c r="O168">
        <v>42</v>
      </c>
      <c r="P168">
        <v>76</v>
      </c>
      <c r="Q168" t="s">
        <v>99</v>
      </c>
      <c r="R168">
        <v>30</v>
      </c>
      <c r="S168" s="19">
        <v>0.5</v>
      </c>
      <c r="T168">
        <v>0</v>
      </c>
      <c r="U168" s="19">
        <v>0.54166666666666663</v>
      </c>
      <c r="V168" t="s">
        <v>99</v>
      </c>
      <c r="W168">
        <v>6</v>
      </c>
      <c r="X168" t="s">
        <v>102</v>
      </c>
      <c r="Y168" t="b">
        <v>0</v>
      </c>
    </row>
    <row r="169" spans="1:25" x14ac:dyDescent="0.55000000000000004">
      <c r="A169" t="s">
        <v>94</v>
      </c>
      <c r="B169" t="s">
        <v>110</v>
      </c>
      <c r="C169" t="s">
        <v>96</v>
      </c>
      <c r="D169" t="s">
        <v>111</v>
      </c>
      <c r="E169" t="s">
        <v>117</v>
      </c>
      <c r="F169" t="s">
        <v>141</v>
      </c>
      <c r="G169">
        <v>20329</v>
      </c>
      <c r="H169" t="s">
        <v>129</v>
      </c>
      <c r="I169">
        <v>2</v>
      </c>
      <c r="J169" t="s">
        <v>104</v>
      </c>
      <c r="K169" s="19">
        <v>0.29166666666666669</v>
      </c>
      <c r="L169" s="19">
        <v>0.5625</v>
      </c>
      <c r="M169">
        <v>6.5</v>
      </c>
      <c r="N169">
        <v>174.3</v>
      </c>
      <c r="O169">
        <v>69</v>
      </c>
      <c r="P169">
        <v>76</v>
      </c>
      <c r="Q169" t="s">
        <v>99</v>
      </c>
      <c r="R169">
        <v>30</v>
      </c>
      <c r="S169" s="19">
        <v>0.5</v>
      </c>
      <c r="T169">
        <v>0</v>
      </c>
      <c r="U169" s="19">
        <v>0</v>
      </c>
      <c r="V169" t="s">
        <v>99</v>
      </c>
      <c r="W169">
        <v>6</v>
      </c>
      <c r="X169" t="s">
        <v>102</v>
      </c>
      <c r="Y169" t="b">
        <v>0</v>
      </c>
    </row>
    <row r="170" spans="1:25" x14ac:dyDescent="0.55000000000000004">
      <c r="A170" t="s">
        <v>94</v>
      </c>
      <c r="B170" t="s">
        <v>110</v>
      </c>
      <c r="C170" t="s">
        <v>96</v>
      </c>
      <c r="D170" t="s">
        <v>111</v>
      </c>
      <c r="E170" t="s">
        <v>117</v>
      </c>
      <c r="F170" t="s">
        <v>141</v>
      </c>
      <c r="G170">
        <v>21641</v>
      </c>
      <c r="H170" t="s">
        <v>142</v>
      </c>
      <c r="I170">
        <v>1</v>
      </c>
      <c r="J170" t="s">
        <v>107</v>
      </c>
      <c r="K170" s="19">
        <v>0.54166666666666663</v>
      </c>
      <c r="L170" s="19">
        <v>0.8125</v>
      </c>
      <c r="M170">
        <v>6.5</v>
      </c>
      <c r="N170">
        <v>198.38</v>
      </c>
      <c r="O170">
        <v>67.5</v>
      </c>
      <c r="P170">
        <v>76</v>
      </c>
      <c r="Q170" t="s">
        <v>99</v>
      </c>
      <c r="R170">
        <v>30</v>
      </c>
      <c r="S170" s="19">
        <v>0.75</v>
      </c>
      <c r="T170">
        <v>0</v>
      </c>
      <c r="U170" s="19">
        <v>0.54166666666666663</v>
      </c>
      <c r="V170" t="s">
        <v>99</v>
      </c>
      <c r="W170">
        <v>6</v>
      </c>
      <c r="X170" t="s">
        <v>102</v>
      </c>
      <c r="Y170" t="b">
        <v>0</v>
      </c>
    </row>
    <row r="171" spans="1:25" x14ac:dyDescent="0.55000000000000004">
      <c r="A171" t="s">
        <v>94</v>
      </c>
      <c r="B171" t="s">
        <v>110</v>
      </c>
      <c r="C171" t="s">
        <v>96</v>
      </c>
      <c r="D171" t="s">
        <v>111</v>
      </c>
      <c r="E171" t="s">
        <v>117</v>
      </c>
      <c r="F171" t="s">
        <v>141</v>
      </c>
      <c r="G171">
        <v>21641</v>
      </c>
      <c r="H171" t="s">
        <v>142</v>
      </c>
      <c r="I171">
        <v>1</v>
      </c>
      <c r="J171" t="s">
        <v>115</v>
      </c>
      <c r="K171" s="19">
        <v>0.47916666666666669</v>
      </c>
      <c r="L171" s="19">
        <v>0.8125</v>
      </c>
      <c r="M171">
        <v>8</v>
      </c>
      <c r="N171">
        <v>330.64</v>
      </c>
      <c r="O171">
        <v>67.5</v>
      </c>
      <c r="P171">
        <v>76</v>
      </c>
      <c r="Q171" t="s">
        <v>99</v>
      </c>
      <c r="R171">
        <v>30</v>
      </c>
      <c r="S171" s="19">
        <v>0.75</v>
      </c>
      <c r="T171">
        <v>0</v>
      </c>
      <c r="U171" s="19">
        <v>0.54166666666666663</v>
      </c>
      <c r="V171" t="s">
        <v>99</v>
      </c>
      <c r="W171">
        <v>7.5</v>
      </c>
      <c r="X171" t="s">
        <v>102</v>
      </c>
      <c r="Y171" t="b">
        <v>0</v>
      </c>
    </row>
    <row r="172" spans="1:25" x14ac:dyDescent="0.55000000000000004">
      <c r="A172" t="s">
        <v>94</v>
      </c>
      <c r="B172" t="s">
        <v>110</v>
      </c>
      <c r="C172" t="s">
        <v>96</v>
      </c>
      <c r="D172" t="s">
        <v>111</v>
      </c>
      <c r="E172" t="s">
        <v>117</v>
      </c>
      <c r="F172" t="s">
        <v>141</v>
      </c>
      <c r="G172">
        <v>21641</v>
      </c>
      <c r="H172" t="s">
        <v>142</v>
      </c>
      <c r="I172">
        <v>1</v>
      </c>
      <c r="J172" t="s">
        <v>116</v>
      </c>
      <c r="K172" s="19">
        <v>0.47916666666666669</v>
      </c>
      <c r="L172" s="19">
        <v>0.8125</v>
      </c>
      <c r="M172">
        <v>8</v>
      </c>
      <c r="N172">
        <v>385.74</v>
      </c>
      <c r="O172">
        <v>67.5</v>
      </c>
      <c r="P172">
        <v>76</v>
      </c>
      <c r="Q172" t="s">
        <v>99</v>
      </c>
      <c r="R172">
        <v>30</v>
      </c>
      <c r="S172" s="19">
        <v>0.75</v>
      </c>
      <c r="T172">
        <v>0</v>
      </c>
      <c r="U172" s="19">
        <v>0.54166666666666663</v>
      </c>
      <c r="V172" t="s">
        <v>99</v>
      </c>
      <c r="W172">
        <v>7.5</v>
      </c>
      <c r="X172" t="s">
        <v>102</v>
      </c>
      <c r="Y172" t="b">
        <v>0</v>
      </c>
    </row>
    <row r="173" spans="1:25" x14ac:dyDescent="0.55000000000000004">
      <c r="A173" t="s">
        <v>94</v>
      </c>
      <c r="B173" t="s">
        <v>110</v>
      </c>
      <c r="C173" t="s">
        <v>96</v>
      </c>
      <c r="D173" t="s">
        <v>111</v>
      </c>
      <c r="E173" t="s">
        <v>117</v>
      </c>
      <c r="F173" t="s">
        <v>141</v>
      </c>
      <c r="G173">
        <v>21641</v>
      </c>
      <c r="H173" t="s">
        <v>142</v>
      </c>
      <c r="I173">
        <v>1</v>
      </c>
      <c r="J173" t="s">
        <v>103</v>
      </c>
      <c r="K173" s="19">
        <v>0.54166666666666663</v>
      </c>
      <c r="L173" s="19">
        <v>0.8125</v>
      </c>
      <c r="M173">
        <v>6.5</v>
      </c>
      <c r="N173">
        <v>198.38</v>
      </c>
      <c r="O173">
        <v>67.5</v>
      </c>
      <c r="P173">
        <v>76</v>
      </c>
      <c r="Q173" t="s">
        <v>99</v>
      </c>
      <c r="R173">
        <v>30</v>
      </c>
      <c r="S173" s="19">
        <v>0.75</v>
      </c>
      <c r="T173">
        <v>0</v>
      </c>
      <c r="U173" s="19">
        <v>0.54166666666666663</v>
      </c>
      <c r="V173" t="s">
        <v>99</v>
      </c>
      <c r="W173">
        <v>6</v>
      </c>
      <c r="X173" t="s">
        <v>102</v>
      </c>
      <c r="Y173" t="b">
        <v>0</v>
      </c>
    </row>
    <row r="174" spans="1:25" x14ac:dyDescent="0.55000000000000004">
      <c r="A174" t="s">
        <v>94</v>
      </c>
      <c r="B174" t="s">
        <v>110</v>
      </c>
      <c r="C174" t="s">
        <v>96</v>
      </c>
      <c r="D174" t="s">
        <v>111</v>
      </c>
      <c r="E174" t="s">
        <v>117</v>
      </c>
      <c r="F174" t="s">
        <v>141</v>
      </c>
      <c r="G174">
        <v>21641</v>
      </c>
      <c r="H174" t="s">
        <v>142</v>
      </c>
      <c r="I174">
        <v>1</v>
      </c>
      <c r="J174" t="s">
        <v>104</v>
      </c>
      <c r="K174" s="19">
        <v>0.47916666666666669</v>
      </c>
      <c r="L174" s="19">
        <v>0.8125</v>
      </c>
      <c r="M174">
        <v>8</v>
      </c>
      <c r="N174">
        <v>220.43</v>
      </c>
      <c r="O174">
        <v>67.5</v>
      </c>
      <c r="P174">
        <v>76</v>
      </c>
      <c r="Q174" t="s">
        <v>99</v>
      </c>
      <c r="R174">
        <v>30</v>
      </c>
      <c r="S174" s="19">
        <v>0.75</v>
      </c>
      <c r="T174">
        <v>0</v>
      </c>
      <c r="U174" s="19">
        <v>0.54166666666666663</v>
      </c>
      <c r="V174" t="s">
        <v>99</v>
      </c>
      <c r="W174">
        <v>7.5</v>
      </c>
      <c r="X174" t="s">
        <v>102</v>
      </c>
      <c r="Y174" t="b">
        <v>0</v>
      </c>
    </row>
    <row r="175" spans="1:25" x14ac:dyDescent="0.55000000000000004">
      <c r="A175" t="s">
        <v>94</v>
      </c>
      <c r="B175" t="s">
        <v>110</v>
      </c>
      <c r="C175" t="s">
        <v>96</v>
      </c>
      <c r="D175" t="s">
        <v>111</v>
      </c>
      <c r="E175" t="s">
        <v>117</v>
      </c>
      <c r="F175" t="s">
        <v>141</v>
      </c>
      <c r="G175">
        <v>21641</v>
      </c>
      <c r="H175" t="s">
        <v>142</v>
      </c>
      <c r="I175">
        <v>1</v>
      </c>
      <c r="J175" t="s">
        <v>105</v>
      </c>
      <c r="K175" s="19">
        <v>0.54166666666666663</v>
      </c>
      <c r="L175" s="19">
        <v>0.8125</v>
      </c>
      <c r="M175">
        <v>6.5</v>
      </c>
      <c r="N175">
        <v>198.38</v>
      </c>
      <c r="O175">
        <v>67.5</v>
      </c>
      <c r="P175">
        <v>76</v>
      </c>
      <c r="Q175" t="s">
        <v>99</v>
      </c>
      <c r="R175">
        <v>30</v>
      </c>
      <c r="S175" s="19">
        <v>0.75</v>
      </c>
      <c r="T175">
        <v>0</v>
      </c>
      <c r="U175" s="19">
        <v>0.54166666666666663</v>
      </c>
      <c r="V175" t="s">
        <v>99</v>
      </c>
      <c r="W175">
        <v>6</v>
      </c>
      <c r="X175" t="s">
        <v>102</v>
      </c>
      <c r="Y175" t="b">
        <v>0</v>
      </c>
    </row>
    <row r="176" spans="1:25" x14ac:dyDescent="0.55000000000000004">
      <c r="A176" t="s">
        <v>94</v>
      </c>
      <c r="B176" t="s">
        <v>110</v>
      </c>
      <c r="C176" t="s">
        <v>96</v>
      </c>
      <c r="D176" t="s">
        <v>111</v>
      </c>
      <c r="E176" t="s">
        <v>117</v>
      </c>
      <c r="F176" t="s">
        <v>141</v>
      </c>
      <c r="G176">
        <v>21641</v>
      </c>
      <c r="H176" t="s">
        <v>142</v>
      </c>
      <c r="I176">
        <v>2</v>
      </c>
      <c r="J176" t="s">
        <v>107</v>
      </c>
      <c r="K176" s="19">
        <v>0.47916666666666669</v>
      </c>
      <c r="L176" s="19">
        <v>0.8125</v>
      </c>
      <c r="M176">
        <v>8</v>
      </c>
      <c r="N176">
        <v>220.43</v>
      </c>
      <c r="O176">
        <v>67.5</v>
      </c>
      <c r="P176">
        <v>76</v>
      </c>
      <c r="Q176" t="s">
        <v>99</v>
      </c>
      <c r="R176">
        <v>30</v>
      </c>
      <c r="S176" s="19">
        <v>0.75</v>
      </c>
      <c r="T176">
        <v>0</v>
      </c>
      <c r="U176" s="19">
        <v>0.54166666666666663</v>
      </c>
      <c r="V176" t="s">
        <v>99</v>
      </c>
      <c r="W176">
        <v>7.5</v>
      </c>
      <c r="X176" t="s">
        <v>102</v>
      </c>
      <c r="Y176" t="b">
        <v>0</v>
      </c>
    </row>
    <row r="177" spans="1:25" x14ac:dyDescent="0.55000000000000004">
      <c r="A177" t="s">
        <v>94</v>
      </c>
      <c r="B177" t="s">
        <v>110</v>
      </c>
      <c r="C177" t="s">
        <v>96</v>
      </c>
      <c r="D177" t="s">
        <v>111</v>
      </c>
      <c r="E177" t="s">
        <v>117</v>
      </c>
      <c r="F177" t="s">
        <v>141</v>
      </c>
      <c r="G177">
        <v>21641</v>
      </c>
      <c r="H177" t="s">
        <v>142</v>
      </c>
      <c r="I177">
        <v>2</v>
      </c>
      <c r="J177" t="s">
        <v>101</v>
      </c>
      <c r="K177" s="19">
        <v>0.54166666666666663</v>
      </c>
      <c r="L177" s="19">
        <v>0.8125</v>
      </c>
      <c r="M177">
        <v>6.5</v>
      </c>
      <c r="N177">
        <v>198.38</v>
      </c>
      <c r="O177">
        <v>67.5</v>
      </c>
      <c r="P177">
        <v>76</v>
      </c>
      <c r="Q177" t="s">
        <v>99</v>
      </c>
      <c r="R177">
        <v>30</v>
      </c>
      <c r="S177" s="19">
        <v>0.75</v>
      </c>
      <c r="T177">
        <v>0</v>
      </c>
      <c r="U177" s="19">
        <v>0.54166666666666663</v>
      </c>
      <c r="V177" t="s">
        <v>99</v>
      </c>
      <c r="W177">
        <v>6</v>
      </c>
      <c r="X177" t="s">
        <v>102</v>
      </c>
      <c r="Y177" t="b">
        <v>0</v>
      </c>
    </row>
    <row r="178" spans="1:25" x14ac:dyDescent="0.55000000000000004">
      <c r="A178" t="s">
        <v>94</v>
      </c>
      <c r="B178" t="s">
        <v>110</v>
      </c>
      <c r="C178" t="s">
        <v>96</v>
      </c>
      <c r="D178" t="s">
        <v>111</v>
      </c>
      <c r="E178" t="s">
        <v>117</v>
      </c>
      <c r="F178" t="s">
        <v>141</v>
      </c>
      <c r="G178">
        <v>21641</v>
      </c>
      <c r="H178" t="s">
        <v>142</v>
      </c>
      <c r="I178">
        <v>2</v>
      </c>
      <c r="J178" t="s">
        <v>103</v>
      </c>
      <c r="K178" s="19">
        <v>0.47916666666666669</v>
      </c>
      <c r="L178" s="19">
        <v>0.8125</v>
      </c>
      <c r="M178">
        <v>8</v>
      </c>
      <c r="N178">
        <v>220.43</v>
      </c>
      <c r="O178">
        <v>67.5</v>
      </c>
      <c r="P178">
        <v>76</v>
      </c>
      <c r="Q178" t="s">
        <v>99</v>
      </c>
      <c r="R178">
        <v>30</v>
      </c>
      <c r="S178" s="19">
        <v>0.75</v>
      </c>
      <c r="T178">
        <v>0</v>
      </c>
      <c r="U178" s="19">
        <v>0.54166666666666663</v>
      </c>
      <c r="V178" t="s">
        <v>99</v>
      </c>
      <c r="W178">
        <v>7.5</v>
      </c>
      <c r="X178" t="s">
        <v>102</v>
      </c>
      <c r="Y178" t="b">
        <v>0</v>
      </c>
    </row>
    <row r="179" spans="1:25" x14ac:dyDescent="0.55000000000000004">
      <c r="A179" t="s">
        <v>94</v>
      </c>
      <c r="B179" t="s">
        <v>110</v>
      </c>
      <c r="C179" t="s">
        <v>96</v>
      </c>
      <c r="D179" t="s">
        <v>111</v>
      </c>
      <c r="E179" t="s">
        <v>117</v>
      </c>
      <c r="F179" t="s">
        <v>141</v>
      </c>
      <c r="G179">
        <v>21641</v>
      </c>
      <c r="H179" t="s">
        <v>142</v>
      </c>
      <c r="I179">
        <v>2</v>
      </c>
      <c r="J179" t="s">
        <v>105</v>
      </c>
      <c r="K179" s="19">
        <v>0.54166666666666663</v>
      </c>
      <c r="L179" s="19">
        <v>0.8125</v>
      </c>
      <c r="M179">
        <v>6.5</v>
      </c>
      <c r="N179">
        <v>198.38</v>
      </c>
      <c r="O179">
        <v>67.5</v>
      </c>
      <c r="P179">
        <v>76</v>
      </c>
      <c r="Q179" t="s">
        <v>99</v>
      </c>
      <c r="R179">
        <v>30</v>
      </c>
      <c r="S179" s="19">
        <v>0.75</v>
      </c>
      <c r="T179">
        <v>0</v>
      </c>
      <c r="U179" s="19">
        <v>0.54166666666666663</v>
      </c>
      <c r="V179" t="s">
        <v>99</v>
      </c>
      <c r="W179">
        <v>6</v>
      </c>
      <c r="X179" t="s">
        <v>102</v>
      </c>
      <c r="Y179" t="b">
        <v>0</v>
      </c>
    </row>
    <row r="180" spans="1:25" x14ac:dyDescent="0.55000000000000004">
      <c r="A180" t="s">
        <v>94</v>
      </c>
      <c r="B180" t="s">
        <v>110</v>
      </c>
      <c r="C180" t="s">
        <v>96</v>
      </c>
      <c r="D180" t="s">
        <v>111</v>
      </c>
      <c r="E180" t="s">
        <v>117</v>
      </c>
      <c r="F180" t="s">
        <v>141</v>
      </c>
      <c r="G180">
        <v>23264</v>
      </c>
      <c r="H180" t="s">
        <v>121</v>
      </c>
      <c r="I180">
        <v>1</v>
      </c>
      <c r="J180" t="s">
        <v>101</v>
      </c>
      <c r="K180" s="19">
        <v>0.54166666666666663</v>
      </c>
      <c r="L180" s="19">
        <v>0.8125</v>
      </c>
      <c r="M180">
        <v>6.5</v>
      </c>
      <c r="N180">
        <v>196.09</v>
      </c>
      <c r="O180">
        <v>64.5</v>
      </c>
      <c r="P180">
        <v>76</v>
      </c>
      <c r="Q180" t="s">
        <v>99</v>
      </c>
      <c r="R180">
        <v>30</v>
      </c>
      <c r="S180" s="19">
        <v>0.72916666666666663</v>
      </c>
      <c r="T180">
        <v>0</v>
      </c>
      <c r="U180" s="19">
        <v>0.54166666666666663</v>
      </c>
      <c r="V180" t="s">
        <v>99</v>
      </c>
      <c r="W180">
        <v>6</v>
      </c>
      <c r="X180" t="s">
        <v>102</v>
      </c>
      <c r="Y180" t="b">
        <v>0</v>
      </c>
    </row>
    <row r="181" spans="1:25" x14ac:dyDescent="0.55000000000000004">
      <c r="A181" t="s">
        <v>94</v>
      </c>
      <c r="B181" t="s">
        <v>110</v>
      </c>
      <c r="C181" t="s">
        <v>96</v>
      </c>
      <c r="D181" t="s">
        <v>111</v>
      </c>
      <c r="E181" t="s">
        <v>117</v>
      </c>
      <c r="F181" t="s">
        <v>141</v>
      </c>
      <c r="G181">
        <v>23264</v>
      </c>
      <c r="H181" t="s">
        <v>121</v>
      </c>
      <c r="I181">
        <v>2</v>
      </c>
      <c r="J181" t="s">
        <v>115</v>
      </c>
      <c r="K181" s="19">
        <v>0.54166666666666663</v>
      </c>
      <c r="L181" s="19">
        <v>0.8125</v>
      </c>
      <c r="M181">
        <v>6.5</v>
      </c>
      <c r="N181">
        <v>261.45</v>
      </c>
      <c r="O181">
        <v>64.5</v>
      </c>
      <c r="P181">
        <v>76</v>
      </c>
      <c r="Q181" t="s">
        <v>99</v>
      </c>
      <c r="R181">
        <v>30</v>
      </c>
      <c r="S181" s="19">
        <v>0.72916666666666663</v>
      </c>
      <c r="T181">
        <v>0</v>
      </c>
      <c r="U181" s="19">
        <v>0.54166666666666663</v>
      </c>
      <c r="V181" t="s">
        <v>99</v>
      </c>
      <c r="W181">
        <v>6</v>
      </c>
      <c r="X181" t="s">
        <v>102</v>
      </c>
      <c r="Y181" t="b">
        <v>0</v>
      </c>
    </row>
    <row r="182" spans="1:25" x14ac:dyDescent="0.55000000000000004">
      <c r="A182" t="s">
        <v>94</v>
      </c>
      <c r="B182" t="s">
        <v>110</v>
      </c>
      <c r="C182" t="s">
        <v>96</v>
      </c>
      <c r="D182" t="s">
        <v>111</v>
      </c>
      <c r="E182" t="s">
        <v>117</v>
      </c>
      <c r="F182" t="s">
        <v>141</v>
      </c>
      <c r="G182">
        <v>23264</v>
      </c>
      <c r="H182" t="s">
        <v>121</v>
      </c>
      <c r="I182">
        <v>2</v>
      </c>
      <c r="J182" t="s">
        <v>116</v>
      </c>
      <c r="K182" s="19">
        <v>0.54166666666666663</v>
      </c>
      <c r="L182" s="19">
        <v>0.8125</v>
      </c>
      <c r="M182">
        <v>6.5</v>
      </c>
      <c r="N182">
        <v>305.02</v>
      </c>
      <c r="O182">
        <v>64.5</v>
      </c>
      <c r="P182">
        <v>76</v>
      </c>
      <c r="Q182" t="s">
        <v>99</v>
      </c>
      <c r="R182">
        <v>30</v>
      </c>
      <c r="S182" s="19">
        <v>0.72916666666666663</v>
      </c>
      <c r="T182">
        <v>0</v>
      </c>
      <c r="U182" s="19">
        <v>0.54166666666666663</v>
      </c>
      <c r="V182" t="s">
        <v>99</v>
      </c>
      <c r="W182">
        <v>6</v>
      </c>
      <c r="X182" t="s">
        <v>102</v>
      </c>
      <c r="Y182" t="b">
        <v>0</v>
      </c>
    </row>
    <row r="183" spans="1:25" x14ac:dyDescent="0.55000000000000004">
      <c r="A183" t="s">
        <v>94</v>
      </c>
      <c r="B183" t="s">
        <v>110</v>
      </c>
      <c r="C183" t="s">
        <v>96</v>
      </c>
      <c r="D183" t="s">
        <v>111</v>
      </c>
      <c r="E183" t="s">
        <v>117</v>
      </c>
      <c r="F183" t="s">
        <v>141</v>
      </c>
      <c r="G183">
        <v>23453</v>
      </c>
      <c r="H183" t="s">
        <v>122</v>
      </c>
      <c r="I183">
        <v>2</v>
      </c>
      <c r="J183" t="s">
        <v>103</v>
      </c>
      <c r="K183" s="19">
        <v>0.29166666666666669</v>
      </c>
      <c r="L183" s="19">
        <v>0.5625</v>
      </c>
      <c r="M183">
        <v>6.5</v>
      </c>
      <c r="N183">
        <v>160.62</v>
      </c>
      <c r="O183">
        <v>18</v>
      </c>
      <c r="P183">
        <v>76</v>
      </c>
      <c r="Q183" t="s">
        <v>99</v>
      </c>
      <c r="R183">
        <v>30</v>
      </c>
      <c r="S183" s="19">
        <v>0.5</v>
      </c>
      <c r="T183">
        <v>0</v>
      </c>
      <c r="U183" s="19">
        <v>0</v>
      </c>
      <c r="V183" t="s">
        <v>99</v>
      </c>
      <c r="W183">
        <v>6</v>
      </c>
      <c r="X183" t="s">
        <v>102</v>
      </c>
      <c r="Y183" t="b">
        <v>0</v>
      </c>
    </row>
    <row r="184" spans="1:25" x14ac:dyDescent="0.55000000000000004">
      <c r="A184" t="s">
        <v>94</v>
      </c>
      <c r="B184" t="s">
        <v>110</v>
      </c>
      <c r="C184" t="s">
        <v>96</v>
      </c>
      <c r="D184" t="s">
        <v>111</v>
      </c>
      <c r="E184" t="s">
        <v>117</v>
      </c>
      <c r="F184" t="s">
        <v>141</v>
      </c>
      <c r="G184">
        <v>23981</v>
      </c>
      <c r="H184" t="s">
        <v>134</v>
      </c>
      <c r="I184">
        <v>1</v>
      </c>
      <c r="J184" t="s">
        <v>103</v>
      </c>
      <c r="K184" s="19">
        <v>0.29166666666666669</v>
      </c>
      <c r="L184" s="19">
        <v>0.5625</v>
      </c>
      <c r="M184">
        <v>6.5</v>
      </c>
      <c r="N184">
        <v>174.3</v>
      </c>
      <c r="O184">
        <v>54</v>
      </c>
      <c r="P184">
        <v>76</v>
      </c>
      <c r="Q184" t="s">
        <v>99</v>
      </c>
      <c r="R184">
        <v>30</v>
      </c>
      <c r="S184" s="19">
        <v>0.5</v>
      </c>
      <c r="T184">
        <v>0</v>
      </c>
      <c r="U184" s="19">
        <v>0.54166666666666663</v>
      </c>
      <c r="V184" t="s">
        <v>99</v>
      </c>
      <c r="W184">
        <v>6</v>
      </c>
      <c r="X184" t="s">
        <v>102</v>
      </c>
      <c r="Y184" t="b">
        <v>0</v>
      </c>
    </row>
    <row r="185" spans="1:25" x14ac:dyDescent="0.55000000000000004">
      <c r="A185" t="s">
        <v>94</v>
      </c>
      <c r="B185" t="s">
        <v>110</v>
      </c>
      <c r="C185" t="s">
        <v>96</v>
      </c>
      <c r="D185" t="s">
        <v>111</v>
      </c>
      <c r="E185" t="s">
        <v>117</v>
      </c>
      <c r="F185" t="s">
        <v>141</v>
      </c>
      <c r="G185">
        <v>24418</v>
      </c>
      <c r="H185" t="s">
        <v>140</v>
      </c>
      <c r="I185">
        <v>1</v>
      </c>
      <c r="J185" t="s">
        <v>107</v>
      </c>
      <c r="K185" s="19">
        <v>0.29166666666666669</v>
      </c>
      <c r="L185" s="19">
        <v>0.5625</v>
      </c>
      <c r="M185">
        <v>6.5</v>
      </c>
      <c r="N185">
        <v>160.62</v>
      </c>
      <c r="O185">
        <v>51</v>
      </c>
      <c r="P185">
        <v>76</v>
      </c>
      <c r="Q185" t="s">
        <v>99</v>
      </c>
      <c r="R185">
        <v>30</v>
      </c>
      <c r="S185" s="19">
        <v>0.5</v>
      </c>
      <c r="T185">
        <v>0</v>
      </c>
      <c r="U185" s="19">
        <v>0</v>
      </c>
      <c r="V185" t="s">
        <v>99</v>
      </c>
      <c r="W185">
        <v>6</v>
      </c>
      <c r="X185" t="s">
        <v>102</v>
      </c>
      <c r="Y185" t="b">
        <v>0</v>
      </c>
    </row>
    <row r="186" spans="1:25" x14ac:dyDescent="0.55000000000000004">
      <c r="A186" t="s">
        <v>94</v>
      </c>
      <c r="B186" t="s">
        <v>110</v>
      </c>
      <c r="C186" t="s">
        <v>96</v>
      </c>
      <c r="D186" t="s">
        <v>111</v>
      </c>
      <c r="E186" t="s">
        <v>117</v>
      </c>
      <c r="F186" t="s">
        <v>141</v>
      </c>
      <c r="G186">
        <v>24418</v>
      </c>
      <c r="H186" t="s">
        <v>140</v>
      </c>
      <c r="I186">
        <v>1</v>
      </c>
      <c r="J186" t="s">
        <v>101</v>
      </c>
      <c r="K186" s="19">
        <v>0.29166666666666669</v>
      </c>
      <c r="L186" s="19">
        <v>0.5625</v>
      </c>
      <c r="M186">
        <v>6.5</v>
      </c>
      <c r="N186">
        <v>160.62</v>
      </c>
      <c r="O186">
        <v>51</v>
      </c>
      <c r="P186">
        <v>76</v>
      </c>
      <c r="Q186" t="s">
        <v>99</v>
      </c>
      <c r="R186">
        <v>30</v>
      </c>
      <c r="S186" s="19">
        <v>0.5</v>
      </c>
      <c r="T186">
        <v>0</v>
      </c>
      <c r="U186" s="19">
        <v>0</v>
      </c>
      <c r="V186" t="s">
        <v>99</v>
      </c>
      <c r="W186">
        <v>6</v>
      </c>
      <c r="X186" t="s">
        <v>102</v>
      </c>
      <c r="Y186" t="b">
        <v>0</v>
      </c>
    </row>
    <row r="187" spans="1:25" x14ac:dyDescent="0.55000000000000004">
      <c r="A187" t="s">
        <v>94</v>
      </c>
      <c r="B187" t="s">
        <v>110</v>
      </c>
      <c r="C187" t="s">
        <v>96</v>
      </c>
      <c r="D187" t="s">
        <v>111</v>
      </c>
      <c r="E187" t="s">
        <v>117</v>
      </c>
      <c r="F187" t="s">
        <v>141</v>
      </c>
      <c r="G187">
        <v>24418</v>
      </c>
      <c r="H187" t="s">
        <v>140</v>
      </c>
      <c r="I187">
        <v>1</v>
      </c>
      <c r="J187" t="s">
        <v>104</v>
      </c>
      <c r="K187" s="19">
        <v>0.29166666666666669</v>
      </c>
      <c r="L187" s="19">
        <v>0.5625</v>
      </c>
      <c r="M187">
        <v>6.5</v>
      </c>
      <c r="N187">
        <v>160.62</v>
      </c>
      <c r="O187">
        <v>51</v>
      </c>
      <c r="P187">
        <v>76</v>
      </c>
      <c r="Q187" t="s">
        <v>99</v>
      </c>
      <c r="R187">
        <v>30</v>
      </c>
      <c r="S187" s="19">
        <v>0.5</v>
      </c>
      <c r="T187">
        <v>0</v>
      </c>
      <c r="U187" s="19">
        <v>0</v>
      </c>
      <c r="V187" t="s">
        <v>99</v>
      </c>
      <c r="W187">
        <v>6</v>
      </c>
      <c r="X187" t="s">
        <v>102</v>
      </c>
      <c r="Y187" t="b">
        <v>0</v>
      </c>
    </row>
    <row r="188" spans="1:25" x14ac:dyDescent="0.55000000000000004">
      <c r="A188" t="s">
        <v>94</v>
      </c>
      <c r="B188" t="s">
        <v>110</v>
      </c>
      <c r="C188" t="s">
        <v>96</v>
      </c>
      <c r="D188" t="s">
        <v>111</v>
      </c>
      <c r="E188" t="s">
        <v>117</v>
      </c>
      <c r="F188" t="s">
        <v>141</v>
      </c>
      <c r="G188">
        <v>24418</v>
      </c>
      <c r="H188" t="s">
        <v>140</v>
      </c>
      <c r="I188">
        <v>2</v>
      </c>
      <c r="J188" t="s">
        <v>107</v>
      </c>
      <c r="K188" s="19">
        <v>0.29166666666666669</v>
      </c>
      <c r="L188" s="19">
        <v>0.5625</v>
      </c>
      <c r="M188">
        <v>6.5</v>
      </c>
      <c r="N188">
        <v>160.62</v>
      </c>
      <c r="O188">
        <v>51</v>
      </c>
      <c r="P188">
        <v>76</v>
      </c>
      <c r="Q188" t="s">
        <v>99</v>
      </c>
      <c r="R188">
        <v>30</v>
      </c>
      <c r="S188" s="19">
        <v>0.5</v>
      </c>
      <c r="T188">
        <v>0</v>
      </c>
      <c r="U188" s="19">
        <v>0</v>
      </c>
      <c r="V188" t="s">
        <v>99</v>
      </c>
      <c r="W188">
        <v>6</v>
      </c>
      <c r="X188" t="s">
        <v>102</v>
      </c>
      <c r="Y188" t="b">
        <v>0</v>
      </c>
    </row>
    <row r="189" spans="1:25" x14ac:dyDescent="0.55000000000000004">
      <c r="A189" t="s">
        <v>94</v>
      </c>
      <c r="B189" t="s">
        <v>110</v>
      </c>
      <c r="C189" t="s">
        <v>96</v>
      </c>
      <c r="D189" t="s">
        <v>111</v>
      </c>
      <c r="E189" t="s">
        <v>117</v>
      </c>
      <c r="F189" t="s">
        <v>141</v>
      </c>
      <c r="G189">
        <v>25226</v>
      </c>
      <c r="H189" t="s">
        <v>132</v>
      </c>
      <c r="I189">
        <v>2</v>
      </c>
      <c r="J189" t="s">
        <v>115</v>
      </c>
      <c r="K189" s="19">
        <v>0.29166666666666669</v>
      </c>
      <c r="L189" s="19">
        <v>0.5625</v>
      </c>
      <c r="M189">
        <v>6.5</v>
      </c>
      <c r="N189">
        <v>261.45</v>
      </c>
      <c r="O189">
        <v>54</v>
      </c>
      <c r="P189">
        <v>76</v>
      </c>
      <c r="Q189" t="s">
        <v>99</v>
      </c>
      <c r="R189">
        <v>30</v>
      </c>
      <c r="S189" s="19">
        <v>0.5</v>
      </c>
      <c r="T189">
        <v>0</v>
      </c>
      <c r="U189" s="19">
        <v>0.54166666666666663</v>
      </c>
      <c r="V189" t="s">
        <v>99</v>
      </c>
      <c r="W189">
        <v>6</v>
      </c>
      <c r="X189" t="s">
        <v>102</v>
      </c>
      <c r="Y189" t="b">
        <v>0</v>
      </c>
    </row>
    <row r="190" spans="1:25" x14ac:dyDescent="0.55000000000000004">
      <c r="A190" t="s">
        <v>94</v>
      </c>
      <c r="B190" t="s">
        <v>110</v>
      </c>
      <c r="C190" t="s">
        <v>96</v>
      </c>
      <c r="D190" t="s">
        <v>111</v>
      </c>
      <c r="E190" t="s">
        <v>117</v>
      </c>
      <c r="F190" t="s">
        <v>141</v>
      </c>
      <c r="G190">
        <v>25226</v>
      </c>
      <c r="H190" t="s">
        <v>132</v>
      </c>
      <c r="I190">
        <v>2</v>
      </c>
      <c r="J190" t="s">
        <v>116</v>
      </c>
      <c r="K190" s="19">
        <v>0.29166666666666669</v>
      </c>
      <c r="L190" s="19">
        <v>0.5625</v>
      </c>
      <c r="M190">
        <v>6.5</v>
      </c>
      <c r="N190">
        <v>305.02</v>
      </c>
      <c r="O190">
        <v>54</v>
      </c>
      <c r="P190">
        <v>76</v>
      </c>
      <c r="Q190" t="s">
        <v>99</v>
      </c>
      <c r="R190">
        <v>30</v>
      </c>
      <c r="S190" s="19">
        <v>0.5</v>
      </c>
      <c r="T190">
        <v>0</v>
      </c>
      <c r="U190" s="19">
        <v>0.54166666666666663</v>
      </c>
      <c r="V190" t="s">
        <v>99</v>
      </c>
      <c r="W190">
        <v>6</v>
      </c>
      <c r="X190" t="s">
        <v>102</v>
      </c>
      <c r="Y190" t="b">
        <v>0</v>
      </c>
    </row>
    <row r="191" spans="1:25" x14ac:dyDescent="0.55000000000000004">
      <c r="A191" t="s">
        <v>94</v>
      </c>
      <c r="B191" t="s">
        <v>110</v>
      </c>
      <c r="C191" t="s">
        <v>96</v>
      </c>
      <c r="D191" t="s">
        <v>111</v>
      </c>
      <c r="E191" t="s">
        <v>117</v>
      </c>
      <c r="F191" t="s">
        <v>141</v>
      </c>
      <c r="G191">
        <v>25675</v>
      </c>
      <c r="H191" t="s">
        <v>126</v>
      </c>
      <c r="I191">
        <v>1</v>
      </c>
      <c r="J191" t="s">
        <v>115</v>
      </c>
      <c r="K191" s="19">
        <v>0.29166666666666669</v>
      </c>
      <c r="L191" s="19">
        <v>0.5625</v>
      </c>
      <c r="M191">
        <v>6.5</v>
      </c>
      <c r="N191">
        <v>0</v>
      </c>
      <c r="O191">
        <v>30</v>
      </c>
      <c r="P191">
        <v>76</v>
      </c>
      <c r="Q191" t="s">
        <v>99</v>
      </c>
      <c r="R191">
        <v>30</v>
      </c>
      <c r="S191" s="19">
        <v>0.5</v>
      </c>
      <c r="T191">
        <v>0</v>
      </c>
      <c r="U191" s="19">
        <v>0.54166666666666663</v>
      </c>
      <c r="V191" t="s">
        <v>99</v>
      </c>
      <c r="W191">
        <v>6</v>
      </c>
      <c r="X191" t="s">
        <v>102</v>
      </c>
      <c r="Y191" t="b">
        <v>0</v>
      </c>
    </row>
    <row r="192" spans="1:25" x14ac:dyDescent="0.55000000000000004">
      <c r="A192" t="s">
        <v>94</v>
      </c>
      <c r="B192" t="s">
        <v>110</v>
      </c>
      <c r="C192" t="s">
        <v>96</v>
      </c>
      <c r="D192" t="s">
        <v>111</v>
      </c>
      <c r="E192" t="s">
        <v>117</v>
      </c>
      <c r="F192" t="s">
        <v>141</v>
      </c>
      <c r="G192">
        <v>25675</v>
      </c>
      <c r="H192" t="s">
        <v>126</v>
      </c>
      <c r="I192">
        <v>1</v>
      </c>
      <c r="J192" t="s">
        <v>116</v>
      </c>
      <c r="K192" s="19">
        <v>0.29166666666666669</v>
      </c>
      <c r="L192" s="19">
        <v>0.5625</v>
      </c>
      <c r="M192">
        <v>6.5</v>
      </c>
      <c r="N192">
        <v>0</v>
      </c>
      <c r="O192">
        <v>30</v>
      </c>
      <c r="P192">
        <v>76</v>
      </c>
      <c r="Q192" t="s">
        <v>99</v>
      </c>
      <c r="R192">
        <v>30</v>
      </c>
      <c r="S192" s="19">
        <v>0.5</v>
      </c>
      <c r="T192">
        <v>0</v>
      </c>
      <c r="U192" s="19">
        <v>0.54166666666666663</v>
      </c>
      <c r="V192" t="s">
        <v>99</v>
      </c>
      <c r="W192">
        <v>6</v>
      </c>
      <c r="X192" t="s">
        <v>102</v>
      </c>
      <c r="Y192" t="b">
        <v>0</v>
      </c>
    </row>
    <row r="193" spans="1:25" x14ac:dyDescent="0.55000000000000004">
      <c r="A193" t="s">
        <v>94</v>
      </c>
      <c r="B193" t="s">
        <v>110</v>
      </c>
      <c r="C193" t="s">
        <v>96</v>
      </c>
      <c r="D193" t="s">
        <v>111</v>
      </c>
      <c r="E193" t="s">
        <v>117</v>
      </c>
      <c r="F193" t="s">
        <v>141</v>
      </c>
      <c r="G193">
        <v>25675</v>
      </c>
      <c r="H193" t="s">
        <v>126</v>
      </c>
      <c r="I193">
        <v>2</v>
      </c>
      <c r="J193" t="s">
        <v>101</v>
      </c>
      <c r="K193" s="19">
        <v>0.29166666666666669</v>
      </c>
      <c r="L193" s="19">
        <v>0.5625</v>
      </c>
      <c r="M193">
        <v>6.5</v>
      </c>
      <c r="N193">
        <v>0</v>
      </c>
      <c r="O193">
        <v>30</v>
      </c>
      <c r="P193">
        <v>76</v>
      </c>
      <c r="Q193" t="s">
        <v>99</v>
      </c>
      <c r="R193">
        <v>30</v>
      </c>
      <c r="S193" s="19">
        <v>0.5</v>
      </c>
      <c r="T193">
        <v>0</v>
      </c>
      <c r="U193" s="19">
        <v>0.54166666666666663</v>
      </c>
      <c r="V193" t="s">
        <v>99</v>
      </c>
      <c r="W193">
        <v>6</v>
      </c>
      <c r="X193" t="s">
        <v>102</v>
      </c>
      <c r="Y193" t="b">
        <v>0</v>
      </c>
    </row>
    <row r="194" spans="1:25" x14ac:dyDescent="0.55000000000000004">
      <c r="A194" t="s">
        <v>94</v>
      </c>
      <c r="B194" t="s">
        <v>110</v>
      </c>
      <c r="C194" t="s">
        <v>96</v>
      </c>
      <c r="D194" t="s">
        <v>111</v>
      </c>
      <c r="E194" t="s">
        <v>117</v>
      </c>
      <c r="F194" t="s">
        <v>141</v>
      </c>
      <c r="G194">
        <v>25858</v>
      </c>
      <c r="H194" t="s">
        <v>133</v>
      </c>
      <c r="I194">
        <v>2</v>
      </c>
      <c r="J194" t="s">
        <v>105</v>
      </c>
      <c r="K194" s="19">
        <v>0.29166666666666669</v>
      </c>
      <c r="L194" s="19">
        <v>0.5625</v>
      </c>
      <c r="M194">
        <v>6.5</v>
      </c>
      <c r="N194">
        <v>176.34</v>
      </c>
      <c r="O194">
        <v>54</v>
      </c>
      <c r="P194">
        <v>76</v>
      </c>
      <c r="Q194" t="s">
        <v>99</v>
      </c>
      <c r="R194">
        <v>30</v>
      </c>
      <c r="S194" s="19">
        <v>0.5</v>
      </c>
      <c r="T194">
        <v>0</v>
      </c>
      <c r="U194" s="19">
        <v>0.54166666666666663</v>
      </c>
      <c r="V194" t="s">
        <v>99</v>
      </c>
      <c r="W194">
        <v>6</v>
      </c>
      <c r="X194" t="s">
        <v>102</v>
      </c>
      <c r="Y194" t="b">
        <v>0</v>
      </c>
    </row>
    <row r="195" spans="1:25" x14ac:dyDescent="0.55000000000000004">
      <c r="A195" t="s">
        <v>94</v>
      </c>
      <c r="B195" t="s">
        <v>110</v>
      </c>
      <c r="C195" t="s">
        <v>96</v>
      </c>
      <c r="D195" t="s">
        <v>111</v>
      </c>
      <c r="E195" t="s">
        <v>117</v>
      </c>
      <c r="F195" t="s">
        <v>141</v>
      </c>
      <c r="G195">
        <v>26106</v>
      </c>
      <c r="H195" t="s">
        <v>137</v>
      </c>
      <c r="I195">
        <v>2</v>
      </c>
      <c r="J195" t="s">
        <v>104</v>
      </c>
      <c r="K195" s="19">
        <v>0.54166666666666663</v>
      </c>
      <c r="L195" s="19">
        <v>0.8125</v>
      </c>
      <c r="M195">
        <v>6.5</v>
      </c>
      <c r="N195">
        <v>196.09</v>
      </c>
      <c r="O195">
        <v>48</v>
      </c>
      <c r="P195">
        <v>76</v>
      </c>
      <c r="Q195" t="s">
        <v>99</v>
      </c>
      <c r="R195">
        <v>30</v>
      </c>
      <c r="S195" s="19">
        <v>0.70833333333333337</v>
      </c>
      <c r="T195">
        <v>0</v>
      </c>
      <c r="U195" s="19">
        <v>0.54166666666666663</v>
      </c>
      <c r="V195" t="s">
        <v>99</v>
      </c>
      <c r="W195">
        <v>6</v>
      </c>
      <c r="X195" t="s">
        <v>102</v>
      </c>
      <c r="Y195" t="b">
        <v>0</v>
      </c>
    </row>
    <row r="196" spans="1:25" x14ac:dyDescent="0.55000000000000004">
      <c r="A196" t="s">
        <v>94</v>
      </c>
      <c r="B196" t="s">
        <v>110</v>
      </c>
      <c r="C196" t="s">
        <v>96</v>
      </c>
      <c r="D196" t="s">
        <v>111</v>
      </c>
      <c r="E196" t="s">
        <v>117</v>
      </c>
      <c r="F196" t="s">
        <v>141</v>
      </c>
      <c r="G196">
        <v>26127</v>
      </c>
      <c r="H196" t="s">
        <v>138</v>
      </c>
      <c r="I196">
        <v>1</v>
      </c>
      <c r="J196" t="s">
        <v>105</v>
      </c>
      <c r="K196" s="19">
        <v>0.29166666666666669</v>
      </c>
      <c r="L196" s="19">
        <v>0.5625</v>
      </c>
      <c r="M196">
        <v>6.5</v>
      </c>
      <c r="N196">
        <v>179.88</v>
      </c>
      <c r="O196">
        <v>42</v>
      </c>
      <c r="P196">
        <v>76</v>
      </c>
      <c r="Q196" t="s">
        <v>99</v>
      </c>
      <c r="R196">
        <v>30</v>
      </c>
      <c r="S196" s="19">
        <v>0.5</v>
      </c>
      <c r="T196">
        <v>0</v>
      </c>
      <c r="U196" s="19">
        <v>0</v>
      </c>
      <c r="V196" t="s">
        <v>99</v>
      </c>
      <c r="W196">
        <v>6</v>
      </c>
      <c r="X196" t="s">
        <v>102</v>
      </c>
      <c r="Y196" t="b">
        <v>0</v>
      </c>
    </row>
    <row r="197" spans="1:25" x14ac:dyDescent="0.55000000000000004">
      <c r="A197" t="s">
        <v>94</v>
      </c>
      <c r="B197" t="s">
        <v>110</v>
      </c>
      <c r="C197" t="s">
        <v>96</v>
      </c>
      <c r="D197" t="s">
        <v>111</v>
      </c>
      <c r="E197" t="s">
        <v>143</v>
      </c>
      <c r="F197" t="s">
        <v>113</v>
      </c>
      <c r="G197">
        <v>23454</v>
      </c>
      <c r="H197" t="s">
        <v>144</v>
      </c>
      <c r="I197">
        <v>1</v>
      </c>
      <c r="J197" t="s">
        <v>107</v>
      </c>
      <c r="K197" s="19">
        <v>0.47916666666666669</v>
      </c>
      <c r="L197" s="19">
        <v>0.8125</v>
      </c>
      <c r="M197">
        <v>8</v>
      </c>
      <c r="N197">
        <v>227.93</v>
      </c>
      <c r="O197">
        <v>76</v>
      </c>
      <c r="P197">
        <v>76</v>
      </c>
      <c r="Q197" t="s">
        <v>99</v>
      </c>
      <c r="R197">
        <v>30</v>
      </c>
      <c r="S197" s="19">
        <v>0.54166666666666663</v>
      </c>
      <c r="T197">
        <v>0</v>
      </c>
      <c r="U197" s="19">
        <v>0.54166666666666663</v>
      </c>
      <c r="V197" t="s">
        <v>99</v>
      </c>
      <c r="W197">
        <v>7.5</v>
      </c>
      <c r="X197" t="s">
        <v>102</v>
      </c>
      <c r="Y197" t="b">
        <v>0</v>
      </c>
    </row>
    <row r="198" spans="1:25" x14ac:dyDescent="0.55000000000000004">
      <c r="A198" t="s">
        <v>94</v>
      </c>
      <c r="B198" t="s">
        <v>110</v>
      </c>
      <c r="C198" t="s">
        <v>96</v>
      </c>
      <c r="D198" t="s">
        <v>111</v>
      </c>
      <c r="E198" t="s">
        <v>143</v>
      </c>
      <c r="F198" t="s">
        <v>113</v>
      </c>
      <c r="G198">
        <v>23454</v>
      </c>
      <c r="H198" t="s">
        <v>144</v>
      </c>
      <c r="I198">
        <v>1</v>
      </c>
      <c r="J198" t="s">
        <v>101</v>
      </c>
      <c r="K198" s="19">
        <v>0.45833333333333331</v>
      </c>
      <c r="L198" s="19">
        <v>0.8125</v>
      </c>
      <c r="M198">
        <v>8.5</v>
      </c>
      <c r="N198">
        <v>243.12</v>
      </c>
      <c r="O198">
        <v>76</v>
      </c>
      <c r="P198">
        <v>76</v>
      </c>
      <c r="Q198" t="s">
        <v>99</v>
      </c>
      <c r="R198">
        <v>30</v>
      </c>
      <c r="S198" s="19">
        <v>0.54166666666666663</v>
      </c>
      <c r="T198">
        <v>0</v>
      </c>
      <c r="U198" s="19">
        <v>0.54166666666666663</v>
      </c>
      <c r="V198" t="s">
        <v>99</v>
      </c>
      <c r="W198">
        <v>8</v>
      </c>
      <c r="X198" t="s">
        <v>102</v>
      </c>
      <c r="Y198" t="b">
        <v>0</v>
      </c>
    </row>
    <row r="199" spans="1:25" x14ac:dyDescent="0.55000000000000004">
      <c r="A199" t="s">
        <v>94</v>
      </c>
      <c r="B199" t="s">
        <v>110</v>
      </c>
      <c r="C199" t="s">
        <v>96</v>
      </c>
      <c r="D199" t="s">
        <v>111</v>
      </c>
      <c r="E199" t="s">
        <v>143</v>
      </c>
      <c r="F199" t="s">
        <v>113</v>
      </c>
      <c r="G199">
        <v>23454</v>
      </c>
      <c r="H199" t="s">
        <v>144</v>
      </c>
      <c r="I199">
        <v>1</v>
      </c>
      <c r="J199" t="s">
        <v>115</v>
      </c>
      <c r="K199" s="19">
        <v>0.47916666666666669</v>
      </c>
      <c r="L199" s="19">
        <v>0.8125</v>
      </c>
      <c r="M199">
        <v>8</v>
      </c>
      <c r="N199">
        <v>341.89</v>
      </c>
      <c r="O199">
        <v>76</v>
      </c>
      <c r="P199">
        <v>76</v>
      </c>
      <c r="Q199" t="s">
        <v>99</v>
      </c>
      <c r="R199">
        <v>30</v>
      </c>
      <c r="S199" s="19">
        <v>0.54166666666666663</v>
      </c>
      <c r="T199">
        <v>0</v>
      </c>
      <c r="U199" s="19">
        <v>0.54166666666666663</v>
      </c>
      <c r="V199" t="s">
        <v>99</v>
      </c>
      <c r="W199">
        <v>7.5</v>
      </c>
      <c r="X199" t="s">
        <v>102</v>
      </c>
      <c r="Y199" t="b">
        <v>0</v>
      </c>
    </row>
    <row r="200" spans="1:25" x14ac:dyDescent="0.55000000000000004">
      <c r="A200" t="s">
        <v>94</v>
      </c>
      <c r="B200" t="s">
        <v>110</v>
      </c>
      <c r="C200" t="s">
        <v>96</v>
      </c>
      <c r="D200" t="s">
        <v>111</v>
      </c>
      <c r="E200" t="s">
        <v>143</v>
      </c>
      <c r="F200" t="s">
        <v>113</v>
      </c>
      <c r="G200">
        <v>23454</v>
      </c>
      <c r="H200" t="s">
        <v>144</v>
      </c>
      <c r="I200">
        <v>1</v>
      </c>
      <c r="J200" t="s">
        <v>116</v>
      </c>
      <c r="K200" s="19">
        <v>0.47916666666666669</v>
      </c>
      <c r="L200" s="19">
        <v>0.8125</v>
      </c>
      <c r="M200">
        <v>8</v>
      </c>
      <c r="N200">
        <v>398.87</v>
      </c>
      <c r="O200">
        <v>76</v>
      </c>
      <c r="P200">
        <v>76</v>
      </c>
      <c r="Q200" t="s">
        <v>99</v>
      </c>
      <c r="R200">
        <v>30</v>
      </c>
      <c r="S200" s="19">
        <v>0.54166666666666663</v>
      </c>
      <c r="T200">
        <v>0</v>
      </c>
      <c r="U200" s="19">
        <v>0.54166666666666663</v>
      </c>
      <c r="V200" t="s">
        <v>99</v>
      </c>
      <c r="W200">
        <v>7.5</v>
      </c>
      <c r="X200" t="s">
        <v>102</v>
      </c>
      <c r="Y200" t="b">
        <v>0</v>
      </c>
    </row>
    <row r="201" spans="1:25" x14ac:dyDescent="0.55000000000000004">
      <c r="A201" t="s">
        <v>94</v>
      </c>
      <c r="B201" t="s">
        <v>110</v>
      </c>
      <c r="C201" t="s">
        <v>96</v>
      </c>
      <c r="D201" t="s">
        <v>111</v>
      </c>
      <c r="E201" t="s">
        <v>143</v>
      </c>
      <c r="F201" t="s">
        <v>113</v>
      </c>
      <c r="G201">
        <v>23454</v>
      </c>
      <c r="H201" t="s">
        <v>144</v>
      </c>
      <c r="I201">
        <v>1</v>
      </c>
      <c r="J201" t="s">
        <v>104</v>
      </c>
      <c r="K201" s="19">
        <v>0.47916666666666669</v>
      </c>
      <c r="L201" s="19">
        <v>0.8125</v>
      </c>
      <c r="M201">
        <v>8</v>
      </c>
      <c r="N201">
        <v>227.93</v>
      </c>
      <c r="O201">
        <v>76</v>
      </c>
      <c r="P201">
        <v>76</v>
      </c>
      <c r="Q201" t="s">
        <v>99</v>
      </c>
      <c r="R201">
        <v>30</v>
      </c>
      <c r="S201" s="19">
        <v>0.54166666666666663</v>
      </c>
      <c r="T201">
        <v>0</v>
      </c>
      <c r="U201" s="19">
        <v>0.54166666666666663</v>
      </c>
      <c r="V201" t="s">
        <v>99</v>
      </c>
      <c r="W201">
        <v>7.5</v>
      </c>
      <c r="X201" t="s">
        <v>102</v>
      </c>
      <c r="Y201" t="b">
        <v>0</v>
      </c>
    </row>
    <row r="202" spans="1:25" x14ac:dyDescent="0.55000000000000004">
      <c r="A202" t="s">
        <v>94</v>
      </c>
      <c r="B202" t="s">
        <v>110</v>
      </c>
      <c r="C202" t="s">
        <v>96</v>
      </c>
      <c r="D202" t="s">
        <v>111</v>
      </c>
      <c r="E202" t="s">
        <v>143</v>
      </c>
      <c r="F202" t="s">
        <v>113</v>
      </c>
      <c r="G202">
        <v>23454</v>
      </c>
      <c r="H202" t="s">
        <v>144</v>
      </c>
      <c r="I202">
        <v>2</v>
      </c>
      <c r="J202" t="s">
        <v>107</v>
      </c>
      <c r="K202" s="19">
        <v>0.47916666666666669</v>
      </c>
      <c r="L202" s="19">
        <v>0.8125</v>
      </c>
      <c r="M202">
        <v>8</v>
      </c>
      <c r="N202">
        <v>227.93</v>
      </c>
      <c r="O202">
        <v>76</v>
      </c>
      <c r="P202">
        <v>76</v>
      </c>
      <c r="Q202" t="s">
        <v>99</v>
      </c>
      <c r="R202">
        <v>30</v>
      </c>
      <c r="S202" s="19">
        <v>0.54166666666666663</v>
      </c>
      <c r="T202">
        <v>0</v>
      </c>
      <c r="U202" s="19">
        <v>0.54166666666666663</v>
      </c>
      <c r="V202" t="s">
        <v>99</v>
      </c>
      <c r="W202">
        <v>7.5</v>
      </c>
      <c r="X202" t="s">
        <v>102</v>
      </c>
      <c r="Y202" t="b">
        <v>0</v>
      </c>
    </row>
    <row r="203" spans="1:25" x14ac:dyDescent="0.55000000000000004">
      <c r="A203" t="s">
        <v>94</v>
      </c>
      <c r="B203" t="s">
        <v>110</v>
      </c>
      <c r="C203" t="s">
        <v>96</v>
      </c>
      <c r="D203" t="s">
        <v>111</v>
      </c>
      <c r="E203" t="s">
        <v>143</v>
      </c>
      <c r="F203" t="s">
        <v>113</v>
      </c>
      <c r="G203">
        <v>23454</v>
      </c>
      <c r="H203" t="s">
        <v>144</v>
      </c>
      <c r="I203">
        <v>2</v>
      </c>
      <c r="J203" t="s">
        <v>101</v>
      </c>
      <c r="K203" s="19">
        <v>0.45833333333333331</v>
      </c>
      <c r="L203" s="19">
        <v>0.8125</v>
      </c>
      <c r="M203">
        <v>8.5</v>
      </c>
      <c r="N203">
        <v>243.12</v>
      </c>
      <c r="O203">
        <v>76</v>
      </c>
      <c r="P203">
        <v>76</v>
      </c>
      <c r="Q203" t="s">
        <v>99</v>
      </c>
      <c r="R203">
        <v>30</v>
      </c>
      <c r="S203" s="19">
        <v>0.54166666666666663</v>
      </c>
      <c r="T203">
        <v>0</v>
      </c>
      <c r="U203" s="19">
        <v>0.54166666666666663</v>
      </c>
      <c r="V203" t="s">
        <v>99</v>
      </c>
      <c r="W203">
        <v>8</v>
      </c>
      <c r="X203" t="s">
        <v>102</v>
      </c>
      <c r="Y203" t="b">
        <v>0</v>
      </c>
    </row>
    <row r="204" spans="1:25" x14ac:dyDescent="0.55000000000000004">
      <c r="A204" t="s">
        <v>94</v>
      </c>
      <c r="B204" t="s">
        <v>110</v>
      </c>
      <c r="C204" t="s">
        <v>96</v>
      </c>
      <c r="D204" t="s">
        <v>111</v>
      </c>
      <c r="E204" t="s">
        <v>143</v>
      </c>
      <c r="F204" t="s">
        <v>113</v>
      </c>
      <c r="G204">
        <v>23454</v>
      </c>
      <c r="H204" t="s">
        <v>144</v>
      </c>
      <c r="I204">
        <v>2</v>
      </c>
      <c r="J204" t="s">
        <v>115</v>
      </c>
      <c r="K204" s="19">
        <v>0.47916666666666669</v>
      </c>
      <c r="L204" s="19">
        <v>0.8125</v>
      </c>
      <c r="M204">
        <v>8</v>
      </c>
      <c r="N204">
        <v>341.89</v>
      </c>
      <c r="O204">
        <v>76</v>
      </c>
      <c r="P204">
        <v>76</v>
      </c>
      <c r="Q204" t="s">
        <v>99</v>
      </c>
      <c r="R204">
        <v>30</v>
      </c>
      <c r="S204" s="19">
        <v>0.54166666666666663</v>
      </c>
      <c r="T204">
        <v>0</v>
      </c>
      <c r="U204" s="19">
        <v>0.54166666666666663</v>
      </c>
      <c r="V204" t="s">
        <v>99</v>
      </c>
      <c r="W204">
        <v>7.5</v>
      </c>
      <c r="X204" t="s">
        <v>102</v>
      </c>
      <c r="Y204" t="b">
        <v>0</v>
      </c>
    </row>
    <row r="205" spans="1:25" x14ac:dyDescent="0.55000000000000004">
      <c r="A205" t="s">
        <v>94</v>
      </c>
      <c r="B205" t="s">
        <v>110</v>
      </c>
      <c r="C205" t="s">
        <v>96</v>
      </c>
      <c r="D205" t="s">
        <v>111</v>
      </c>
      <c r="E205" t="s">
        <v>143</v>
      </c>
      <c r="F205" t="s">
        <v>113</v>
      </c>
      <c r="G205">
        <v>23454</v>
      </c>
      <c r="H205" t="s">
        <v>144</v>
      </c>
      <c r="I205">
        <v>2</v>
      </c>
      <c r="J205" t="s">
        <v>116</v>
      </c>
      <c r="K205" s="19">
        <v>0.47916666666666669</v>
      </c>
      <c r="L205" s="19">
        <v>0.8125</v>
      </c>
      <c r="M205">
        <v>8</v>
      </c>
      <c r="N205">
        <v>398.87</v>
      </c>
      <c r="O205">
        <v>76</v>
      </c>
      <c r="P205">
        <v>76</v>
      </c>
      <c r="Q205" t="s">
        <v>99</v>
      </c>
      <c r="R205">
        <v>30</v>
      </c>
      <c r="S205" s="19">
        <v>0.54166666666666663</v>
      </c>
      <c r="T205">
        <v>0</v>
      </c>
      <c r="U205" s="19">
        <v>0.54166666666666663</v>
      </c>
      <c r="V205" t="s">
        <v>99</v>
      </c>
      <c r="W205">
        <v>7.5</v>
      </c>
      <c r="X205" t="s">
        <v>102</v>
      </c>
      <c r="Y205" t="b">
        <v>0</v>
      </c>
    </row>
    <row r="206" spans="1:25" x14ac:dyDescent="0.55000000000000004">
      <c r="A206" t="s">
        <v>94</v>
      </c>
      <c r="B206" t="s">
        <v>110</v>
      </c>
      <c r="C206" t="s">
        <v>96</v>
      </c>
      <c r="D206" t="s">
        <v>111</v>
      </c>
      <c r="E206" t="s">
        <v>143</v>
      </c>
      <c r="F206" t="s">
        <v>113</v>
      </c>
      <c r="G206">
        <v>23454</v>
      </c>
      <c r="H206" t="s">
        <v>144</v>
      </c>
      <c r="I206">
        <v>2</v>
      </c>
      <c r="J206" t="s">
        <v>104</v>
      </c>
      <c r="K206" s="19">
        <v>0.47916666666666669</v>
      </c>
      <c r="L206" s="19">
        <v>0.8125</v>
      </c>
      <c r="M206">
        <v>8</v>
      </c>
      <c r="N206">
        <v>227.93</v>
      </c>
      <c r="O206">
        <v>76</v>
      </c>
      <c r="P206">
        <v>76</v>
      </c>
      <c r="Q206" t="s">
        <v>99</v>
      </c>
      <c r="R206">
        <v>30</v>
      </c>
      <c r="S206" s="19">
        <v>0.54166666666666663</v>
      </c>
      <c r="T206">
        <v>0</v>
      </c>
      <c r="U206" s="19">
        <v>0.54166666666666663</v>
      </c>
      <c r="V206" t="s">
        <v>99</v>
      </c>
      <c r="W206">
        <v>7.5</v>
      </c>
      <c r="X206" t="s">
        <v>102</v>
      </c>
      <c r="Y206" t="b">
        <v>0</v>
      </c>
    </row>
    <row r="207" spans="1:25" x14ac:dyDescent="0.55000000000000004">
      <c r="A207" t="s">
        <v>94</v>
      </c>
      <c r="B207" t="s">
        <v>110</v>
      </c>
      <c r="C207" t="s">
        <v>96</v>
      </c>
      <c r="D207" t="s">
        <v>111</v>
      </c>
      <c r="E207" t="s">
        <v>145</v>
      </c>
      <c r="F207" t="s">
        <v>99</v>
      </c>
      <c r="G207">
        <v>19114</v>
      </c>
      <c r="H207" t="s">
        <v>146</v>
      </c>
      <c r="I207">
        <v>1</v>
      </c>
      <c r="J207" t="s">
        <v>107</v>
      </c>
      <c r="K207" s="19">
        <v>0.25</v>
      </c>
      <c r="L207" s="19">
        <v>0.58333333333333337</v>
      </c>
      <c r="M207">
        <v>8</v>
      </c>
      <c r="N207">
        <v>0</v>
      </c>
      <c r="O207">
        <v>76</v>
      </c>
      <c r="P207">
        <v>76</v>
      </c>
      <c r="Q207" t="s">
        <v>99</v>
      </c>
      <c r="R207">
        <v>30</v>
      </c>
      <c r="S207" s="19">
        <v>0.45833333333333331</v>
      </c>
      <c r="T207">
        <v>0</v>
      </c>
      <c r="U207" s="19">
        <v>0.54166666666666663</v>
      </c>
      <c r="V207" t="s">
        <v>99</v>
      </c>
      <c r="W207">
        <v>7.5</v>
      </c>
      <c r="X207" t="s">
        <v>102</v>
      </c>
      <c r="Y207" t="b">
        <v>0</v>
      </c>
    </row>
    <row r="208" spans="1:25" x14ac:dyDescent="0.55000000000000004">
      <c r="A208" t="s">
        <v>94</v>
      </c>
      <c r="B208" t="s">
        <v>110</v>
      </c>
      <c r="C208" t="s">
        <v>96</v>
      </c>
      <c r="D208" t="s">
        <v>111</v>
      </c>
      <c r="E208" t="s">
        <v>145</v>
      </c>
      <c r="F208" t="s">
        <v>99</v>
      </c>
      <c r="G208">
        <v>19114</v>
      </c>
      <c r="H208" t="s">
        <v>146</v>
      </c>
      <c r="I208">
        <v>1</v>
      </c>
      <c r="J208" t="s">
        <v>101</v>
      </c>
      <c r="K208" s="19">
        <v>0.25</v>
      </c>
      <c r="L208" s="19">
        <v>0.60416666666666663</v>
      </c>
      <c r="M208">
        <v>8.5</v>
      </c>
      <c r="N208">
        <v>0</v>
      </c>
      <c r="O208">
        <v>76</v>
      </c>
      <c r="P208">
        <v>76</v>
      </c>
      <c r="Q208" t="s">
        <v>99</v>
      </c>
      <c r="R208">
        <v>30</v>
      </c>
      <c r="S208" s="19">
        <v>0.45833333333333331</v>
      </c>
      <c r="T208">
        <v>0</v>
      </c>
      <c r="U208" s="19">
        <v>0.54166666666666663</v>
      </c>
      <c r="V208" t="s">
        <v>99</v>
      </c>
      <c r="W208">
        <v>8</v>
      </c>
      <c r="X208" t="s">
        <v>102</v>
      </c>
      <c r="Y208" t="b">
        <v>0</v>
      </c>
    </row>
    <row r="209" spans="1:25" x14ac:dyDescent="0.55000000000000004">
      <c r="A209" t="s">
        <v>94</v>
      </c>
      <c r="B209" t="s">
        <v>110</v>
      </c>
      <c r="C209" t="s">
        <v>96</v>
      </c>
      <c r="D209" t="s">
        <v>111</v>
      </c>
      <c r="E209" t="s">
        <v>145</v>
      </c>
      <c r="F209" t="s">
        <v>99</v>
      </c>
      <c r="G209">
        <v>19114</v>
      </c>
      <c r="H209" t="s">
        <v>146</v>
      </c>
      <c r="I209">
        <v>1</v>
      </c>
      <c r="J209" t="s">
        <v>103</v>
      </c>
      <c r="K209" s="19">
        <v>0.25</v>
      </c>
      <c r="L209" s="19">
        <v>0.58333333333333337</v>
      </c>
      <c r="M209">
        <v>8</v>
      </c>
      <c r="N209">
        <v>0</v>
      </c>
      <c r="O209">
        <v>76</v>
      </c>
      <c r="P209">
        <v>76</v>
      </c>
      <c r="Q209" t="s">
        <v>99</v>
      </c>
      <c r="R209">
        <v>30</v>
      </c>
      <c r="S209" s="19">
        <v>0.45833333333333331</v>
      </c>
      <c r="T209">
        <v>0</v>
      </c>
      <c r="U209" s="19">
        <v>0.54166666666666663</v>
      </c>
      <c r="V209" t="s">
        <v>99</v>
      </c>
      <c r="W209">
        <v>7.5</v>
      </c>
      <c r="X209" t="s">
        <v>102</v>
      </c>
      <c r="Y209" t="b">
        <v>0</v>
      </c>
    </row>
    <row r="210" spans="1:25" x14ac:dyDescent="0.55000000000000004">
      <c r="A210" t="s">
        <v>94</v>
      </c>
      <c r="B210" t="s">
        <v>110</v>
      </c>
      <c r="C210" t="s">
        <v>96</v>
      </c>
      <c r="D210" t="s">
        <v>111</v>
      </c>
      <c r="E210" t="s">
        <v>145</v>
      </c>
      <c r="F210" t="s">
        <v>99</v>
      </c>
      <c r="G210">
        <v>19114</v>
      </c>
      <c r="H210" t="s">
        <v>146</v>
      </c>
      <c r="I210">
        <v>1</v>
      </c>
      <c r="J210" t="s">
        <v>104</v>
      </c>
      <c r="K210" s="19">
        <v>0.25</v>
      </c>
      <c r="L210" s="19">
        <v>0.58333333333333337</v>
      </c>
      <c r="M210">
        <v>8</v>
      </c>
      <c r="N210">
        <v>0</v>
      </c>
      <c r="O210">
        <v>76</v>
      </c>
      <c r="P210">
        <v>76</v>
      </c>
      <c r="Q210" t="s">
        <v>99</v>
      </c>
      <c r="R210">
        <v>30</v>
      </c>
      <c r="S210" s="19">
        <v>0.45833333333333331</v>
      </c>
      <c r="T210">
        <v>0</v>
      </c>
      <c r="U210" s="19">
        <v>0.54166666666666663</v>
      </c>
      <c r="V210" t="s">
        <v>99</v>
      </c>
      <c r="W210">
        <v>7.5</v>
      </c>
      <c r="X210" t="s">
        <v>102</v>
      </c>
      <c r="Y210" t="b">
        <v>0</v>
      </c>
    </row>
    <row r="211" spans="1:25" x14ac:dyDescent="0.55000000000000004">
      <c r="A211" t="s">
        <v>94</v>
      </c>
      <c r="B211" t="s">
        <v>110</v>
      </c>
      <c r="C211" t="s">
        <v>96</v>
      </c>
      <c r="D211" t="s">
        <v>111</v>
      </c>
      <c r="E211" t="s">
        <v>145</v>
      </c>
      <c r="F211" t="s">
        <v>99</v>
      </c>
      <c r="G211">
        <v>19114</v>
      </c>
      <c r="H211" t="s">
        <v>146</v>
      </c>
      <c r="I211">
        <v>1</v>
      </c>
      <c r="J211" t="s">
        <v>105</v>
      </c>
      <c r="K211" s="19">
        <v>0.25</v>
      </c>
      <c r="L211" s="19">
        <v>0.58333333333333337</v>
      </c>
      <c r="M211">
        <v>8</v>
      </c>
      <c r="N211">
        <v>0</v>
      </c>
      <c r="O211">
        <v>76</v>
      </c>
      <c r="P211">
        <v>76</v>
      </c>
      <c r="Q211" t="s">
        <v>99</v>
      </c>
      <c r="R211">
        <v>30</v>
      </c>
      <c r="S211" s="19">
        <v>0.45833333333333331</v>
      </c>
      <c r="T211">
        <v>0</v>
      </c>
      <c r="U211" s="19">
        <v>0.54166666666666663</v>
      </c>
      <c r="V211" t="s">
        <v>99</v>
      </c>
      <c r="W211">
        <v>7.5</v>
      </c>
      <c r="X211" t="s">
        <v>102</v>
      </c>
      <c r="Y211" t="b">
        <v>0</v>
      </c>
    </row>
    <row r="212" spans="1:25" x14ac:dyDescent="0.55000000000000004">
      <c r="A212" t="s">
        <v>94</v>
      </c>
      <c r="B212" t="s">
        <v>110</v>
      </c>
      <c r="C212" t="s">
        <v>96</v>
      </c>
      <c r="D212" t="s">
        <v>111</v>
      </c>
      <c r="E212" t="s">
        <v>145</v>
      </c>
      <c r="F212" t="s">
        <v>99</v>
      </c>
      <c r="G212">
        <v>19114</v>
      </c>
      <c r="H212" t="s">
        <v>146</v>
      </c>
      <c r="I212">
        <v>2</v>
      </c>
      <c r="J212" t="s">
        <v>107</v>
      </c>
      <c r="K212" s="19">
        <v>0.25</v>
      </c>
      <c r="L212" s="19">
        <v>0.58333333333333337</v>
      </c>
      <c r="M212">
        <v>8</v>
      </c>
      <c r="N212">
        <v>0</v>
      </c>
      <c r="O212">
        <v>76</v>
      </c>
      <c r="P212">
        <v>76</v>
      </c>
      <c r="Q212" t="s">
        <v>99</v>
      </c>
      <c r="R212">
        <v>30</v>
      </c>
      <c r="S212" s="19">
        <v>0.45833333333333331</v>
      </c>
      <c r="T212">
        <v>0</v>
      </c>
      <c r="U212" s="19">
        <v>0.54166666666666663</v>
      </c>
      <c r="V212" t="s">
        <v>99</v>
      </c>
      <c r="W212">
        <v>7.5</v>
      </c>
      <c r="X212" t="s">
        <v>102</v>
      </c>
      <c r="Y212" t="b">
        <v>0</v>
      </c>
    </row>
    <row r="213" spans="1:25" x14ac:dyDescent="0.55000000000000004">
      <c r="A213" t="s">
        <v>94</v>
      </c>
      <c r="B213" t="s">
        <v>110</v>
      </c>
      <c r="C213" t="s">
        <v>96</v>
      </c>
      <c r="D213" t="s">
        <v>111</v>
      </c>
      <c r="E213" t="s">
        <v>145</v>
      </c>
      <c r="F213" t="s">
        <v>99</v>
      </c>
      <c r="G213">
        <v>19114</v>
      </c>
      <c r="H213" t="s">
        <v>146</v>
      </c>
      <c r="I213">
        <v>2</v>
      </c>
      <c r="J213" t="s">
        <v>101</v>
      </c>
      <c r="K213" s="19">
        <v>0.25</v>
      </c>
      <c r="L213" s="19">
        <v>0.60416666666666663</v>
      </c>
      <c r="M213">
        <v>8.5</v>
      </c>
      <c r="N213">
        <v>0</v>
      </c>
      <c r="O213">
        <v>76</v>
      </c>
      <c r="P213">
        <v>76</v>
      </c>
      <c r="Q213" t="s">
        <v>99</v>
      </c>
      <c r="R213">
        <v>30</v>
      </c>
      <c r="S213" s="19">
        <v>0.45833333333333331</v>
      </c>
      <c r="T213">
        <v>0</v>
      </c>
      <c r="U213" s="19">
        <v>0.54166666666666663</v>
      </c>
      <c r="V213" t="s">
        <v>99</v>
      </c>
      <c r="W213">
        <v>8</v>
      </c>
      <c r="X213" t="s">
        <v>102</v>
      </c>
      <c r="Y213" t="b">
        <v>0</v>
      </c>
    </row>
    <row r="214" spans="1:25" x14ac:dyDescent="0.55000000000000004">
      <c r="A214" t="s">
        <v>94</v>
      </c>
      <c r="B214" t="s">
        <v>110</v>
      </c>
      <c r="C214" t="s">
        <v>96</v>
      </c>
      <c r="D214" t="s">
        <v>111</v>
      </c>
      <c r="E214" t="s">
        <v>145</v>
      </c>
      <c r="F214" t="s">
        <v>99</v>
      </c>
      <c r="G214">
        <v>19114</v>
      </c>
      <c r="H214" t="s">
        <v>146</v>
      </c>
      <c r="I214">
        <v>2</v>
      </c>
      <c r="J214" t="s">
        <v>103</v>
      </c>
      <c r="K214" s="19">
        <v>0.25</v>
      </c>
      <c r="L214" s="19">
        <v>0.58333333333333337</v>
      </c>
      <c r="M214">
        <v>8</v>
      </c>
      <c r="N214">
        <v>0</v>
      </c>
      <c r="O214">
        <v>76</v>
      </c>
      <c r="P214">
        <v>76</v>
      </c>
      <c r="Q214" t="s">
        <v>99</v>
      </c>
      <c r="R214">
        <v>30</v>
      </c>
      <c r="S214" s="19">
        <v>0.45833333333333331</v>
      </c>
      <c r="T214">
        <v>0</v>
      </c>
      <c r="U214" s="19">
        <v>0.54166666666666663</v>
      </c>
      <c r="V214" t="s">
        <v>99</v>
      </c>
      <c r="W214">
        <v>7.5</v>
      </c>
      <c r="X214" t="s">
        <v>102</v>
      </c>
      <c r="Y214" t="b">
        <v>0</v>
      </c>
    </row>
    <row r="215" spans="1:25" x14ac:dyDescent="0.55000000000000004">
      <c r="A215" t="s">
        <v>94</v>
      </c>
      <c r="B215" t="s">
        <v>110</v>
      </c>
      <c r="C215" t="s">
        <v>96</v>
      </c>
      <c r="D215" t="s">
        <v>111</v>
      </c>
      <c r="E215" t="s">
        <v>145</v>
      </c>
      <c r="F215" t="s">
        <v>99</v>
      </c>
      <c r="G215">
        <v>19114</v>
      </c>
      <c r="H215" t="s">
        <v>146</v>
      </c>
      <c r="I215">
        <v>2</v>
      </c>
      <c r="J215" t="s">
        <v>104</v>
      </c>
      <c r="K215" s="19">
        <v>0.25</v>
      </c>
      <c r="L215" s="19">
        <v>0.58333333333333337</v>
      </c>
      <c r="M215">
        <v>8</v>
      </c>
      <c r="N215">
        <v>0</v>
      </c>
      <c r="O215">
        <v>76</v>
      </c>
      <c r="P215">
        <v>76</v>
      </c>
      <c r="Q215" t="s">
        <v>99</v>
      </c>
      <c r="R215">
        <v>30</v>
      </c>
      <c r="S215" s="19">
        <v>0.45833333333333331</v>
      </c>
      <c r="T215">
        <v>0</v>
      </c>
      <c r="U215" s="19">
        <v>0.54166666666666663</v>
      </c>
      <c r="V215" t="s">
        <v>99</v>
      </c>
      <c r="W215">
        <v>7.5</v>
      </c>
      <c r="X215" t="s">
        <v>102</v>
      </c>
      <c r="Y215" t="b">
        <v>0</v>
      </c>
    </row>
    <row r="216" spans="1:25" x14ac:dyDescent="0.55000000000000004">
      <c r="A216" t="s">
        <v>94</v>
      </c>
      <c r="B216" t="s">
        <v>110</v>
      </c>
      <c r="C216" t="s">
        <v>96</v>
      </c>
      <c r="D216" t="s">
        <v>111</v>
      </c>
      <c r="E216" t="s">
        <v>145</v>
      </c>
      <c r="F216" t="s">
        <v>99</v>
      </c>
      <c r="G216">
        <v>19114</v>
      </c>
      <c r="H216" t="s">
        <v>146</v>
      </c>
      <c r="I216">
        <v>2</v>
      </c>
      <c r="J216" t="s">
        <v>105</v>
      </c>
      <c r="K216" s="19">
        <v>0.25</v>
      </c>
      <c r="L216" s="19">
        <v>0.58333333333333337</v>
      </c>
      <c r="M216">
        <v>8</v>
      </c>
      <c r="N216">
        <v>0</v>
      </c>
      <c r="O216">
        <v>76</v>
      </c>
      <c r="P216">
        <v>76</v>
      </c>
      <c r="Q216" t="s">
        <v>99</v>
      </c>
      <c r="R216">
        <v>30</v>
      </c>
      <c r="S216" s="19">
        <v>0.45833333333333331</v>
      </c>
      <c r="T216">
        <v>0</v>
      </c>
      <c r="U216" s="19">
        <v>0.54166666666666663</v>
      </c>
      <c r="V216" t="s">
        <v>99</v>
      </c>
      <c r="W216">
        <v>7.5</v>
      </c>
      <c r="X216" t="s">
        <v>102</v>
      </c>
      <c r="Y216" t="b">
        <v>0</v>
      </c>
    </row>
    <row r="217" spans="1:25" x14ac:dyDescent="0.55000000000000004">
      <c r="A217" t="s">
        <v>94</v>
      </c>
      <c r="B217" t="s">
        <v>147</v>
      </c>
      <c r="C217" t="s">
        <v>96</v>
      </c>
      <c r="D217" t="s">
        <v>148</v>
      </c>
      <c r="E217" t="s">
        <v>117</v>
      </c>
      <c r="F217" t="s">
        <v>118</v>
      </c>
      <c r="G217">
        <v>19140</v>
      </c>
      <c r="H217" t="s">
        <v>149</v>
      </c>
      <c r="I217">
        <v>1</v>
      </c>
      <c r="J217" t="s">
        <v>107</v>
      </c>
      <c r="K217" s="19">
        <v>0.27083333333333331</v>
      </c>
      <c r="L217" s="19">
        <v>0.58333333333333337</v>
      </c>
      <c r="M217">
        <v>7.5</v>
      </c>
      <c r="N217">
        <v>205.73</v>
      </c>
      <c r="O217">
        <v>54</v>
      </c>
      <c r="P217">
        <v>76</v>
      </c>
      <c r="Q217" t="s">
        <v>99</v>
      </c>
      <c r="R217">
        <v>30</v>
      </c>
      <c r="S217" s="19">
        <v>0.47916666666666669</v>
      </c>
      <c r="T217">
        <v>0</v>
      </c>
      <c r="U217" s="19">
        <v>0</v>
      </c>
      <c r="V217" t="s">
        <v>99</v>
      </c>
      <c r="W217">
        <v>7</v>
      </c>
      <c r="X217" t="s">
        <v>102</v>
      </c>
      <c r="Y217" t="b">
        <v>0</v>
      </c>
    </row>
    <row r="218" spans="1:25" x14ac:dyDescent="0.55000000000000004">
      <c r="A218" t="s">
        <v>94</v>
      </c>
      <c r="B218" t="s">
        <v>147</v>
      </c>
      <c r="C218" t="s">
        <v>96</v>
      </c>
      <c r="D218" t="s">
        <v>148</v>
      </c>
      <c r="E218" t="s">
        <v>117</v>
      </c>
      <c r="F218" t="s">
        <v>118</v>
      </c>
      <c r="G218">
        <v>19140</v>
      </c>
      <c r="H218" t="s">
        <v>149</v>
      </c>
      <c r="I218">
        <v>1</v>
      </c>
      <c r="J218" t="s">
        <v>101</v>
      </c>
      <c r="K218" s="19">
        <v>0.27083333333333331</v>
      </c>
      <c r="L218" s="19">
        <v>0.58333333333333337</v>
      </c>
      <c r="M218">
        <v>7.5</v>
      </c>
      <c r="N218">
        <v>205.73</v>
      </c>
      <c r="O218">
        <v>54</v>
      </c>
      <c r="P218">
        <v>76</v>
      </c>
      <c r="Q218" t="s">
        <v>99</v>
      </c>
      <c r="R218">
        <v>30</v>
      </c>
      <c r="S218" s="19">
        <v>0.47916666666666669</v>
      </c>
      <c r="T218">
        <v>0</v>
      </c>
      <c r="U218" s="19">
        <v>0</v>
      </c>
      <c r="V218" t="s">
        <v>99</v>
      </c>
      <c r="W218">
        <v>7</v>
      </c>
      <c r="X218" t="s">
        <v>102</v>
      </c>
      <c r="Y218" t="b">
        <v>0</v>
      </c>
    </row>
    <row r="219" spans="1:25" x14ac:dyDescent="0.55000000000000004">
      <c r="A219" t="s">
        <v>94</v>
      </c>
      <c r="B219" t="s">
        <v>147</v>
      </c>
      <c r="C219" t="s">
        <v>96</v>
      </c>
      <c r="D219" t="s">
        <v>148</v>
      </c>
      <c r="E219" t="s">
        <v>117</v>
      </c>
      <c r="F219" t="s">
        <v>118</v>
      </c>
      <c r="G219">
        <v>19140</v>
      </c>
      <c r="H219" t="s">
        <v>149</v>
      </c>
      <c r="I219">
        <v>2</v>
      </c>
      <c r="J219" t="s">
        <v>107</v>
      </c>
      <c r="K219" s="19">
        <v>0.27083333333333331</v>
      </c>
      <c r="L219" s="19">
        <v>0.58333333333333337</v>
      </c>
      <c r="M219">
        <v>7.5</v>
      </c>
      <c r="N219">
        <v>205.73</v>
      </c>
      <c r="O219">
        <v>54</v>
      </c>
      <c r="P219">
        <v>76</v>
      </c>
      <c r="Q219" t="s">
        <v>99</v>
      </c>
      <c r="R219">
        <v>30</v>
      </c>
      <c r="S219" s="19">
        <v>0.47916666666666669</v>
      </c>
      <c r="T219">
        <v>0</v>
      </c>
      <c r="U219" s="19">
        <v>0</v>
      </c>
      <c r="V219" t="s">
        <v>99</v>
      </c>
      <c r="W219">
        <v>7</v>
      </c>
      <c r="X219" t="s">
        <v>102</v>
      </c>
      <c r="Y219" t="b">
        <v>0</v>
      </c>
    </row>
    <row r="220" spans="1:25" x14ac:dyDescent="0.55000000000000004">
      <c r="A220" t="s">
        <v>94</v>
      </c>
      <c r="B220" t="s">
        <v>147</v>
      </c>
      <c r="C220" t="s">
        <v>96</v>
      </c>
      <c r="D220" t="s">
        <v>148</v>
      </c>
      <c r="E220" t="s">
        <v>117</v>
      </c>
      <c r="F220" t="s">
        <v>118</v>
      </c>
      <c r="G220">
        <v>19140</v>
      </c>
      <c r="H220" t="s">
        <v>149</v>
      </c>
      <c r="I220">
        <v>2</v>
      </c>
      <c r="J220" t="s">
        <v>101</v>
      </c>
      <c r="K220" s="19">
        <v>0.27083333333333331</v>
      </c>
      <c r="L220" s="19">
        <v>0.58333333333333337</v>
      </c>
      <c r="M220">
        <v>7.5</v>
      </c>
      <c r="N220">
        <v>205.73</v>
      </c>
      <c r="O220">
        <v>54</v>
      </c>
      <c r="P220">
        <v>76</v>
      </c>
      <c r="Q220" t="s">
        <v>99</v>
      </c>
      <c r="R220">
        <v>30</v>
      </c>
      <c r="S220" s="19">
        <v>0.47916666666666669</v>
      </c>
      <c r="T220">
        <v>0</v>
      </c>
      <c r="U220" s="19">
        <v>0</v>
      </c>
      <c r="V220" t="s">
        <v>99</v>
      </c>
      <c r="W220">
        <v>7</v>
      </c>
      <c r="X220" t="s">
        <v>102</v>
      </c>
      <c r="Y220" t="b">
        <v>0</v>
      </c>
    </row>
    <row r="221" spans="1:25" x14ac:dyDescent="0.55000000000000004">
      <c r="A221" t="s">
        <v>94</v>
      </c>
      <c r="B221" t="s">
        <v>147</v>
      </c>
      <c r="C221" t="s">
        <v>96</v>
      </c>
      <c r="D221" t="s">
        <v>148</v>
      </c>
      <c r="E221" t="s">
        <v>117</v>
      </c>
      <c r="F221" t="s">
        <v>118</v>
      </c>
      <c r="G221">
        <v>19140</v>
      </c>
      <c r="H221" t="s">
        <v>149</v>
      </c>
      <c r="I221">
        <v>2</v>
      </c>
      <c r="J221" t="s">
        <v>104</v>
      </c>
      <c r="K221" s="19">
        <v>0.27083333333333331</v>
      </c>
      <c r="L221" s="19">
        <v>0.58333333333333337</v>
      </c>
      <c r="M221">
        <v>7.5</v>
      </c>
      <c r="N221">
        <v>205.73</v>
      </c>
      <c r="O221">
        <v>54</v>
      </c>
      <c r="P221">
        <v>76</v>
      </c>
      <c r="Q221" t="s">
        <v>99</v>
      </c>
      <c r="R221">
        <v>30</v>
      </c>
      <c r="S221" s="19">
        <v>0.47916666666666669</v>
      </c>
      <c r="T221">
        <v>0</v>
      </c>
      <c r="U221" s="19">
        <v>0</v>
      </c>
      <c r="V221" t="s">
        <v>99</v>
      </c>
      <c r="W221">
        <v>7</v>
      </c>
      <c r="X221" t="s">
        <v>102</v>
      </c>
      <c r="Y221" t="b">
        <v>0</v>
      </c>
    </row>
    <row r="222" spans="1:25" x14ac:dyDescent="0.55000000000000004">
      <c r="A222" t="s">
        <v>94</v>
      </c>
      <c r="B222" t="s">
        <v>147</v>
      </c>
      <c r="C222" t="s">
        <v>96</v>
      </c>
      <c r="D222" t="s">
        <v>148</v>
      </c>
      <c r="E222" t="s">
        <v>117</v>
      </c>
      <c r="F222" t="s">
        <v>118</v>
      </c>
      <c r="G222">
        <v>19140</v>
      </c>
      <c r="H222" t="s">
        <v>149</v>
      </c>
      <c r="I222">
        <v>2</v>
      </c>
      <c r="J222" t="s">
        <v>105</v>
      </c>
      <c r="K222" s="19">
        <v>0.27083333333333331</v>
      </c>
      <c r="L222" s="19">
        <v>0.58333333333333337</v>
      </c>
      <c r="M222">
        <v>7.5</v>
      </c>
      <c r="N222">
        <v>205.73</v>
      </c>
      <c r="O222">
        <v>54</v>
      </c>
      <c r="P222">
        <v>76</v>
      </c>
      <c r="Q222" t="s">
        <v>99</v>
      </c>
      <c r="R222">
        <v>30</v>
      </c>
      <c r="S222" s="19">
        <v>0.47916666666666669</v>
      </c>
      <c r="T222">
        <v>0</v>
      </c>
      <c r="U222" s="19">
        <v>0</v>
      </c>
      <c r="V222" t="s">
        <v>99</v>
      </c>
      <c r="W222">
        <v>7</v>
      </c>
      <c r="X222" t="s">
        <v>102</v>
      </c>
      <c r="Y222" t="b">
        <v>0</v>
      </c>
    </row>
    <row r="223" spans="1:25" x14ac:dyDescent="0.55000000000000004">
      <c r="A223" t="s">
        <v>94</v>
      </c>
      <c r="B223" t="s">
        <v>147</v>
      </c>
      <c r="C223" t="s">
        <v>96</v>
      </c>
      <c r="D223" t="s">
        <v>148</v>
      </c>
      <c r="E223" t="s">
        <v>117</v>
      </c>
      <c r="F223" t="s">
        <v>118</v>
      </c>
      <c r="G223">
        <v>19390</v>
      </c>
      <c r="H223" t="s">
        <v>150</v>
      </c>
      <c r="I223">
        <v>2</v>
      </c>
      <c r="J223" t="s">
        <v>103</v>
      </c>
      <c r="K223" s="19">
        <v>0.27083333333333331</v>
      </c>
      <c r="L223" s="19">
        <v>0.58333333333333337</v>
      </c>
      <c r="M223">
        <v>7.5</v>
      </c>
      <c r="N223">
        <v>203.35</v>
      </c>
      <c r="O223">
        <v>54</v>
      </c>
      <c r="P223">
        <v>76</v>
      </c>
      <c r="Q223" t="s">
        <v>99</v>
      </c>
      <c r="R223">
        <v>30</v>
      </c>
      <c r="S223" s="19">
        <v>0.4375</v>
      </c>
      <c r="T223">
        <v>0</v>
      </c>
      <c r="U223" s="19">
        <v>0.54166666666666663</v>
      </c>
      <c r="V223" t="s">
        <v>99</v>
      </c>
      <c r="W223">
        <v>7</v>
      </c>
      <c r="X223" t="s">
        <v>102</v>
      </c>
      <c r="Y223" t="b">
        <v>0</v>
      </c>
    </row>
    <row r="224" spans="1:25" x14ac:dyDescent="0.55000000000000004">
      <c r="A224" t="s">
        <v>94</v>
      </c>
      <c r="B224" t="s">
        <v>147</v>
      </c>
      <c r="C224" t="s">
        <v>96</v>
      </c>
      <c r="D224" t="s">
        <v>148</v>
      </c>
      <c r="E224" t="s">
        <v>117</v>
      </c>
      <c r="F224" t="s">
        <v>118</v>
      </c>
      <c r="G224">
        <v>26130</v>
      </c>
      <c r="H224" t="s">
        <v>151</v>
      </c>
      <c r="I224">
        <v>1</v>
      </c>
      <c r="J224" t="s">
        <v>103</v>
      </c>
      <c r="K224" s="19">
        <v>0.27083333333333331</v>
      </c>
      <c r="L224" s="19">
        <v>0.58333333333333337</v>
      </c>
      <c r="M224">
        <v>7.5</v>
      </c>
      <c r="N224">
        <v>0</v>
      </c>
      <c r="O224">
        <v>56</v>
      </c>
      <c r="P224">
        <v>76</v>
      </c>
      <c r="Q224" t="s">
        <v>99</v>
      </c>
      <c r="R224">
        <v>30</v>
      </c>
      <c r="S224" s="19">
        <v>0.47916666666666669</v>
      </c>
      <c r="T224">
        <v>0</v>
      </c>
      <c r="U224" s="19">
        <v>0.54166666666666663</v>
      </c>
      <c r="V224" t="s">
        <v>99</v>
      </c>
      <c r="W224">
        <v>7</v>
      </c>
      <c r="X224" t="s">
        <v>102</v>
      </c>
      <c r="Y224" t="b">
        <v>0</v>
      </c>
    </row>
    <row r="225" spans="1:25" x14ac:dyDescent="0.55000000000000004">
      <c r="A225" t="s">
        <v>94</v>
      </c>
      <c r="B225" t="s">
        <v>147</v>
      </c>
      <c r="C225" t="s">
        <v>96</v>
      </c>
      <c r="D225" t="s">
        <v>148</v>
      </c>
      <c r="E225" t="s">
        <v>117</v>
      </c>
      <c r="F225" t="s">
        <v>118</v>
      </c>
      <c r="G225">
        <v>26130</v>
      </c>
      <c r="H225" t="s">
        <v>151</v>
      </c>
      <c r="I225">
        <v>1</v>
      </c>
      <c r="J225" t="s">
        <v>104</v>
      </c>
      <c r="K225" s="19">
        <v>0.27083333333333331</v>
      </c>
      <c r="L225" s="19">
        <v>0.58333333333333337</v>
      </c>
      <c r="M225">
        <v>7.5</v>
      </c>
      <c r="N225">
        <v>0</v>
      </c>
      <c r="O225">
        <v>56</v>
      </c>
      <c r="P225">
        <v>76</v>
      </c>
      <c r="Q225" t="s">
        <v>99</v>
      </c>
      <c r="R225">
        <v>30</v>
      </c>
      <c r="S225" s="19">
        <v>0.47916666666666669</v>
      </c>
      <c r="T225">
        <v>0</v>
      </c>
      <c r="U225" s="19">
        <v>0.54166666666666663</v>
      </c>
      <c r="V225" t="s">
        <v>99</v>
      </c>
      <c r="W225">
        <v>7</v>
      </c>
      <c r="X225" t="s">
        <v>102</v>
      </c>
      <c r="Y225" t="b">
        <v>0</v>
      </c>
    </row>
    <row r="226" spans="1:25" x14ac:dyDescent="0.55000000000000004">
      <c r="A226" t="s">
        <v>94</v>
      </c>
      <c r="B226" t="s">
        <v>147</v>
      </c>
      <c r="C226" t="s">
        <v>96</v>
      </c>
      <c r="D226" t="s">
        <v>148</v>
      </c>
      <c r="E226" t="s">
        <v>117</v>
      </c>
      <c r="F226" t="s">
        <v>118</v>
      </c>
      <c r="G226">
        <v>26130</v>
      </c>
      <c r="H226" t="s">
        <v>151</v>
      </c>
      <c r="I226">
        <v>1</v>
      </c>
      <c r="J226" t="s">
        <v>105</v>
      </c>
      <c r="K226" s="19">
        <v>0.27083333333333331</v>
      </c>
      <c r="L226" s="19">
        <v>0.58333333333333337</v>
      </c>
      <c r="M226">
        <v>7.5</v>
      </c>
      <c r="N226">
        <v>0</v>
      </c>
      <c r="O226">
        <v>56</v>
      </c>
      <c r="P226">
        <v>76</v>
      </c>
      <c r="Q226" t="s">
        <v>99</v>
      </c>
      <c r="R226">
        <v>30</v>
      </c>
      <c r="S226" s="19">
        <v>0.47916666666666669</v>
      </c>
      <c r="T226">
        <v>0</v>
      </c>
      <c r="U226" s="19">
        <v>0.54166666666666663</v>
      </c>
      <c r="V226" t="s">
        <v>99</v>
      </c>
      <c r="W226">
        <v>7</v>
      </c>
      <c r="X226" t="s">
        <v>102</v>
      </c>
      <c r="Y226" t="b">
        <v>0</v>
      </c>
    </row>
    <row r="227" spans="1:25" x14ac:dyDescent="0.55000000000000004">
      <c r="A227" t="s">
        <v>94</v>
      </c>
      <c r="B227" t="s">
        <v>147</v>
      </c>
      <c r="C227" t="s">
        <v>96</v>
      </c>
      <c r="D227" t="s">
        <v>148</v>
      </c>
      <c r="E227" t="s">
        <v>117</v>
      </c>
      <c r="F227" t="s">
        <v>152</v>
      </c>
      <c r="H227" t="s">
        <v>99</v>
      </c>
      <c r="I227">
        <v>1</v>
      </c>
      <c r="J227" t="s">
        <v>115</v>
      </c>
      <c r="K227" s="19">
        <v>0.3125</v>
      </c>
      <c r="L227" s="19">
        <v>0.58333333333333337</v>
      </c>
      <c r="M227">
        <v>6.5</v>
      </c>
      <c r="N227">
        <v>0</v>
      </c>
      <c r="O227">
        <v>0</v>
      </c>
      <c r="P227">
        <v>0</v>
      </c>
      <c r="Q227" t="s">
        <v>99</v>
      </c>
      <c r="R227">
        <v>30</v>
      </c>
      <c r="S227" s="19">
        <v>0.5</v>
      </c>
      <c r="T227">
        <v>0</v>
      </c>
      <c r="U227" s="19">
        <v>0.54166666666666663</v>
      </c>
      <c r="V227" t="s">
        <v>99</v>
      </c>
      <c r="W227">
        <v>6</v>
      </c>
      <c r="X227" t="s">
        <v>102</v>
      </c>
      <c r="Y227" t="b">
        <v>0</v>
      </c>
    </row>
    <row r="228" spans="1:25" x14ac:dyDescent="0.55000000000000004">
      <c r="A228" t="s">
        <v>94</v>
      </c>
      <c r="B228" t="s">
        <v>147</v>
      </c>
      <c r="C228" t="s">
        <v>96</v>
      </c>
      <c r="D228" t="s">
        <v>148</v>
      </c>
      <c r="E228" t="s">
        <v>117</v>
      </c>
      <c r="F228" t="s">
        <v>152</v>
      </c>
      <c r="H228" t="s">
        <v>99</v>
      </c>
      <c r="I228">
        <v>1</v>
      </c>
      <c r="J228" t="s">
        <v>116</v>
      </c>
      <c r="K228" s="19">
        <v>0.3125</v>
      </c>
      <c r="L228" s="19">
        <v>0.58333333333333337</v>
      </c>
      <c r="M228">
        <v>6.5</v>
      </c>
      <c r="N228">
        <v>0</v>
      </c>
      <c r="O228">
        <v>0</v>
      </c>
      <c r="P228">
        <v>0</v>
      </c>
      <c r="Q228" t="s">
        <v>99</v>
      </c>
      <c r="R228">
        <v>30</v>
      </c>
      <c r="S228" s="19">
        <v>0.5</v>
      </c>
      <c r="T228">
        <v>0</v>
      </c>
      <c r="U228" s="19">
        <v>0.54166666666666663</v>
      </c>
      <c r="V228" t="s">
        <v>99</v>
      </c>
      <c r="W228">
        <v>6</v>
      </c>
      <c r="X228" t="s">
        <v>102</v>
      </c>
      <c r="Y228" t="b">
        <v>0</v>
      </c>
    </row>
    <row r="229" spans="1:25" x14ac:dyDescent="0.55000000000000004">
      <c r="A229" t="s">
        <v>94</v>
      </c>
      <c r="B229" t="s">
        <v>147</v>
      </c>
      <c r="C229" t="s">
        <v>96</v>
      </c>
      <c r="D229" t="s">
        <v>148</v>
      </c>
      <c r="E229" t="s">
        <v>117</v>
      </c>
      <c r="F229" t="s">
        <v>152</v>
      </c>
      <c r="G229">
        <v>19140</v>
      </c>
      <c r="H229" t="s">
        <v>149</v>
      </c>
      <c r="I229">
        <v>2</v>
      </c>
      <c r="J229" t="s">
        <v>115</v>
      </c>
      <c r="K229" s="19">
        <v>0.3125</v>
      </c>
      <c r="L229" s="19">
        <v>0.58333333333333337</v>
      </c>
      <c r="M229">
        <v>6.5</v>
      </c>
      <c r="N229">
        <v>264.51</v>
      </c>
      <c r="O229">
        <v>54</v>
      </c>
      <c r="P229">
        <v>76</v>
      </c>
      <c r="Q229" t="s">
        <v>99</v>
      </c>
      <c r="R229">
        <v>30</v>
      </c>
      <c r="S229" s="19">
        <v>0.52083333333333337</v>
      </c>
      <c r="T229">
        <v>0</v>
      </c>
      <c r="U229" s="19">
        <v>0.54166666666666663</v>
      </c>
      <c r="V229" t="s">
        <v>99</v>
      </c>
      <c r="W229">
        <v>6</v>
      </c>
      <c r="X229" t="s">
        <v>102</v>
      </c>
      <c r="Y229" t="b">
        <v>0</v>
      </c>
    </row>
    <row r="230" spans="1:25" x14ac:dyDescent="0.55000000000000004">
      <c r="A230" t="s">
        <v>94</v>
      </c>
      <c r="B230" t="s">
        <v>147</v>
      </c>
      <c r="C230" t="s">
        <v>96</v>
      </c>
      <c r="D230" t="s">
        <v>148</v>
      </c>
      <c r="E230" t="s">
        <v>117</v>
      </c>
      <c r="F230" t="s">
        <v>152</v>
      </c>
      <c r="G230">
        <v>19140</v>
      </c>
      <c r="H230" t="s">
        <v>149</v>
      </c>
      <c r="I230">
        <v>2</v>
      </c>
      <c r="J230" t="s">
        <v>116</v>
      </c>
      <c r="K230" s="19">
        <v>0.3125</v>
      </c>
      <c r="L230" s="19">
        <v>0.58333333333333337</v>
      </c>
      <c r="M230">
        <v>6.5</v>
      </c>
      <c r="N230">
        <v>308.60000000000002</v>
      </c>
      <c r="O230">
        <v>54</v>
      </c>
      <c r="P230">
        <v>76</v>
      </c>
      <c r="Q230" t="s">
        <v>99</v>
      </c>
      <c r="R230">
        <v>30</v>
      </c>
      <c r="S230" s="19">
        <v>0.52083333333333337</v>
      </c>
      <c r="T230">
        <v>0</v>
      </c>
      <c r="U230" s="19">
        <v>0</v>
      </c>
      <c r="V230" t="s">
        <v>99</v>
      </c>
      <c r="W230">
        <v>6</v>
      </c>
      <c r="X230" t="s">
        <v>102</v>
      </c>
      <c r="Y230" t="b">
        <v>0</v>
      </c>
    </row>
    <row r="231" spans="1:25" x14ac:dyDescent="0.55000000000000004">
      <c r="A231" t="s">
        <v>94</v>
      </c>
      <c r="B231" t="s">
        <v>147</v>
      </c>
      <c r="C231" t="s">
        <v>96</v>
      </c>
      <c r="D231" t="s">
        <v>148</v>
      </c>
      <c r="E231" t="s">
        <v>117</v>
      </c>
      <c r="F231" t="s">
        <v>152</v>
      </c>
      <c r="G231">
        <v>19390</v>
      </c>
      <c r="H231" t="s">
        <v>150</v>
      </c>
      <c r="I231">
        <v>1</v>
      </c>
      <c r="J231" t="s">
        <v>115</v>
      </c>
      <c r="K231" s="19">
        <v>0.3125</v>
      </c>
      <c r="L231" s="19">
        <v>0.58333333333333337</v>
      </c>
      <c r="M231">
        <v>6.5</v>
      </c>
      <c r="N231">
        <v>261.45</v>
      </c>
      <c r="O231">
        <v>54</v>
      </c>
      <c r="P231">
        <v>76</v>
      </c>
      <c r="Q231" t="s">
        <v>99</v>
      </c>
      <c r="R231">
        <v>30</v>
      </c>
      <c r="S231" s="19">
        <v>0.52083333333333337</v>
      </c>
      <c r="T231">
        <v>0</v>
      </c>
      <c r="U231" s="19">
        <v>0</v>
      </c>
      <c r="V231" t="s">
        <v>99</v>
      </c>
      <c r="W231">
        <v>6</v>
      </c>
      <c r="X231" t="s">
        <v>102</v>
      </c>
      <c r="Y231" t="b">
        <v>0</v>
      </c>
    </row>
    <row r="232" spans="1:25" x14ac:dyDescent="0.55000000000000004">
      <c r="A232" t="s">
        <v>94</v>
      </c>
      <c r="B232" t="s">
        <v>147</v>
      </c>
      <c r="C232" t="s">
        <v>96</v>
      </c>
      <c r="D232" t="s">
        <v>148</v>
      </c>
      <c r="E232" t="s">
        <v>117</v>
      </c>
      <c r="F232" t="s">
        <v>152</v>
      </c>
      <c r="G232">
        <v>19390</v>
      </c>
      <c r="H232" t="s">
        <v>150</v>
      </c>
      <c r="I232">
        <v>1</v>
      </c>
      <c r="J232" t="s">
        <v>116</v>
      </c>
      <c r="K232" s="19">
        <v>0.3125</v>
      </c>
      <c r="L232" s="19">
        <v>0.58333333333333337</v>
      </c>
      <c r="M232">
        <v>6.5</v>
      </c>
      <c r="N232">
        <v>305.02</v>
      </c>
      <c r="O232">
        <v>54</v>
      </c>
      <c r="P232">
        <v>76</v>
      </c>
      <c r="Q232" t="s">
        <v>99</v>
      </c>
      <c r="R232">
        <v>30</v>
      </c>
      <c r="S232" s="19">
        <v>0.52083333333333337</v>
      </c>
      <c r="T232">
        <v>0</v>
      </c>
      <c r="U232" s="19">
        <v>0</v>
      </c>
      <c r="V232" t="s">
        <v>99</v>
      </c>
      <c r="W232">
        <v>6</v>
      </c>
      <c r="X232" t="s">
        <v>102</v>
      </c>
      <c r="Y232" t="b">
        <v>0</v>
      </c>
    </row>
    <row r="233" spans="1:25" x14ac:dyDescent="0.55000000000000004">
      <c r="A233" t="s">
        <v>94</v>
      </c>
      <c r="B233" t="s">
        <v>147</v>
      </c>
      <c r="C233" t="s">
        <v>96</v>
      </c>
      <c r="D233" t="s">
        <v>148</v>
      </c>
      <c r="E233" t="s">
        <v>117</v>
      </c>
      <c r="F233" t="s">
        <v>152</v>
      </c>
      <c r="G233">
        <v>24507</v>
      </c>
      <c r="H233" t="s">
        <v>153</v>
      </c>
      <c r="I233">
        <v>2</v>
      </c>
      <c r="J233" t="s">
        <v>115</v>
      </c>
      <c r="K233" s="19">
        <v>0.3125</v>
      </c>
      <c r="L233" s="19">
        <v>0.58333333333333337</v>
      </c>
      <c r="M233">
        <v>6.5</v>
      </c>
      <c r="N233">
        <v>0</v>
      </c>
      <c r="O233">
        <v>54</v>
      </c>
      <c r="P233">
        <v>76</v>
      </c>
      <c r="Q233" t="s">
        <v>99</v>
      </c>
      <c r="R233">
        <v>30</v>
      </c>
      <c r="S233" s="19">
        <v>0.4375</v>
      </c>
      <c r="T233">
        <v>0</v>
      </c>
      <c r="U233" s="19">
        <v>0.54166666666666663</v>
      </c>
      <c r="V233" t="s">
        <v>99</v>
      </c>
      <c r="W233">
        <v>6</v>
      </c>
      <c r="X233" t="s">
        <v>102</v>
      </c>
      <c r="Y233" t="b">
        <v>0</v>
      </c>
    </row>
    <row r="234" spans="1:25" x14ac:dyDescent="0.55000000000000004">
      <c r="A234" t="s">
        <v>94</v>
      </c>
      <c r="B234" t="s">
        <v>147</v>
      </c>
      <c r="C234" t="s">
        <v>96</v>
      </c>
      <c r="D234" t="s">
        <v>148</v>
      </c>
      <c r="E234" t="s">
        <v>117</v>
      </c>
      <c r="F234" t="s">
        <v>152</v>
      </c>
      <c r="G234">
        <v>24507</v>
      </c>
      <c r="H234" t="s">
        <v>153</v>
      </c>
      <c r="I234">
        <v>2</v>
      </c>
      <c r="J234" t="s">
        <v>116</v>
      </c>
      <c r="K234" s="19">
        <v>0.3125</v>
      </c>
      <c r="L234" s="19">
        <v>0.58333333333333337</v>
      </c>
      <c r="M234">
        <v>6.5</v>
      </c>
      <c r="N234">
        <v>0</v>
      </c>
      <c r="O234">
        <v>54</v>
      </c>
      <c r="P234">
        <v>76</v>
      </c>
      <c r="Q234" t="s">
        <v>99</v>
      </c>
      <c r="R234">
        <v>30</v>
      </c>
      <c r="S234" s="19">
        <v>0.4375</v>
      </c>
      <c r="T234">
        <v>0</v>
      </c>
      <c r="U234" s="19">
        <v>0.54166666666666663</v>
      </c>
      <c r="V234" t="s">
        <v>99</v>
      </c>
      <c r="W234">
        <v>6</v>
      </c>
      <c r="X234" t="s">
        <v>102</v>
      </c>
      <c r="Y234" t="b">
        <v>0</v>
      </c>
    </row>
    <row r="235" spans="1:25" x14ac:dyDescent="0.55000000000000004">
      <c r="A235" t="s">
        <v>94</v>
      </c>
      <c r="B235" t="s">
        <v>147</v>
      </c>
      <c r="C235" t="s">
        <v>96</v>
      </c>
      <c r="D235" t="s">
        <v>148</v>
      </c>
      <c r="E235" t="s">
        <v>117</v>
      </c>
      <c r="F235" t="s">
        <v>135</v>
      </c>
      <c r="H235" t="s">
        <v>99</v>
      </c>
      <c r="I235">
        <v>1</v>
      </c>
      <c r="J235" t="s">
        <v>107</v>
      </c>
      <c r="K235" s="19">
        <v>0.27083333333333331</v>
      </c>
      <c r="L235" s="19">
        <v>0.58333333333333337</v>
      </c>
      <c r="M235">
        <v>7.5</v>
      </c>
      <c r="N235">
        <v>0</v>
      </c>
      <c r="O235">
        <v>0</v>
      </c>
      <c r="P235">
        <v>0</v>
      </c>
      <c r="Q235" t="s">
        <v>99</v>
      </c>
      <c r="R235">
        <v>30</v>
      </c>
      <c r="S235" s="19">
        <v>0.4375</v>
      </c>
      <c r="T235">
        <v>0</v>
      </c>
      <c r="U235" s="19">
        <v>0</v>
      </c>
      <c r="V235" t="s">
        <v>99</v>
      </c>
      <c r="W235">
        <v>7</v>
      </c>
      <c r="X235" t="s">
        <v>102</v>
      </c>
      <c r="Y235" t="b">
        <v>0</v>
      </c>
    </row>
    <row r="236" spans="1:25" x14ac:dyDescent="0.55000000000000004">
      <c r="A236" t="s">
        <v>94</v>
      </c>
      <c r="B236" t="s">
        <v>147</v>
      </c>
      <c r="C236" t="s">
        <v>96</v>
      </c>
      <c r="D236" t="s">
        <v>148</v>
      </c>
      <c r="E236" t="s">
        <v>117</v>
      </c>
      <c r="F236" t="s">
        <v>135</v>
      </c>
      <c r="H236" t="s">
        <v>99</v>
      </c>
      <c r="I236">
        <v>1</v>
      </c>
      <c r="J236" t="s">
        <v>103</v>
      </c>
      <c r="K236" s="19">
        <v>0.27083333333333331</v>
      </c>
      <c r="L236" s="19">
        <v>0.58333333333333337</v>
      </c>
      <c r="M236">
        <v>7.5</v>
      </c>
      <c r="N236">
        <v>203.35</v>
      </c>
      <c r="O236">
        <v>0</v>
      </c>
      <c r="P236">
        <v>0</v>
      </c>
      <c r="Q236" t="s">
        <v>99</v>
      </c>
      <c r="R236">
        <v>30</v>
      </c>
      <c r="S236" s="19">
        <v>0.4375</v>
      </c>
      <c r="T236">
        <v>0</v>
      </c>
      <c r="U236" s="19">
        <v>0.54166666666666663</v>
      </c>
      <c r="V236" t="s">
        <v>99</v>
      </c>
      <c r="W236">
        <v>7</v>
      </c>
      <c r="X236" t="s">
        <v>102</v>
      </c>
      <c r="Y236" t="b">
        <v>0</v>
      </c>
    </row>
    <row r="237" spans="1:25" x14ac:dyDescent="0.55000000000000004">
      <c r="A237" t="s">
        <v>94</v>
      </c>
      <c r="B237" t="s">
        <v>147</v>
      </c>
      <c r="C237" t="s">
        <v>96</v>
      </c>
      <c r="D237" t="s">
        <v>148</v>
      </c>
      <c r="E237" t="s">
        <v>117</v>
      </c>
      <c r="F237" t="s">
        <v>135</v>
      </c>
      <c r="H237" t="s">
        <v>99</v>
      </c>
      <c r="I237">
        <v>2</v>
      </c>
      <c r="J237" t="s">
        <v>101</v>
      </c>
      <c r="K237" s="19">
        <v>0.27083333333333331</v>
      </c>
      <c r="L237" s="19">
        <v>0.58333333333333337</v>
      </c>
      <c r="M237">
        <v>7.5</v>
      </c>
      <c r="N237">
        <v>203.35</v>
      </c>
      <c r="O237">
        <v>0</v>
      </c>
      <c r="P237">
        <v>0</v>
      </c>
      <c r="Q237" t="s">
        <v>99</v>
      </c>
      <c r="R237">
        <v>30</v>
      </c>
      <c r="S237" s="19">
        <v>0.4375</v>
      </c>
      <c r="T237">
        <v>0</v>
      </c>
      <c r="U237" s="19">
        <v>0.54166666666666663</v>
      </c>
      <c r="V237" t="s">
        <v>99</v>
      </c>
      <c r="W237">
        <v>7</v>
      </c>
      <c r="X237" t="s">
        <v>102</v>
      </c>
      <c r="Y237" t="b">
        <v>0</v>
      </c>
    </row>
    <row r="238" spans="1:25" x14ac:dyDescent="0.55000000000000004">
      <c r="A238" t="s">
        <v>94</v>
      </c>
      <c r="B238" t="s">
        <v>147</v>
      </c>
      <c r="C238" t="s">
        <v>96</v>
      </c>
      <c r="D238" t="s">
        <v>148</v>
      </c>
      <c r="E238" t="s">
        <v>117</v>
      </c>
      <c r="F238" t="s">
        <v>135</v>
      </c>
      <c r="H238" t="s">
        <v>99</v>
      </c>
      <c r="I238">
        <v>2</v>
      </c>
      <c r="J238" t="s">
        <v>104</v>
      </c>
      <c r="K238" s="19">
        <v>0.27083333333333331</v>
      </c>
      <c r="L238" s="19">
        <v>0.58333333333333337</v>
      </c>
      <c r="M238">
        <v>7.5</v>
      </c>
      <c r="N238">
        <v>203.35</v>
      </c>
      <c r="O238">
        <v>0</v>
      </c>
      <c r="P238">
        <v>0</v>
      </c>
      <c r="Q238" t="s">
        <v>99</v>
      </c>
      <c r="R238">
        <v>30</v>
      </c>
      <c r="S238" s="19">
        <v>0.4375</v>
      </c>
      <c r="T238">
        <v>0</v>
      </c>
      <c r="U238" s="19">
        <v>0.54166666666666663</v>
      </c>
      <c r="V238" t="s">
        <v>99</v>
      </c>
      <c r="W238">
        <v>7</v>
      </c>
      <c r="X238" t="s">
        <v>102</v>
      </c>
      <c r="Y238" t="b">
        <v>0</v>
      </c>
    </row>
    <row r="239" spans="1:25" x14ac:dyDescent="0.55000000000000004">
      <c r="A239" t="s">
        <v>94</v>
      </c>
      <c r="B239" t="s">
        <v>147</v>
      </c>
      <c r="C239" t="s">
        <v>96</v>
      </c>
      <c r="D239" t="s">
        <v>148</v>
      </c>
      <c r="E239" t="s">
        <v>117</v>
      </c>
      <c r="F239" t="s">
        <v>135</v>
      </c>
      <c r="H239" t="s">
        <v>99</v>
      </c>
      <c r="I239">
        <v>2</v>
      </c>
      <c r="J239" t="s">
        <v>105</v>
      </c>
      <c r="K239" s="19">
        <v>0.27083333333333331</v>
      </c>
      <c r="L239" s="19">
        <v>0.58333333333333337</v>
      </c>
      <c r="M239">
        <v>7.5</v>
      </c>
      <c r="N239">
        <v>203.35</v>
      </c>
      <c r="O239">
        <v>0</v>
      </c>
      <c r="P239">
        <v>0</v>
      </c>
      <c r="Q239" t="s">
        <v>99</v>
      </c>
      <c r="R239">
        <v>30</v>
      </c>
      <c r="S239" s="19">
        <v>0.4375</v>
      </c>
      <c r="T239">
        <v>0</v>
      </c>
      <c r="U239" s="19">
        <v>0.54166666666666663</v>
      </c>
      <c r="V239" t="s">
        <v>99</v>
      </c>
      <c r="W239">
        <v>7</v>
      </c>
      <c r="X239" t="s">
        <v>102</v>
      </c>
      <c r="Y239" t="b">
        <v>0</v>
      </c>
    </row>
    <row r="240" spans="1:25" x14ac:dyDescent="0.55000000000000004">
      <c r="A240" t="s">
        <v>94</v>
      </c>
      <c r="B240" t="s">
        <v>147</v>
      </c>
      <c r="C240" t="s">
        <v>96</v>
      </c>
      <c r="D240" t="s">
        <v>148</v>
      </c>
      <c r="E240" t="s">
        <v>117</v>
      </c>
      <c r="F240" t="s">
        <v>135</v>
      </c>
      <c r="G240">
        <v>24507</v>
      </c>
      <c r="H240" t="s">
        <v>153</v>
      </c>
      <c r="I240">
        <v>1</v>
      </c>
      <c r="J240" t="s">
        <v>104</v>
      </c>
      <c r="K240" s="19">
        <v>0.27083333333333331</v>
      </c>
      <c r="L240" s="19">
        <v>0.58333333333333337</v>
      </c>
      <c r="M240">
        <v>7.5</v>
      </c>
      <c r="N240">
        <v>0</v>
      </c>
      <c r="O240">
        <v>54</v>
      </c>
      <c r="P240">
        <v>76</v>
      </c>
      <c r="Q240" t="s">
        <v>99</v>
      </c>
      <c r="R240">
        <v>30</v>
      </c>
      <c r="S240" s="19">
        <v>0.4375</v>
      </c>
      <c r="T240">
        <v>0</v>
      </c>
      <c r="U240" s="19">
        <v>0.54166666666666663</v>
      </c>
      <c r="V240" t="s">
        <v>99</v>
      </c>
      <c r="W240">
        <v>7</v>
      </c>
      <c r="X240" t="s">
        <v>102</v>
      </c>
      <c r="Y240" t="b">
        <v>0</v>
      </c>
    </row>
    <row r="241" spans="1:25" x14ac:dyDescent="0.55000000000000004">
      <c r="A241" t="s">
        <v>94</v>
      </c>
      <c r="B241" t="s">
        <v>147</v>
      </c>
      <c r="C241" t="s">
        <v>96</v>
      </c>
      <c r="D241" t="s">
        <v>148</v>
      </c>
      <c r="E241" t="s">
        <v>117</v>
      </c>
      <c r="F241" t="s">
        <v>135</v>
      </c>
      <c r="G241">
        <v>24507</v>
      </c>
      <c r="H241" t="s">
        <v>153</v>
      </c>
      <c r="I241">
        <v>1</v>
      </c>
      <c r="J241" t="s">
        <v>105</v>
      </c>
      <c r="K241" s="19">
        <v>0.27083333333333331</v>
      </c>
      <c r="L241" s="19">
        <v>0.58333333333333337</v>
      </c>
      <c r="M241">
        <v>7.5</v>
      </c>
      <c r="N241">
        <v>0</v>
      </c>
      <c r="O241">
        <v>54</v>
      </c>
      <c r="P241">
        <v>76</v>
      </c>
      <c r="Q241" t="s">
        <v>99</v>
      </c>
      <c r="R241">
        <v>30</v>
      </c>
      <c r="S241" s="19">
        <v>0.4375</v>
      </c>
      <c r="T241">
        <v>0</v>
      </c>
      <c r="U241" s="19">
        <v>0.54166666666666663</v>
      </c>
      <c r="V241" t="s">
        <v>99</v>
      </c>
      <c r="W241">
        <v>7</v>
      </c>
      <c r="X241" t="s">
        <v>102</v>
      </c>
      <c r="Y241" t="b">
        <v>0</v>
      </c>
    </row>
    <row r="242" spans="1:25" x14ac:dyDescent="0.55000000000000004">
      <c r="A242" t="s">
        <v>94</v>
      </c>
      <c r="B242" t="s">
        <v>147</v>
      </c>
      <c r="C242" t="s">
        <v>96</v>
      </c>
      <c r="D242" t="s">
        <v>148</v>
      </c>
      <c r="E242" t="s">
        <v>117</v>
      </c>
      <c r="F242" t="s">
        <v>135</v>
      </c>
      <c r="G242">
        <v>24507</v>
      </c>
      <c r="H242" t="s">
        <v>153</v>
      </c>
      <c r="I242">
        <v>2</v>
      </c>
      <c r="J242" t="s">
        <v>107</v>
      </c>
      <c r="K242" s="19">
        <v>0.27083333333333331</v>
      </c>
      <c r="L242" s="19">
        <v>0.58333333333333337</v>
      </c>
      <c r="M242">
        <v>7.5</v>
      </c>
      <c r="N242">
        <v>187.39</v>
      </c>
      <c r="O242">
        <v>54</v>
      </c>
      <c r="P242">
        <v>76</v>
      </c>
      <c r="Q242" t="s">
        <v>99</v>
      </c>
      <c r="R242">
        <v>30</v>
      </c>
      <c r="S242" s="19">
        <v>0.4375</v>
      </c>
      <c r="T242">
        <v>0</v>
      </c>
      <c r="U242" s="19">
        <v>0.54166666666666663</v>
      </c>
      <c r="V242" t="s">
        <v>99</v>
      </c>
      <c r="W242">
        <v>7</v>
      </c>
      <c r="X242" t="s">
        <v>102</v>
      </c>
      <c r="Y242" t="b">
        <v>0</v>
      </c>
    </row>
    <row r="243" spans="1:25" x14ac:dyDescent="0.55000000000000004">
      <c r="A243" t="s">
        <v>94</v>
      </c>
      <c r="B243" t="s">
        <v>147</v>
      </c>
      <c r="C243" t="s">
        <v>96</v>
      </c>
      <c r="D243" t="s">
        <v>148</v>
      </c>
      <c r="E243" t="s">
        <v>117</v>
      </c>
      <c r="F243" t="s">
        <v>135</v>
      </c>
      <c r="G243">
        <v>24507</v>
      </c>
      <c r="H243" t="s">
        <v>153</v>
      </c>
      <c r="I243">
        <v>2</v>
      </c>
      <c r="J243" t="s">
        <v>103</v>
      </c>
      <c r="K243" s="19">
        <v>0.27083333333333331</v>
      </c>
      <c r="L243" s="19">
        <v>0.58333333333333337</v>
      </c>
      <c r="M243">
        <v>7.5</v>
      </c>
      <c r="N243">
        <v>0</v>
      </c>
      <c r="O243">
        <v>54</v>
      </c>
      <c r="P243">
        <v>76</v>
      </c>
      <c r="Q243" t="s">
        <v>99</v>
      </c>
      <c r="R243">
        <v>30</v>
      </c>
      <c r="S243" s="19">
        <v>0.4375</v>
      </c>
      <c r="T243">
        <v>0</v>
      </c>
      <c r="U243" s="19">
        <v>0.54166666666666663</v>
      </c>
      <c r="V243" t="s">
        <v>99</v>
      </c>
      <c r="W243">
        <v>7</v>
      </c>
      <c r="X243" t="s">
        <v>102</v>
      </c>
      <c r="Y243" t="b">
        <v>0</v>
      </c>
    </row>
    <row r="244" spans="1:25" x14ac:dyDescent="0.55000000000000004">
      <c r="A244" t="s">
        <v>94</v>
      </c>
      <c r="B244" t="s">
        <v>147</v>
      </c>
      <c r="C244" t="s">
        <v>96</v>
      </c>
      <c r="D244" t="s">
        <v>148</v>
      </c>
      <c r="E244" t="s">
        <v>117</v>
      </c>
      <c r="F244" t="s">
        <v>135</v>
      </c>
      <c r="G244">
        <v>26130</v>
      </c>
      <c r="H244" t="s">
        <v>151</v>
      </c>
      <c r="I244">
        <v>1</v>
      </c>
      <c r="J244" t="s">
        <v>101</v>
      </c>
      <c r="K244" s="19">
        <v>0.27083333333333331</v>
      </c>
      <c r="L244" s="19">
        <v>0.58333333333333337</v>
      </c>
      <c r="M244">
        <v>7.5</v>
      </c>
      <c r="N244">
        <v>0</v>
      </c>
      <c r="O244">
        <v>56</v>
      </c>
      <c r="P244">
        <v>76</v>
      </c>
      <c r="Q244" t="s">
        <v>99</v>
      </c>
      <c r="R244">
        <v>30</v>
      </c>
      <c r="S244" s="19">
        <v>0.4375</v>
      </c>
      <c r="T244">
        <v>0</v>
      </c>
      <c r="U244" s="19">
        <v>0.54166666666666663</v>
      </c>
      <c r="V244" t="s">
        <v>99</v>
      </c>
      <c r="W244">
        <v>7</v>
      </c>
      <c r="X244" t="s">
        <v>102</v>
      </c>
      <c r="Y244" t="b">
        <v>0</v>
      </c>
    </row>
    <row r="245" spans="1:25" x14ac:dyDescent="0.55000000000000004">
      <c r="A245" t="s">
        <v>94</v>
      </c>
      <c r="B245" t="s">
        <v>147</v>
      </c>
      <c r="C245" t="s">
        <v>96</v>
      </c>
      <c r="D245" t="s">
        <v>148</v>
      </c>
      <c r="E245" t="s">
        <v>117</v>
      </c>
      <c r="F245" t="s">
        <v>139</v>
      </c>
      <c r="H245" t="s">
        <v>99</v>
      </c>
      <c r="I245">
        <v>1</v>
      </c>
      <c r="J245" t="s">
        <v>107</v>
      </c>
      <c r="K245" s="19">
        <v>0.27083333333333331</v>
      </c>
      <c r="L245" s="19">
        <v>0.58333333333333337</v>
      </c>
      <c r="M245">
        <v>7.5</v>
      </c>
      <c r="N245">
        <v>0</v>
      </c>
      <c r="O245">
        <v>0</v>
      </c>
      <c r="P245">
        <v>0</v>
      </c>
      <c r="Q245" t="s">
        <v>99</v>
      </c>
      <c r="R245">
        <v>30</v>
      </c>
      <c r="S245" s="19">
        <v>0.4375</v>
      </c>
      <c r="T245">
        <v>0</v>
      </c>
      <c r="U245" s="19">
        <v>0.54166666666666663</v>
      </c>
      <c r="V245" t="s">
        <v>99</v>
      </c>
      <c r="W245">
        <v>7</v>
      </c>
      <c r="X245" t="s">
        <v>102</v>
      </c>
      <c r="Y245" t="b">
        <v>0</v>
      </c>
    </row>
    <row r="246" spans="1:25" x14ac:dyDescent="0.55000000000000004">
      <c r="A246" t="s">
        <v>94</v>
      </c>
      <c r="B246" t="s">
        <v>147</v>
      </c>
      <c r="C246" t="s">
        <v>96</v>
      </c>
      <c r="D246" t="s">
        <v>148</v>
      </c>
      <c r="E246" t="s">
        <v>117</v>
      </c>
      <c r="F246" t="s">
        <v>139</v>
      </c>
      <c r="H246" t="s">
        <v>99</v>
      </c>
      <c r="I246">
        <v>1</v>
      </c>
      <c r="J246" t="s">
        <v>103</v>
      </c>
      <c r="K246" s="19">
        <v>0.27083333333333331</v>
      </c>
      <c r="L246" s="19">
        <v>0.58333333333333337</v>
      </c>
      <c r="M246">
        <v>7.5</v>
      </c>
      <c r="N246">
        <v>0</v>
      </c>
      <c r="O246">
        <v>0</v>
      </c>
      <c r="P246">
        <v>0</v>
      </c>
      <c r="Q246" t="s">
        <v>99</v>
      </c>
      <c r="R246">
        <v>30</v>
      </c>
      <c r="S246" s="19">
        <v>0.4375</v>
      </c>
      <c r="T246">
        <v>0</v>
      </c>
      <c r="U246" s="19">
        <v>0</v>
      </c>
      <c r="V246" t="s">
        <v>99</v>
      </c>
      <c r="W246">
        <v>7</v>
      </c>
      <c r="X246" t="s">
        <v>102</v>
      </c>
      <c r="Y246" t="b">
        <v>0</v>
      </c>
    </row>
    <row r="247" spans="1:25" x14ac:dyDescent="0.55000000000000004">
      <c r="A247" t="s">
        <v>94</v>
      </c>
      <c r="B247" t="s">
        <v>147</v>
      </c>
      <c r="C247" t="s">
        <v>96</v>
      </c>
      <c r="D247" t="s">
        <v>148</v>
      </c>
      <c r="E247" t="s">
        <v>117</v>
      </c>
      <c r="F247" t="s">
        <v>139</v>
      </c>
      <c r="H247" t="s">
        <v>99</v>
      </c>
      <c r="I247">
        <v>1</v>
      </c>
      <c r="J247" t="s">
        <v>104</v>
      </c>
      <c r="K247" s="19">
        <v>0.27083333333333331</v>
      </c>
      <c r="L247" s="19">
        <v>0.58333333333333337</v>
      </c>
      <c r="M247">
        <v>7.5</v>
      </c>
      <c r="N247">
        <v>203.35</v>
      </c>
      <c r="O247">
        <v>0</v>
      </c>
      <c r="P247">
        <v>0</v>
      </c>
      <c r="Q247" t="s">
        <v>99</v>
      </c>
      <c r="R247">
        <v>30</v>
      </c>
      <c r="S247" s="19">
        <v>0.4375</v>
      </c>
      <c r="T247">
        <v>0</v>
      </c>
      <c r="U247" s="19">
        <v>0.54166666666666663</v>
      </c>
      <c r="V247" t="s">
        <v>99</v>
      </c>
      <c r="W247">
        <v>7</v>
      </c>
      <c r="X247" t="s">
        <v>102</v>
      </c>
      <c r="Y247" t="b">
        <v>0</v>
      </c>
    </row>
    <row r="248" spans="1:25" x14ac:dyDescent="0.55000000000000004">
      <c r="A248" t="s">
        <v>94</v>
      </c>
      <c r="B248" t="s">
        <v>147</v>
      </c>
      <c r="C248" t="s">
        <v>96</v>
      </c>
      <c r="D248" t="s">
        <v>148</v>
      </c>
      <c r="E248" t="s">
        <v>117</v>
      </c>
      <c r="F248" t="s">
        <v>139</v>
      </c>
      <c r="H248" t="s">
        <v>99</v>
      </c>
      <c r="I248">
        <v>1</v>
      </c>
      <c r="J248" t="s">
        <v>105</v>
      </c>
      <c r="K248" s="19">
        <v>0.27083333333333331</v>
      </c>
      <c r="L248" s="19">
        <v>0.58333333333333337</v>
      </c>
      <c r="M248">
        <v>7.5</v>
      </c>
      <c r="N248">
        <v>203.35</v>
      </c>
      <c r="O248">
        <v>0</v>
      </c>
      <c r="P248">
        <v>0</v>
      </c>
      <c r="Q248" t="s">
        <v>99</v>
      </c>
      <c r="R248">
        <v>30</v>
      </c>
      <c r="S248" s="19">
        <v>0.4375</v>
      </c>
      <c r="T248">
        <v>0</v>
      </c>
      <c r="U248" s="19">
        <v>0.54166666666666663</v>
      </c>
      <c r="V248" t="s">
        <v>99</v>
      </c>
      <c r="W248">
        <v>7</v>
      </c>
      <c r="X248" t="s">
        <v>102</v>
      </c>
      <c r="Y248" t="b">
        <v>0</v>
      </c>
    </row>
    <row r="249" spans="1:25" x14ac:dyDescent="0.55000000000000004">
      <c r="A249" t="s">
        <v>94</v>
      </c>
      <c r="B249" t="s">
        <v>147</v>
      </c>
      <c r="C249" t="s">
        <v>96</v>
      </c>
      <c r="D249" t="s">
        <v>148</v>
      </c>
      <c r="E249" t="s">
        <v>117</v>
      </c>
      <c r="F249" t="s">
        <v>139</v>
      </c>
      <c r="H249" t="s">
        <v>99</v>
      </c>
      <c r="I249">
        <v>2</v>
      </c>
      <c r="J249" t="s">
        <v>107</v>
      </c>
      <c r="K249" s="19">
        <v>0.27083333333333331</v>
      </c>
      <c r="L249" s="19">
        <v>0.58333333333333337</v>
      </c>
      <c r="M249">
        <v>7.5</v>
      </c>
      <c r="N249">
        <v>0</v>
      </c>
      <c r="O249">
        <v>0</v>
      </c>
      <c r="P249">
        <v>0</v>
      </c>
      <c r="Q249" t="s">
        <v>99</v>
      </c>
      <c r="R249">
        <v>30</v>
      </c>
      <c r="S249" s="19">
        <v>0.4375</v>
      </c>
      <c r="T249">
        <v>0</v>
      </c>
      <c r="U249" s="19">
        <v>0</v>
      </c>
      <c r="V249" t="s">
        <v>99</v>
      </c>
      <c r="W249">
        <v>7</v>
      </c>
      <c r="X249" t="s">
        <v>102</v>
      </c>
      <c r="Y249" t="b">
        <v>0</v>
      </c>
    </row>
    <row r="250" spans="1:25" x14ac:dyDescent="0.55000000000000004">
      <c r="A250" t="s">
        <v>94</v>
      </c>
      <c r="B250" t="s">
        <v>147</v>
      </c>
      <c r="C250" t="s">
        <v>96</v>
      </c>
      <c r="D250" t="s">
        <v>148</v>
      </c>
      <c r="E250" t="s">
        <v>117</v>
      </c>
      <c r="F250" t="s">
        <v>139</v>
      </c>
      <c r="H250" t="s">
        <v>99</v>
      </c>
      <c r="I250">
        <v>2</v>
      </c>
      <c r="J250" t="s">
        <v>103</v>
      </c>
      <c r="K250" s="19">
        <v>0.27083333333333331</v>
      </c>
      <c r="L250" s="19">
        <v>0.58333333333333337</v>
      </c>
      <c r="M250">
        <v>7.5</v>
      </c>
      <c r="N250">
        <v>203.35</v>
      </c>
      <c r="O250">
        <v>0</v>
      </c>
      <c r="P250">
        <v>0</v>
      </c>
      <c r="Q250" t="s">
        <v>99</v>
      </c>
      <c r="R250">
        <v>30</v>
      </c>
      <c r="S250" s="19">
        <v>0.4375</v>
      </c>
      <c r="T250">
        <v>0</v>
      </c>
      <c r="U250" s="19">
        <v>0</v>
      </c>
      <c r="V250" t="s">
        <v>99</v>
      </c>
      <c r="W250">
        <v>7</v>
      </c>
      <c r="X250" t="s">
        <v>102</v>
      </c>
      <c r="Y250" t="b">
        <v>0</v>
      </c>
    </row>
    <row r="251" spans="1:25" x14ac:dyDescent="0.55000000000000004">
      <c r="A251" t="s">
        <v>94</v>
      </c>
      <c r="B251" t="s">
        <v>147</v>
      </c>
      <c r="C251" t="s">
        <v>96</v>
      </c>
      <c r="D251" t="s">
        <v>148</v>
      </c>
      <c r="E251" t="s">
        <v>117</v>
      </c>
      <c r="F251" t="s">
        <v>139</v>
      </c>
      <c r="G251">
        <v>25237</v>
      </c>
      <c r="H251" t="s">
        <v>154</v>
      </c>
      <c r="I251">
        <v>1</v>
      </c>
      <c r="J251" t="s">
        <v>101</v>
      </c>
      <c r="K251" s="19">
        <v>0.27083333333333331</v>
      </c>
      <c r="L251" s="19">
        <v>0.58333333333333337</v>
      </c>
      <c r="M251">
        <v>7.5</v>
      </c>
      <c r="N251">
        <v>249.99</v>
      </c>
      <c r="O251">
        <v>28</v>
      </c>
      <c r="P251">
        <v>76</v>
      </c>
      <c r="Q251" t="s">
        <v>99</v>
      </c>
      <c r="R251">
        <v>30</v>
      </c>
      <c r="S251" s="19">
        <v>0.4375</v>
      </c>
      <c r="T251">
        <v>0</v>
      </c>
      <c r="U251" s="19">
        <v>0.54166666666666663</v>
      </c>
      <c r="V251" t="s">
        <v>99</v>
      </c>
      <c r="W251">
        <v>7</v>
      </c>
      <c r="X251" t="s">
        <v>102</v>
      </c>
      <c r="Y251" t="b">
        <v>0</v>
      </c>
    </row>
    <row r="252" spans="1:25" x14ac:dyDescent="0.55000000000000004">
      <c r="A252" t="s">
        <v>94</v>
      </c>
      <c r="B252" t="s">
        <v>147</v>
      </c>
      <c r="C252" t="s">
        <v>96</v>
      </c>
      <c r="D252" t="s">
        <v>148</v>
      </c>
      <c r="E252" t="s">
        <v>117</v>
      </c>
      <c r="F252" t="s">
        <v>139</v>
      </c>
      <c r="G252">
        <v>25237</v>
      </c>
      <c r="H252" t="s">
        <v>154</v>
      </c>
      <c r="I252">
        <v>2</v>
      </c>
      <c r="J252" t="s">
        <v>101</v>
      </c>
      <c r="K252" s="19">
        <v>0.27083333333333331</v>
      </c>
      <c r="L252" s="19">
        <v>0.58333333333333337</v>
      </c>
      <c r="M252">
        <v>7.5</v>
      </c>
      <c r="N252">
        <v>0</v>
      </c>
      <c r="O252">
        <v>28</v>
      </c>
      <c r="P252">
        <v>76</v>
      </c>
      <c r="Q252" t="s">
        <v>99</v>
      </c>
      <c r="R252">
        <v>30</v>
      </c>
      <c r="S252" s="19">
        <v>0.4375</v>
      </c>
      <c r="T252">
        <v>0</v>
      </c>
      <c r="U252" s="19">
        <v>0.54166666666666663</v>
      </c>
      <c r="V252" t="s">
        <v>99</v>
      </c>
      <c r="W252">
        <v>7</v>
      </c>
      <c r="X252" t="s">
        <v>102</v>
      </c>
      <c r="Y252" t="b">
        <v>0</v>
      </c>
    </row>
    <row r="253" spans="1:25" x14ac:dyDescent="0.55000000000000004">
      <c r="A253" t="s">
        <v>94</v>
      </c>
      <c r="B253" t="s">
        <v>147</v>
      </c>
      <c r="C253" t="s">
        <v>96</v>
      </c>
      <c r="D253" t="s">
        <v>148</v>
      </c>
      <c r="E253" t="s">
        <v>117</v>
      </c>
      <c r="F253" t="s">
        <v>139</v>
      </c>
      <c r="G253">
        <v>25237</v>
      </c>
      <c r="H253" t="s">
        <v>154</v>
      </c>
      <c r="I253">
        <v>2</v>
      </c>
      <c r="J253" t="s">
        <v>104</v>
      </c>
      <c r="K253" s="19">
        <v>0.27083333333333331</v>
      </c>
      <c r="L253" s="19">
        <v>0.58333333333333337</v>
      </c>
      <c r="M253">
        <v>7.5</v>
      </c>
      <c r="N253">
        <v>0</v>
      </c>
      <c r="O253">
        <v>28</v>
      </c>
      <c r="P253">
        <v>76</v>
      </c>
      <c r="Q253" t="s">
        <v>99</v>
      </c>
      <c r="R253">
        <v>30</v>
      </c>
      <c r="S253" s="19">
        <v>0.4375</v>
      </c>
      <c r="T253">
        <v>0</v>
      </c>
      <c r="U253" s="19">
        <v>0.54166666666666663</v>
      </c>
      <c r="V253" t="s">
        <v>99</v>
      </c>
      <c r="W253">
        <v>7</v>
      </c>
      <c r="X253" t="s">
        <v>102</v>
      </c>
      <c r="Y253" t="b">
        <v>0</v>
      </c>
    </row>
    <row r="254" spans="1:25" x14ac:dyDescent="0.55000000000000004">
      <c r="A254" t="s">
        <v>94</v>
      </c>
      <c r="B254" t="s">
        <v>147</v>
      </c>
      <c r="C254" t="s">
        <v>96</v>
      </c>
      <c r="D254" t="s">
        <v>148</v>
      </c>
      <c r="E254" t="s">
        <v>117</v>
      </c>
      <c r="F254" t="s">
        <v>139</v>
      </c>
      <c r="G254">
        <v>25237</v>
      </c>
      <c r="H254" t="s">
        <v>154</v>
      </c>
      <c r="I254">
        <v>2</v>
      </c>
      <c r="J254" t="s">
        <v>105</v>
      </c>
      <c r="K254" s="19">
        <v>0.27083333333333331</v>
      </c>
      <c r="L254" s="19">
        <v>0.58333333333333337</v>
      </c>
      <c r="M254">
        <v>7.5</v>
      </c>
      <c r="N254">
        <v>0</v>
      </c>
      <c r="O254">
        <v>28</v>
      </c>
      <c r="P254">
        <v>76</v>
      </c>
      <c r="Q254" t="s">
        <v>99</v>
      </c>
      <c r="R254">
        <v>30</v>
      </c>
      <c r="S254" s="19">
        <v>0.4375</v>
      </c>
      <c r="T254">
        <v>0</v>
      </c>
      <c r="U254" s="19">
        <v>0.54166666666666663</v>
      </c>
      <c r="V254" t="s">
        <v>99</v>
      </c>
      <c r="W254">
        <v>7</v>
      </c>
      <c r="X254" t="s">
        <v>102</v>
      </c>
      <c r="Y254" t="b">
        <v>0</v>
      </c>
    </row>
    <row r="255" spans="1:25" x14ac:dyDescent="0.55000000000000004">
      <c r="A255" t="s">
        <v>94</v>
      </c>
      <c r="B255" t="s">
        <v>147</v>
      </c>
      <c r="C255" t="s">
        <v>96</v>
      </c>
      <c r="D255" t="s">
        <v>148</v>
      </c>
      <c r="E255" t="s">
        <v>117</v>
      </c>
      <c r="F255" t="s">
        <v>141</v>
      </c>
      <c r="G255">
        <v>19390</v>
      </c>
      <c r="H255" t="s">
        <v>150</v>
      </c>
      <c r="I255">
        <v>1</v>
      </c>
      <c r="J255" t="s">
        <v>101</v>
      </c>
      <c r="K255" s="19">
        <v>0.27083333333333331</v>
      </c>
      <c r="L255" s="19">
        <v>0.58333333333333337</v>
      </c>
      <c r="M255">
        <v>7.5</v>
      </c>
      <c r="N255">
        <v>203.35</v>
      </c>
      <c r="O255">
        <v>54</v>
      </c>
      <c r="P255">
        <v>76</v>
      </c>
      <c r="Q255" t="s">
        <v>99</v>
      </c>
      <c r="R255">
        <v>30</v>
      </c>
      <c r="S255" s="19">
        <v>0.4375</v>
      </c>
      <c r="T255">
        <v>0</v>
      </c>
      <c r="U255" s="19">
        <v>0</v>
      </c>
      <c r="V255" t="s">
        <v>99</v>
      </c>
      <c r="W255">
        <v>7</v>
      </c>
      <c r="X255" t="s">
        <v>102</v>
      </c>
      <c r="Y255" t="b">
        <v>0</v>
      </c>
    </row>
    <row r="256" spans="1:25" x14ac:dyDescent="0.55000000000000004">
      <c r="A256" t="s">
        <v>94</v>
      </c>
      <c r="B256" t="s">
        <v>147</v>
      </c>
      <c r="C256" t="s">
        <v>96</v>
      </c>
      <c r="D256" t="s">
        <v>148</v>
      </c>
      <c r="E256" t="s">
        <v>117</v>
      </c>
      <c r="F256" t="s">
        <v>141</v>
      </c>
      <c r="G256">
        <v>19390</v>
      </c>
      <c r="H256" t="s">
        <v>150</v>
      </c>
      <c r="I256">
        <v>1</v>
      </c>
      <c r="J256" t="s">
        <v>104</v>
      </c>
      <c r="K256" s="19">
        <v>0.27083333333333331</v>
      </c>
      <c r="L256" s="19">
        <v>0.58333333333333337</v>
      </c>
      <c r="M256">
        <v>7.5</v>
      </c>
      <c r="N256">
        <v>203.35</v>
      </c>
      <c r="O256">
        <v>54</v>
      </c>
      <c r="P256">
        <v>76</v>
      </c>
      <c r="Q256" t="s">
        <v>99</v>
      </c>
      <c r="R256">
        <v>30</v>
      </c>
      <c r="S256" s="19">
        <v>0.4375</v>
      </c>
      <c r="T256">
        <v>0</v>
      </c>
      <c r="U256" s="19">
        <v>0</v>
      </c>
      <c r="V256" t="s">
        <v>99</v>
      </c>
      <c r="W256">
        <v>7</v>
      </c>
      <c r="X256" t="s">
        <v>102</v>
      </c>
      <c r="Y256" t="b">
        <v>0</v>
      </c>
    </row>
    <row r="257" spans="1:25" x14ac:dyDescent="0.55000000000000004">
      <c r="A257" t="s">
        <v>94</v>
      </c>
      <c r="B257" t="s">
        <v>147</v>
      </c>
      <c r="C257" t="s">
        <v>96</v>
      </c>
      <c r="D257" t="s">
        <v>148</v>
      </c>
      <c r="E257" t="s">
        <v>117</v>
      </c>
      <c r="F257" t="s">
        <v>141</v>
      </c>
      <c r="G257">
        <v>19390</v>
      </c>
      <c r="H257" t="s">
        <v>150</v>
      </c>
      <c r="I257">
        <v>1</v>
      </c>
      <c r="J257" t="s">
        <v>105</v>
      </c>
      <c r="K257" s="19">
        <v>0.27083333333333331</v>
      </c>
      <c r="L257" s="19">
        <v>0.58333333333333337</v>
      </c>
      <c r="M257">
        <v>7.5</v>
      </c>
      <c r="N257">
        <v>0</v>
      </c>
      <c r="O257">
        <v>54</v>
      </c>
      <c r="P257">
        <v>76</v>
      </c>
      <c r="Q257" t="s">
        <v>99</v>
      </c>
      <c r="R257">
        <v>30</v>
      </c>
      <c r="S257" s="19">
        <v>0.4375</v>
      </c>
      <c r="T257">
        <v>0</v>
      </c>
      <c r="U257" s="19">
        <v>0</v>
      </c>
      <c r="V257" t="s">
        <v>99</v>
      </c>
      <c r="W257">
        <v>7</v>
      </c>
      <c r="X257" t="s">
        <v>102</v>
      </c>
      <c r="Y257" t="b">
        <v>0</v>
      </c>
    </row>
    <row r="258" spans="1:25" x14ac:dyDescent="0.55000000000000004">
      <c r="A258" t="s">
        <v>94</v>
      </c>
      <c r="B258" t="s">
        <v>147</v>
      </c>
      <c r="C258" t="s">
        <v>96</v>
      </c>
      <c r="D258" t="s">
        <v>148</v>
      </c>
      <c r="E258" t="s">
        <v>117</v>
      </c>
      <c r="F258" t="s">
        <v>141</v>
      </c>
      <c r="G258">
        <v>19390</v>
      </c>
      <c r="H258" t="s">
        <v>150</v>
      </c>
      <c r="I258">
        <v>2</v>
      </c>
      <c r="J258" t="s">
        <v>107</v>
      </c>
      <c r="K258" s="19">
        <v>0.27083333333333331</v>
      </c>
      <c r="L258" s="19">
        <v>0.58333333333333337</v>
      </c>
      <c r="M258">
        <v>7.5</v>
      </c>
      <c r="N258">
        <v>203.35</v>
      </c>
      <c r="O258">
        <v>54</v>
      </c>
      <c r="P258">
        <v>76</v>
      </c>
      <c r="Q258" t="s">
        <v>99</v>
      </c>
      <c r="R258">
        <v>30</v>
      </c>
      <c r="S258" s="19">
        <v>0.4375</v>
      </c>
      <c r="T258">
        <v>0</v>
      </c>
      <c r="U258" s="19">
        <v>0</v>
      </c>
      <c r="V258" t="s">
        <v>99</v>
      </c>
      <c r="W258">
        <v>7</v>
      </c>
      <c r="X258" t="s">
        <v>102</v>
      </c>
      <c r="Y258" t="b">
        <v>0</v>
      </c>
    </row>
    <row r="259" spans="1:25" x14ac:dyDescent="0.55000000000000004">
      <c r="A259" t="s">
        <v>94</v>
      </c>
      <c r="B259" t="s">
        <v>147</v>
      </c>
      <c r="C259" t="s">
        <v>96</v>
      </c>
      <c r="D259" t="s">
        <v>148</v>
      </c>
      <c r="E259" t="s">
        <v>117</v>
      </c>
      <c r="F259" t="s">
        <v>141</v>
      </c>
      <c r="G259">
        <v>24507</v>
      </c>
      <c r="H259" t="s">
        <v>153</v>
      </c>
      <c r="I259">
        <v>1</v>
      </c>
      <c r="J259" t="s">
        <v>107</v>
      </c>
      <c r="K259" s="19">
        <v>0.27083333333333331</v>
      </c>
      <c r="L259" s="19">
        <v>0.58333333333333337</v>
      </c>
      <c r="M259">
        <v>7.5</v>
      </c>
      <c r="N259">
        <v>187.39</v>
      </c>
      <c r="O259">
        <v>54</v>
      </c>
      <c r="P259">
        <v>76</v>
      </c>
      <c r="Q259" t="s">
        <v>99</v>
      </c>
      <c r="R259">
        <v>30</v>
      </c>
      <c r="S259" s="19">
        <v>0.4375</v>
      </c>
      <c r="T259">
        <v>0</v>
      </c>
      <c r="U259" s="19">
        <v>0</v>
      </c>
      <c r="V259" t="s">
        <v>99</v>
      </c>
      <c r="W259">
        <v>7</v>
      </c>
      <c r="X259" t="s">
        <v>102</v>
      </c>
      <c r="Y259" t="b">
        <v>0</v>
      </c>
    </row>
    <row r="260" spans="1:25" x14ac:dyDescent="0.55000000000000004">
      <c r="A260" t="s">
        <v>94</v>
      </c>
      <c r="B260" t="s">
        <v>147</v>
      </c>
      <c r="C260" t="s">
        <v>96</v>
      </c>
      <c r="D260" t="s">
        <v>148</v>
      </c>
      <c r="E260" t="s">
        <v>117</v>
      </c>
      <c r="F260" t="s">
        <v>141</v>
      </c>
      <c r="G260">
        <v>24507</v>
      </c>
      <c r="H260" t="s">
        <v>153</v>
      </c>
      <c r="I260">
        <v>1</v>
      </c>
      <c r="J260" t="s">
        <v>103</v>
      </c>
      <c r="K260" s="19">
        <v>0.27083333333333331</v>
      </c>
      <c r="L260" s="19">
        <v>0.58333333333333337</v>
      </c>
      <c r="M260">
        <v>7.5</v>
      </c>
      <c r="N260">
        <v>0</v>
      </c>
      <c r="O260">
        <v>54</v>
      </c>
      <c r="P260">
        <v>76</v>
      </c>
      <c r="Q260" t="s">
        <v>99</v>
      </c>
      <c r="R260">
        <v>30</v>
      </c>
      <c r="S260" s="19">
        <v>0.4375</v>
      </c>
      <c r="T260">
        <v>0</v>
      </c>
      <c r="U260" s="19">
        <v>0</v>
      </c>
      <c r="V260" t="s">
        <v>99</v>
      </c>
      <c r="W260">
        <v>7</v>
      </c>
      <c r="X260" t="s">
        <v>102</v>
      </c>
      <c r="Y260" t="b">
        <v>0</v>
      </c>
    </row>
    <row r="261" spans="1:25" x14ac:dyDescent="0.55000000000000004">
      <c r="A261" t="s">
        <v>94</v>
      </c>
      <c r="B261" t="s">
        <v>147</v>
      </c>
      <c r="C261" t="s">
        <v>96</v>
      </c>
      <c r="D261" t="s">
        <v>148</v>
      </c>
      <c r="E261" t="s">
        <v>117</v>
      </c>
      <c r="F261" t="s">
        <v>141</v>
      </c>
      <c r="G261">
        <v>26130</v>
      </c>
      <c r="H261" t="s">
        <v>151</v>
      </c>
      <c r="I261">
        <v>2</v>
      </c>
      <c r="J261" t="s">
        <v>101</v>
      </c>
      <c r="K261" s="19">
        <v>0.27083333333333331</v>
      </c>
      <c r="L261" s="19">
        <v>0.58333333333333337</v>
      </c>
      <c r="M261">
        <v>7.5</v>
      </c>
      <c r="N261">
        <v>0</v>
      </c>
      <c r="O261">
        <v>56</v>
      </c>
      <c r="P261">
        <v>76</v>
      </c>
      <c r="Q261" t="s">
        <v>99</v>
      </c>
      <c r="R261">
        <v>30</v>
      </c>
      <c r="S261" s="19">
        <v>0.4375</v>
      </c>
      <c r="T261">
        <v>0</v>
      </c>
      <c r="U261" s="19">
        <v>0.54166666666666663</v>
      </c>
      <c r="V261" t="s">
        <v>99</v>
      </c>
      <c r="W261">
        <v>7</v>
      </c>
      <c r="X261" t="s">
        <v>102</v>
      </c>
      <c r="Y261" t="b">
        <v>0</v>
      </c>
    </row>
    <row r="262" spans="1:25" x14ac:dyDescent="0.55000000000000004">
      <c r="A262" t="s">
        <v>94</v>
      </c>
      <c r="B262" t="s">
        <v>147</v>
      </c>
      <c r="C262" t="s">
        <v>96</v>
      </c>
      <c r="D262" t="s">
        <v>148</v>
      </c>
      <c r="E262" t="s">
        <v>117</v>
      </c>
      <c r="F262" t="s">
        <v>141</v>
      </c>
      <c r="G262">
        <v>26130</v>
      </c>
      <c r="H262" t="s">
        <v>151</v>
      </c>
      <c r="I262">
        <v>2</v>
      </c>
      <c r="J262" t="s">
        <v>103</v>
      </c>
      <c r="K262" s="19">
        <v>0.27083333333333331</v>
      </c>
      <c r="L262" s="19">
        <v>0.58333333333333337</v>
      </c>
      <c r="M262">
        <v>7.5</v>
      </c>
      <c r="N262">
        <v>0</v>
      </c>
      <c r="O262">
        <v>56</v>
      </c>
      <c r="P262">
        <v>76</v>
      </c>
      <c r="Q262" t="s">
        <v>99</v>
      </c>
      <c r="R262">
        <v>30</v>
      </c>
      <c r="S262" s="19">
        <v>0.4375</v>
      </c>
      <c r="T262">
        <v>0</v>
      </c>
      <c r="U262" s="19">
        <v>0.54166666666666663</v>
      </c>
      <c r="V262" t="s">
        <v>99</v>
      </c>
      <c r="W262">
        <v>7</v>
      </c>
      <c r="X262" t="s">
        <v>102</v>
      </c>
      <c r="Y262" t="b">
        <v>0</v>
      </c>
    </row>
    <row r="263" spans="1:25" x14ac:dyDescent="0.55000000000000004">
      <c r="A263" t="s">
        <v>94</v>
      </c>
      <c r="B263" t="s">
        <v>147</v>
      </c>
      <c r="C263" t="s">
        <v>96</v>
      </c>
      <c r="D263" t="s">
        <v>148</v>
      </c>
      <c r="E263" t="s">
        <v>117</v>
      </c>
      <c r="F263" t="s">
        <v>141</v>
      </c>
      <c r="G263">
        <v>26130</v>
      </c>
      <c r="H263" t="s">
        <v>151</v>
      </c>
      <c r="I263">
        <v>2</v>
      </c>
      <c r="J263" t="s">
        <v>104</v>
      </c>
      <c r="K263" s="19">
        <v>0.27083333333333331</v>
      </c>
      <c r="L263" s="19">
        <v>0.58333333333333337</v>
      </c>
      <c r="M263">
        <v>7.5</v>
      </c>
      <c r="N263">
        <v>0</v>
      </c>
      <c r="O263">
        <v>56</v>
      </c>
      <c r="P263">
        <v>76</v>
      </c>
      <c r="Q263" t="s">
        <v>99</v>
      </c>
      <c r="R263">
        <v>30</v>
      </c>
      <c r="S263" s="19">
        <v>0.4375</v>
      </c>
      <c r="T263">
        <v>0</v>
      </c>
      <c r="U263" s="19">
        <v>0.54166666666666663</v>
      </c>
      <c r="V263" t="s">
        <v>99</v>
      </c>
      <c r="W263">
        <v>7</v>
      </c>
      <c r="X263" t="s">
        <v>102</v>
      </c>
      <c r="Y263" t="b">
        <v>0</v>
      </c>
    </row>
    <row r="264" spans="1:25" x14ac:dyDescent="0.55000000000000004">
      <c r="A264" t="s">
        <v>94</v>
      </c>
      <c r="B264" t="s">
        <v>147</v>
      </c>
      <c r="C264" t="s">
        <v>96</v>
      </c>
      <c r="D264" t="s">
        <v>148</v>
      </c>
      <c r="E264" t="s">
        <v>117</v>
      </c>
      <c r="F264" t="s">
        <v>141</v>
      </c>
      <c r="G264">
        <v>26130</v>
      </c>
      <c r="H264" t="s">
        <v>151</v>
      </c>
      <c r="I264">
        <v>2</v>
      </c>
      <c r="J264" t="s">
        <v>105</v>
      </c>
      <c r="K264" s="19">
        <v>0.27083333333333331</v>
      </c>
      <c r="L264" s="19">
        <v>0.58333333333333337</v>
      </c>
      <c r="M264">
        <v>7.5</v>
      </c>
      <c r="N264">
        <v>0</v>
      </c>
      <c r="O264">
        <v>56</v>
      </c>
      <c r="P264">
        <v>76</v>
      </c>
      <c r="Q264" t="s">
        <v>99</v>
      </c>
      <c r="R264">
        <v>30</v>
      </c>
      <c r="S264" s="19">
        <v>0.4375</v>
      </c>
      <c r="T264">
        <v>0</v>
      </c>
      <c r="U264" s="19">
        <v>0.54166666666666663</v>
      </c>
      <c r="V264" t="s">
        <v>99</v>
      </c>
      <c r="W264">
        <v>7</v>
      </c>
      <c r="X264" t="s">
        <v>102</v>
      </c>
      <c r="Y264" t="b">
        <v>0</v>
      </c>
    </row>
    <row r="265" spans="1:25" x14ac:dyDescent="0.55000000000000004">
      <c r="A265" t="s">
        <v>94</v>
      </c>
      <c r="B265" t="s">
        <v>155</v>
      </c>
      <c r="C265" t="s">
        <v>96</v>
      </c>
      <c r="D265" t="s">
        <v>156</v>
      </c>
      <c r="E265" t="s">
        <v>117</v>
      </c>
      <c r="F265" t="s">
        <v>99</v>
      </c>
      <c r="H265" t="s">
        <v>99</v>
      </c>
      <c r="I265">
        <v>1</v>
      </c>
      <c r="J265" t="s">
        <v>101</v>
      </c>
      <c r="K265" s="19">
        <v>0.25</v>
      </c>
      <c r="L265" s="19">
        <v>0.58333333333333337</v>
      </c>
      <c r="M265">
        <v>8</v>
      </c>
      <c r="N265">
        <v>217.88</v>
      </c>
      <c r="O265">
        <v>0</v>
      </c>
      <c r="P265">
        <v>0</v>
      </c>
      <c r="Q265" t="s">
        <v>99</v>
      </c>
      <c r="R265">
        <v>30</v>
      </c>
      <c r="S265" s="19">
        <v>0.41666666666666669</v>
      </c>
      <c r="T265">
        <v>0</v>
      </c>
      <c r="U265" s="19">
        <v>0.54166666666666663</v>
      </c>
      <c r="V265" t="s">
        <v>99</v>
      </c>
      <c r="W265">
        <v>7.5</v>
      </c>
      <c r="X265" t="s">
        <v>102</v>
      </c>
      <c r="Y265" t="b">
        <v>0</v>
      </c>
    </row>
    <row r="266" spans="1:25" x14ac:dyDescent="0.55000000000000004">
      <c r="A266" t="s">
        <v>94</v>
      </c>
      <c r="B266" t="s">
        <v>155</v>
      </c>
      <c r="C266" t="s">
        <v>96</v>
      </c>
      <c r="D266" t="s">
        <v>156</v>
      </c>
      <c r="E266" t="s">
        <v>117</v>
      </c>
      <c r="F266" t="s">
        <v>99</v>
      </c>
      <c r="H266" t="s">
        <v>99</v>
      </c>
      <c r="I266">
        <v>1</v>
      </c>
      <c r="J266" t="s">
        <v>103</v>
      </c>
      <c r="K266" s="19">
        <v>0.25</v>
      </c>
      <c r="L266" s="19">
        <v>0.58333333333333337</v>
      </c>
      <c r="M266">
        <v>8</v>
      </c>
      <c r="N266">
        <v>0</v>
      </c>
      <c r="O266">
        <v>0</v>
      </c>
      <c r="P266">
        <v>0</v>
      </c>
      <c r="Q266" t="s">
        <v>99</v>
      </c>
      <c r="R266">
        <v>30</v>
      </c>
      <c r="S266" s="19">
        <v>0.41666666666666669</v>
      </c>
      <c r="T266">
        <v>0</v>
      </c>
      <c r="U266" s="19">
        <v>0.54166666666666663</v>
      </c>
      <c r="V266" t="s">
        <v>99</v>
      </c>
      <c r="W266">
        <v>7.5</v>
      </c>
      <c r="X266" t="s">
        <v>102</v>
      </c>
      <c r="Y266" t="b">
        <v>0</v>
      </c>
    </row>
    <row r="267" spans="1:25" x14ac:dyDescent="0.55000000000000004">
      <c r="A267" t="s">
        <v>94</v>
      </c>
      <c r="B267" t="s">
        <v>155</v>
      </c>
      <c r="C267" t="s">
        <v>96</v>
      </c>
      <c r="D267" t="s">
        <v>156</v>
      </c>
      <c r="E267" t="s">
        <v>117</v>
      </c>
      <c r="F267" t="s">
        <v>99</v>
      </c>
      <c r="G267">
        <v>18630</v>
      </c>
      <c r="H267" t="s">
        <v>157</v>
      </c>
      <c r="I267">
        <v>1</v>
      </c>
      <c r="J267" t="s">
        <v>107</v>
      </c>
      <c r="K267" s="19">
        <v>0.25</v>
      </c>
      <c r="L267" s="19">
        <v>0.58333333333333337</v>
      </c>
      <c r="M267">
        <v>8</v>
      </c>
      <c r="N267">
        <v>0</v>
      </c>
      <c r="O267">
        <v>75</v>
      </c>
      <c r="P267">
        <v>76</v>
      </c>
      <c r="Q267" t="s">
        <v>99</v>
      </c>
      <c r="R267">
        <v>30</v>
      </c>
      <c r="S267" s="19">
        <v>0.41666666666666669</v>
      </c>
      <c r="T267">
        <v>0</v>
      </c>
      <c r="U267" s="19">
        <v>0.54166666666666663</v>
      </c>
      <c r="V267" t="s">
        <v>99</v>
      </c>
      <c r="W267">
        <v>7.5</v>
      </c>
      <c r="X267" t="s">
        <v>102</v>
      </c>
      <c r="Y267" t="b">
        <v>0</v>
      </c>
    </row>
    <row r="268" spans="1:25" x14ac:dyDescent="0.55000000000000004">
      <c r="A268" t="s">
        <v>94</v>
      </c>
      <c r="B268" t="s">
        <v>155</v>
      </c>
      <c r="C268" t="s">
        <v>96</v>
      </c>
      <c r="D268" t="s">
        <v>156</v>
      </c>
      <c r="E268" t="s">
        <v>117</v>
      </c>
      <c r="F268" t="s">
        <v>99</v>
      </c>
      <c r="G268">
        <v>18630</v>
      </c>
      <c r="H268" t="s">
        <v>157</v>
      </c>
      <c r="I268">
        <v>1</v>
      </c>
      <c r="J268" t="s">
        <v>101</v>
      </c>
      <c r="K268" s="19">
        <v>0.20833333333333334</v>
      </c>
      <c r="L268" s="19">
        <v>0.54166666666666663</v>
      </c>
      <c r="M268">
        <v>8</v>
      </c>
      <c r="N268">
        <v>0</v>
      </c>
      <c r="O268">
        <v>75</v>
      </c>
      <c r="P268">
        <v>76</v>
      </c>
      <c r="Q268" t="s">
        <v>99</v>
      </c>
      <c r="R268">
        <v>30</v>
      </c>
      <c r="S268" s="19">
        <v>0.41666666666666669</v>
      </c>
      <c r="T268">
        <v>0</v>
      </c>
      <c r="U268" s="19">
        <v>0.54166666666666663</v>
      </c>
      <c r="V268" t="s">
        <v>99</v>
      </c>
      <c r="W268">
        <v>7.5</v>
      </c>
      <c r="X268" t="s">
        <v>102</v>
      </c>
      <c r="Y268" t="b">
        <v>0</v>
      </c>
    </row>
    <row r="269" spans="1:25" x14ac:dyDescent="0.55000000000000004">
      <c r="A269" t="s">
        <v>94</v>
      </c>
      <c r="B269" t="s">
        <v>155</v>
      </c>
      <c r="C269" t="s">
        <v>96</v>
      </c>
      <c r="D269" t="s">
        <v>156</v>
      </c>
      <c r="E269" t="s">
        <v>117</v>
      </c>
      <c r="F269" t="s">
        <v>99</v>
      </c>
      <c r="G269">
        <v>18630</v>
      </c>
      <c r="H269" t="s">
        <v>157</v>
      </c>
      <c r="I269">
        <v>1</v>
      </c>
      <c r="J269" t="s">
        <v>103</v>
      </c>
      <c r="K269" s="19">
        <v>0.25</v>
      </c>
      <c r="L269" s="19">
        <v>0.58333333333333337</v>
      </c>
      <c r="M269">
        <v>8</v>
      </c>
      <c r="N269">
        <v>0</v>
      </c>
      <c r="O269">
        <v>75</v>
      </c>
      <c r="P269">
        <v>76</v>
      </c>
      <c r="Q269" t="s">
        <v>99</v>
      </c>
      <c r="R269">
        <v>30</v>
      </c>
      <c r="S269" s="19">
        <v>0.41666666666666669</v>
      </c>
      <c r="T269">
        <v>0</v>
      </c>
      <c r="U269" s="19">
        <v>0.54166666666666663</v>
      </c>
      <c r="V269" t="s">
        <v>99</v>
      </c>
      <c r="W269">
        <v>7.5</v>
      </c>
      <c r="X269" t="s">
        <v>102</v>
      </c>
      <c r="Y269" t="b">
        <v>0</v>
      </c>
    </row>
    <row r="270" spans="1:25" x14ac:dyDescent="0.55000000000000004">
      <c r="A270" t="s">
        <v>94</v>
      </c>
      <c r="B270" t="s">
        <v>155</v>
      </c>
      <c r="C270" t="s">
        <v>96</v>
      </c>
      <c r="D270" t="s">
        <v>156</v>
      </c>
      <c r="E270" t="s">
        <v>117</v>
      </c>
      <c r="F270" t="s">
        <v>99</v>
      </c>
      <c r="G270">
        <v>18630</v>
      </c>
      <c r="H270" t="s">
        <v>157</v>
      </c>
      <c r="I270">
        <v>1</v>
      </c>
      <c r="J270" t="s">
        <v>104</v>
      </c>
      <c r="K270" s="19">
        <v>0.25</v>
      </c>
      <c r="L270" s="19">
        <v>0.58333333333333337</v>
      </c>
      <c r="M270">
        <v>8</v>
      </c>
      <c r="N270">
        <v>0</v>
      </c>
      <c r="O270">
        <v>75</v>
      </c>
      <c r="P270">
        <v>76</v>
      </c>
      <c r="Q270" t="s">
        <v>99</v>
      </c>
      <c r="R270">
        <v>30</v>
      </c>
      <c r="S270" s="19">
        <v>0.41666666666666669</v>
      </c>
      <c r="T270">
        <v>0</v>
      </c>
      <c r="U270" s="19">
        <v>0.54166666666666663</v>
      </c>
      <c r="V270" t="s">
        <v>99</v>
      </c>
      <c r="W270">
        <v>7.5</v>
      </c>
      <c r="X270" t="s">
        <v>102</v>
      </c>
      <c r="Y270" t="b">
        <v>0</v>
      </c>
    </row>
    <row r="271" spans="1:25" x14ac:dyDescent="0.55000000000000004">
      <c r="A271" t="s">
        <v>94</v>
      </c>
      <c r="B271" t="s">
        <v>155</v>
      </c>
      <c r="C271" t="s">
        <v>96</v>
      </c>
      <c r="D271" t="s">
        <v>156</v>
      </c>
      <c r="E271" t="s">
        <v>117</v>
      </c>
      <c r="F271" t="s">
        <v>99</v>
      </c>
      <c r="G271">
        <v>18630</v>
      </c>
      <c r="H271" t="s">
        <v>157</v>
      </c>
      <c r="I271">
        <v>1</v>
      </c>
      <c r="J271" t="s">
        <v>105</v>
      </c>
      <c r="K271" s="19">
        <v>0.25</v>
      </c>
      <c r="L271" s="19">
        <v>0.58333333333333337</v>
      </c>
      <c r="M271">
        <v>8</v>
      </c>
      <c r="N271">
        <v>0</v>
      </c>
      <c r="O271">
        <v>75</v>
      </c>
      <c r="P271">
        <v>76</v>
      </c>
      <c r="Q271" t="s">
        <v>99</v>
      </c>
      <c r="R271">
        <v>30</v>
      </c>
      <c r="S271" s="19">
        <v>0.41666666666666669</v>
      </c>
      <c r="T271">
        <v>0</v>
      </c>
      <c r="U271" s="19">
        <v>0.54166666666666663</v>
      </c>
      <c r="V271" t="s">
        <v>99</v>
      </c>
      <c r="W271">
        <v>7.5</v>
      </c>
      <c r="X271" t="s">
        <v>102</v>
      </c>
      <c r="Y271" t="b">
        <v>0</v>
      </c>
    </row>
    <row r="272" spans="1:25" x14ac:dyDescent="0.55000000000000004">
      <c r="A272" t="s">
        <v>94</v>
      </c>
      <c r="B272" t="s">
        <v>155</v>
      </c>
      <c r="C272" t="s">
        <v>96</v>
      </c>
      <c r="D272" t="s">
        <v>156</v>
      </c>
      <c r="E272" t="s">
        <v>117</v>
      </c>
      <c r="F272" t="s">
        <v>99</v>
      </c>
      <c r="G272">
        <v>18630</v>
      </c>
      <c r="H272" t="s">
        <v>157</v>
      </c>
      <c r="I272">
        <v>2</v>
      </c>
      <c r="J272" t="s">
        <v>107</v>
      </c>
      <c r="K272" s="19">
        <v>0.25</v>
      </c>
      <c r="L272" s="19">
        <v>0.58333333333333337</v>
      </c>
      <c r="M272">
        <v>8</v>
      </c>
      <c r="N272">
        <v>0</v>
      </c>
      <c r="O272">
        <v>75</v>
      </c>
      <c r="P272">
        <v>76</v>
      </c>
      <c r="Q272" t="s">
        <v>99</v>
      </c>
      <c r="R272">
        <v>30</v>
      </c>
      <c r="S272" s="19">
        <v>0.41666666666666669</v>
      </c>
      <c r="T272">
        <v>0</v>
      </c>
      <c r="U272" s="19">
        <v>0.54166666666666663</v>
      </c>
      <c r="V272" t="s">
        <v>99</v>
      </c>
      <c r="W272">
        <v>7.5</v>
      </c>
      <c r="X272" t="s">
        <v>102</v>
      </c>
      <c r="Y272" t="b">
        <v>0</v>
      </c>
    </row>
    <row r="273" spans="1:25" x14ac:dyDescent="0.55000000000000004">
      <c r="A273" t="s">
        <v>94</v>
      </c>
      <c r="B273" t="s">
        <v>155</v>
      </c>
      <c r="C273" t="s">
        <v>96</v>
      </c>
      <c r="D273" t="s">
        <v>156</v>
      </c>
      <c r="E273" t="s">
        <v>117</v>
      </c>
      <c r="F273" t="s">
        <v>99</v>
      </c>
      <c r="G273">
        <v>18630</v>
      </c>
      <c r="H273" t="s">
        <v>157</v>
      </c>
      <c r="I273">
        <v>2</v>
      </c>
      <c r="J273" t="s">
        <v>101</v>
      </c>
      <c r="K273" s="19">
        <v>0.20833333333333334</v>
      </c>
      <c r="L273" s="19">
        <v>0.54166666666666663</v>
      </c>
      <c r="M273">
        <v>8</v>
      </c>
      <c r="N273">
        <v>0</v>
      </c>
      <c r="O273">
        <v>75</v>
      </c>
      <c r="P273">
        <v>76</v>
      </c>
      <c r="Q273" t="s">
        <v>99</v>
      </c>
      <c r="R273">
        <v>30</v>
      </c>
      <c r="S273" s="19">
        <v>0.41666666666666669</v>
      </c>
      <c r="T273">
        <v>0</v>
      </c>
      <c r="U273" s="19">
        <v>0.54166666666666663</v>
      </c>
      <c r="V273" t="s">
        <v>99</v>
      </c>
      <c r="W273">
        <v>7.5</v>
      </c>
      <c r="X273" t="s">
        <v>102</v>
      </c>
      <c r="Y273" t="b">
        <v>0</v>
      </c>
    </row>
    <row r="274" spans="1:25" x14ac:dyDescent="0.55000000000000004">
      <c r="A274" t="s">
        <v>94</v>
      </c>
      <c r="B274" t="s">
        <v>155</v>
      </c>
      <c r="C274" t="s">
        <v>96</v>
      </c>
      <c r="D274" t="s">
        <v>156</v>
      </c>
      <c r="E274" t="s">
        <v>117</v>
      </c>
      <c r="F274" t="s">
        <v>99</v>
      </c>
      <c r="G274">
        <v>18630</v>
      </c>
      <c r="H274" t="s">
        <v>157</v>
      </c>
      <c r="I274">
        <v>2</v>
      </c>
      <c r="J274" t="s">
        <v>103</v>
      </c>
      <c r="K274" s="19">
        <v>0.25</v>
      </c>
      <c r="L274" s="19">
        <v>0.58333333333333337</v>
      </c>
      <c r="M274">
        <v>8</v>
      </c>
      <c r="N274">
        <v>0</v>
      </c>
      <c r="O274">
        <v>75</v>
      </c>
      <c r="P274">
        <v>76</v>
      </c>
      <c r="Q274" t="s">
        <v>99</v>
      </c>
      <c r="R274">
        <v>30</v>
      </c>
      <c r="S274" s="19">
        <v>0.41666666666666669</v>
      </c>
      <c r="T274">
        <v>0</v>
      </c>
      <c r="U274" s="19">
        <v>0.54166666666666663</v>
      </c>
      <c r="V274" t="s">
        <v>99</v>
      </c>
      <c r="W274">
        <v>7.5</v>
      </c>
      <c r="X274" t="s">
        <v>102</v>
      </c>
      <c r="Y274" t="b">
        <v>0</v>
      </c>
    </row>
    <row r="275" spans="1:25" x14ac:dyDescent="0.55000000000000004">
      <c r="A275" t="s">
        <v>94</v>
      </c>
      <c r="B275" t="s">
        <v>155</v>
      </c>
      <c r="C275" t="s">
        <v>96</v>
      </c>
      <c r="D275" t="s">
        <v>156</v>
      </c>
      <c r="E275" t="s">
        <v>117</v>
      </c>
      <c r="F275" t="s">
        <v>99</v>
      </c>
      <c r="G275">
        <v>18630</v>
      </c>
      <c r="H275" t="s">
        <v>157</v>
      </c>
      <c r="I275">
        <v>2</v>
      </c>
      <c r="J275" t="s">
        <v>104</v>
      </c>
      <c r="K275" s="19">
        <v>0.25</v>
      </c>
      <c r="L275" s="19">
        <v>0.58333333333333337</v>
      </c>
      <c r="M275">
        <v>8</v>
      </c>
      <c r="N275">
        <v>0</v>
      </c>
      <c r="O275">
        <v>75</v>
      </c>
      <c r="P275">
        <v>76</v>
      </c>
      <c r="Q275" t="s">
        <v>99</v>
      </c>
      <c r="R275">
        <v>30</v>
      </c>
      <c r="S275" s="19">
        <v>0.41666666666666669</v>
      </c>
      <c r="T275">
        <v>0</v>
      </c>
      <c r="U275" s="19">
        <v>0.54166666666666663</v>
      </c>
      <c r="V275" t="s">
        <v>99</v>
      </c>
      <c r="W275">
        <v>7.5</v>
      </c>
      <c r="X275" t="s">
        <v>102</v>
      </c>
      <c r="Y275" t="b">
        <v>0</v>
      </c>
    </row>
    <row r="276" spans="1:25" x14ac:dyDescent="0.55000000000000004">
      <c r="A276" t="s">
        <v>94</v>
      </c>
      <c r="B276" t="s">
        <v>155</v>
      </c>
      <c r="C276" t="s">
        <v>96</v>
      </c>
      <c r="D276" t="s">
        <v>156</v>
      </c>
      <c r="E276" t="s">
        <v>117</v>
      </c>
      <c r="F276" t="s">
        <v>99</v>
      </c>
      <c r="G276">
        <v>18630</v>
      </c>
      <c r="H276" t="s">
        <v>157</v>
      </c>
      <c r="I276">
        <v>2</v>
      </c>
      <c r="J276" t="s">
        <v>105</v>
      </c>
      <c r="K276" s="19">
        <v>0.25</v>
      </c>
      <c r="L276" s="19">
        <v>0.58333333333333337</v>
      </c>
      <c r="M276">
        <v>8</v>
      </c>
      <c r="N276">
        <v>0</v>
      </c>
      <c r="O276">
        <v>75</v>
      </c>
      <c r="P276">
        <v>76</v>
      </c>
      <c r="Q276" t="s">
        <v>99</v>
      </c>
      <c r="R276">
        <v>30</v>
      </c>
      <c r="S276" s="19">
        <v>0.41666666666666669</v>
      </c>
      <c r="T276">
        <v>0</v>
      </c>
      <c r="U276" s="19">
        <v>0.54166666666666663</v>
      </c>
      <c r="V276" t="s">
        <v>99</v>
      </c>
      <c r="W276">
        <v>7.5</v>
      </c>
      <c r="X276" t="s">
        <v>102</v>
      </c>
      <c r="Y276" t="b">
        <v>0</v>
      </c>
    </row>
    <row r="277" spans="1:25" x14ac:dyDescent="0.55000000000000004">
      <c r="A277" t="s">
        <v>94</v>
      </c>
      <c r="B277" t="s">
        <v>155</v>
      </c>
      <c r="C277" t="s">
        <v>96</v>
      </c>
      <c r="D277" t="s">
        <v>156</v>
      </c>
      <c r="E277" t="s">
        <v>117</v>
      </c>
      <c r="F277" t="s">
        <v>99</v>
      </c>
      <c r="G277">
        <v>19283</v>
      </c>
      <c r="H277" t="s">
        <v>158</v>
      </c>
      <c r="I277">
        <v>1</v>
      </c>
      <c r="J277" t="s">
        <v>107</v>
      </c>
      <c r="K277" s="19">
        <v>0.25</v>
      </c>
      <c r="L277" s="19">
        <v>0.58333333333333337</v>
      </c>
      <c r="M277">
        <v>8</v>
      </c>
      <c r="N277">
        <v>0</v>
      </c>
      <c r="O277">
        <v>75</v>
      </c>
      <c r="P277">
        <v>76</v>
      </c>
      <c r="Q277" t="s">
        <v>99</v>
      </c>
      <c r="R277">
        <v>30</v>
      </c>
      <c r="S277" s="19">
        <v>0.41666666666666669</v>
      </c>
      <c r="T277">
        <v>0</v>
      </c>
      <c r="U277" s="19">
        <v>0.54166666666666663</v>
      </c>
      <c r="V277" t="s">
        <v>99</v>
      </c>
      <c r="W277">
        <v>7.5</v>
      </c>
      <c r="X277" t="s">
        <v>102</v>
      </c>
      <c r="Y277" t="b">
        <v>0</v>
      </c>
    </row>
    <row r="278" spans="1:25" x14ac:dyDescent="0.55000000000000004">
      <c r="A278" t="s">
        <v>94</v>
      </c>
      <c r="B278" t="s">
        <v>155</v>
      </c>
      <c r="C278" t="s">
        <v>96</v>
      </c>
      <c r="D278" t="s">
        <v>156</v>
      </c>
      <c r="E278" t="s">
        <v>117</v>
      </c>
      <c r="F278" t="s">
        <v>99</v>
      </c>
      <c r="G278">
        <v>19283</v>
      </c>
      <c r="H278" t="s">
        <v>158</v>
      </c>
      <c r="I278">
        <v>1</v>
      </c>
      <c r="J278" t="s">
        <v>101</v>
      </c>
      <c r="K278" s="19">
        <v>0.25</v>
      </c>
      <c r="L278" s="19">
        <v>0.58333333333333337</v>
      </c>
      <c r="M278">
        <v>8</v>
      </c>
      <c r="N278">
        <v>0</v>
      </c>
      <c r="O278">
        <v>75</v>
      </c>
      <c r="P278">
        <v>76</v>
      </c>
      <c r="Q278" t="s">
        <v>99</v>
      </c>
      <c r="R278">
        <v>30</v>
      </c>
      <c r="S278" s="19">
        <v>0.41666666666666669</v>
      </c>
      <c r="T278">
        <v>0</v>
      </c>
      <c r="U278" s="19">
        <v>0.54166666666666663</v>
      </c>
      <c r="V278" t="s">
        <v>99</v>
      </c>
      <c r="W278">
        <v>7.5</v>
      </c>
      <c r="X278" t="s">
        <v>102</v>
      </c>
      <c r="Y278" t="b">
        <v>0</v>
      </c>
    </row>
    <row r="279" spans="1:25" x14ac:dyDescent="0.55000000000000004">
      <c r="A279" t="s">
        <v>94</v>
      </c>
      <c r="B279" t="s">
        <v>155</v>
      </c>
      <c r="C279" t="s">
        <v>96</v>
      </c>
      <c r="D279" t="s">
        <v>156</v>
      </c>
      <c r="E279" t="s">
        <v>117</v>
      </c>
      <c r="F279" t="s">
        <v>99</v>
      </c>
      <c r="G279">
        <v>19283</v>
      </c>
      <c r="H279" t="s">
        <v>158</v>
      </c>
      <c r="I279">
        <v>1</v>
      </c>
      <c r="J279" t="s">
        <v>103</v>
      </c>
      <c r="K279" s="19">
        <v>0.25</v>
      </c>
      <c r="L279" s="19">
        <v>0.58333333333333337</v>
      </c>
      <c r="M279">
        <v>8</v>
      </c>
      <c r="N279">
        <v>0</v>
      </c>
      <c r="O279">
        <v>75</v>
      </c>
      <c r="P279">
        <v>76</v>
      </c>
      <c r="Q279" t="s">
        <v>99</v>
      </c>
      <c r="R279">
        <v>30</v>
      </c>
      <c r="S279" s="19">
        <v>0.41666666666666669</v>
      </c>
      <c r="T279">
        <v>0</v>
      </c>
      <c r="U279" s="19">
        <v>0.54166666666666663</v>
      </c>
      <c r="V279" t="s">
        <v>99</v>
      </c>
      <c r="W279">
        <v>7.5</v>
      </c>
      <c r="X279" t="s">
        <v>102</v>
      </c>
      <c r="Y279" t="b">
        <v>0</v>
      </c>
    </row>
    <row r="280" spans="1:25" x14ac:dyDescent="0.55000000000000004">
      <c r="A280" t="s">
        <v>94</v>
      </c>
      <c r="B280" t="s">
        <v>155</v>
      </c>
      <c r="C280" t="s">
        <v>96</v>
      </c>
      <c r="D280" t="s">
        <v>156</v>
      </c>
      <c r="E280" t="s">
        <v>117</v>
      </c>
      <c r="F280" t="s">
        <v>99</v>
      </c>
      <c r="G280">
        <v>19283</v>
      </c>
      <c r="H280" t="s">
        <v>158</v>
      </c>
      <c r="I280">
        <v>1</v>
      </c>
      <c r="J280" t="s">
        <v>104</v>
      </c>
      <c r="K280" s="19">
        <v>0.25</v>
      </c>
      <c r="L280" s="19">
        <v>0.58333333333333337</v>
      </c>
      <c r="M280">
        <v>8</v>
      </c>
      <c r="N280">
        <v>0</v>
      </c>
      <c r="O280">
        <v>75</v>
      </c>
      <c r="P280">
        <v>76</v>
      </c>
      <c r="Q280" t="s">
        <v>99</v>
      </c>
      <c r="R280">
        <v>30</v>
      </c>
      <c r="S280" s="19">
        <v>0.41666666666666669</v>
      </c>
      <c r="T280">
        <v>0</v>
      </c>
      <c r="U280" s="19">
        <v>0.54166666666666663</v>
      </c>
      <c r="V280" t="s">
        <v>99</v>
      </c>
      <c r="W280">
        <v>7.5</v>
      </c>
      <c r="X280" t="s">
        <v>102</v>
      </c>
      <c r="Y280" t="b">
        <v>0</v>
      </c>
    </row>
    <row r="281" spans="1:25" x14ac:dyDescent="0.55000000000000004">
      <c r="A281" t="s">
        <v>94</v>
      </c>
      <c r="B281" t="s">
        <v>155</v>
      </c>
      <c r="C281" t="s">
        <v>96</v>
      </c>
      <c r="D281" t="s">
        <v>156</v>
      </c>
      <c r="E281" t="s">
        <v>117</v>
      </c>
      <c r="F281" t="s">
        <v>99</v>
      </c>
      <c r="G281">
        <v>19283</v>
      </c>
      <c r="H281" t="s">
        <v>158</v>
      </c>
      <c r="I281">
        <v>1</v>
      </c>
      <c r="J281" t="s">
        <v>105</v>
      </c>
      <c r="K281" s="19">
        <v>0.25</v>
      </c>
      <c r="L281" s="19">
        <v>0.58333333333333337</v>
      </c>
      <c r="M281">
        <v>8</v>
      </c>
      <c r="N281">
        <v>0</v>
      </c>
      <c r="O281">
        <v>75</v>
      </c>
      <c r="P281">
        <v>76</v>
      </c>
      <c r="Q281" t="s">
        <v>99</v>
      </c>
      <c r="R281">
        <v>30</v>
      </c>
      <c r="S281" s="19">
        <v>0.41666666666666669</v>
      </c>
      <c r="T281">
        <v>0</v>
      </c>
      <c r="U281" s="19">
        <v>0.54166666666666663</v>
      </c>
      <c r="V281" t="s">
        <v>99</v>
      </c>
      <c r="W281">
        <v>7.5</v>
      </c>
      <c r="X281" t="s">
        <v>102</v>
      </c>
      <c r="Y281" t="b">
        <v>0</v>
      </c>
    </row>
    <row r="282" spans="1:25" x14ac:dyDescent="0.55000000000000004">
      <c r="A282" t="s">
        <v>94</v>
      </c>
      <c r="B282" t="s">
        <v>155</v>
      </c>
      <c r="C282" t="s">
        <v>96</v>
      </c>
      <c r="D282" t="s">
        <v>156</v>
      </c>
      <c r="E282" t="s">
        <v>117</v>
      </c>
      <c r="F282" t="s">
        <v>99</v>
      </c>
      <c r="G282">
        <v>19283</v>
      </c>
      <c r="H282" t="s">
        <v>158</v>
      </c>
      <c r="I282">
        <v>2</v>
      </c>
      <c r="J282" t="s">
        <v>107</v>
      </c>
      <c r="K282" s="19">
        <v>0.25</v>
      </c>
      <c r="L282" s="19">
        <v>0.58333333333333337</v>
      </c>
      <c r="M282">
        <v>8</v>
      </c>
      <c r="N282">
        <v>0</v>
      </c>
      <c r="O282">
        <v>75</v>
      </c>
      <c r="P282">
        <v>76</v>
      </c>
      <c r="Q282" t="s">
        <v>99</v>
      </c>
      <c r="R282">
        <v>30</v>
      </c>
      <c r="S282" s="19">
        <v>0.41666666666666669</v>
      </c>
      <c r="T282">
        <v>0</v>
      </c>
      <c r="U282" s="19">
        <v>0.54166666666666663</v>
      </c>
      <c r="V282" t="s">
        <v>99</v>
      </c>
      <c r="W282">
        <v>7.5</v>
      </c>
      <c r="X282" t="s">
        <v>102</v>
      </c>
      <c r="Y282" t="b">
        <v>0</v>
      </c>
    </row>
    <row r="283" spans="1:25" x14ac:dyDescent="0.55000000000000004">
      <c r="A283" t="s">
        <v>94</v>
      </c>
      <c r="B283" t="s">
        <v>155</v>
      </c>
      <c r="C283" t="s">
        <v>96</v>
      </c>
      <c r="D283" t="s">
        <v>156</v>
      </c>
      <c r="E283" t="s">
        <v>117</v>
      </c>
      <c r="F283" t="s">
        <v>99</v>
      </c>
      <c r="G283">
        <v>19283</v>
      </c>
      <c r="H283" t="s">
        <v>158</v>
      </c>
      <c r="I283">
        <v>2</v>
      </c>
      <c r="J283" t="s">
        <v>101</v>
      </c>
      <c r="K283" s="19">
        <v>0.25</v>
      </c>
      <c r="L283" s="19">
        <v>0.58333333333333337</v>
      </c>
      <c r="M283">
        <v>8</v>
      </c>
      <c r="N283">
        <v>0</v>
      </c>
      <c r="O283">
        <v>75</v>
      </c>
      <c r="P283">
        <v>76</v>
      </c>
      <c r="Q283" t="s">
        <v>99</v>
      </c>
      <c r="R283">
        <v>30</v>
      </c>
      <c r="S283" s="19">
        <v>0.41666666666666669</v>
      </c>
      <c r="T283">
        <v>0</v>
      </c>
      <c r="U283" s="19">
        <v>0.54166666666666663</v>
      </c>
      <c r="V283" t="s">
        <v>99</v>
      </c>
      <c r="W283">
        <v>7.5</v>
      </c>
      <c r="X283" t="s">
        <v>102</v>
      </c>
      <c r="Y283" t="b">
        <v>0</v>
      </c>
    </row>
    <row r="284" spans="1:25" x14ac:dyDescent="0.55000000000000004">
      <c r="A284" t="s">
        <v>94</v>
      </c>
      <c r="B284" t="s">
        <v>155</v>
      </c>
      <c r="C284" t="s">
        <v>96</v>
      </c>
      <c r="D284" t="s">
        <v>156</v>
      </c>
      <c r="E284" t="s">
        <v>117</v>
      </c>
      <c r="F284" t="s">
        <v>99</v>
      </c>
      <c r="G284">
        <v>19283</v>
      </c>
      <c r="H284" t="s">
        <v>158</v>
      </c>
      <c r="I284">
        <v>2</v>
      </c>
      <c r="J284" t="s">
        <v>103</v>
      </c>
      <c r="K284" s="19">
        <v>0.25</v>
      </c>
      <c r="L284" s="19">
        <v>0.58333333333333337</v>
      </c>
      <c r="M284">
        <v>8</v>
      </c>
      <c r="N284">
        <v>0</v>
      </c>
      <c r="O284">
        <v>75</v>
      </c>
      <c r="P284">
        <v>76</v>
      </c>
      <c r="Q284" t="s">
        <v>99</v>
      </c>
      <c r="R284">
        <v>30</v>
      </c>
      <c r="S284" s="19">
        <v>0.41666666666666669</v>
      </c>
      <c r="T284">
        <v>0</v>
      </c>
      <c r="U284" s="19">
        <v>0.54166666666666663</v>
      </c>
      <c r="V284" t="s">
        <v>99</v>
      </c>
      <c r="W284">
        <v>7.5</v>
      </c>
      <c r="X284" t="s">
        <v>102</v>
      </c>
      <c r="Y284" t="b">
        <v>0</v>
      </c>
    </row>
    <row r="285" spans="1:25" x14ac:dyDescent="0.55000000000000004">
      <c r="A285" t="s">
        <v>94</v>
      </c>
      <c r="B285" t="s">
        <v>155</v>
      </c>
      <c r="C285" t="s">
        <v>96</v>
      </c>
      <c r="D285" t="s">
        <v>156</v>
      </c>
      <c r="E285" t="s">
        <v>117</v>
      </c>
      <c r="F285" t="s">
        <v>99</v>
      </c>
      <c r="G285">
        <v>19283</v>
      </c>
      <c r="H285" t="s">
        <v>158</v>
      </c>
      <c r="I285">
        <v>2</v>
      </c>
      <c r="J285" t="s">
        <v>104</v>
      </c>
      <c r="K285" s="19">
        <v>0.25</v>
      </c>
      <c r="L285" s="19">
        <v>0.58333333333333337</v>
      </c>
      <c r="M285">
        <v>8</v>
      </c>
      <c r="N285">
        <v>0</v>
      </c>
      <c r="O285">
        <v>75</v>
      </c>
      <c r="P285">
        <v>76</v>
      </c>
      <c r="Q285" t="s">
        <v>99</v>
      </c>
      <c r="R285">
        <v>30</v>
      </c>
      <c r="S285" s="19">
        <v>0.41666666666666669</v>
      </c>
      <c r="T285">
        <v>0</v>
      </c>
      <c r="U285" s="19">
        <v>0.54166666666666663</v>
      </c>
      <c r="V285" t="s">
        <v>99</v>
      </c>
      <c r="W285">
        <v>7.5</v>
      </c>
      <c r="X285" t="s">
        <v>102</v>
      </c>
      <c r="Y285" t="b">
        <v>0</v>
      </c>
    </row>
    <row r="286" spans="1:25" x14ac:dyDescent="0.55000000000000004">
      <c r="A286" t="s">
        <v>94</v>
      </c>
      <c r="B286" t="s">
        <v>155</v>
      </c>
      <c r="C286" t="s">
        <v>96</v>
      </c>
      <c r="D286" t="s">
        <v>156</v>
      </c>
      <c r="E286" t="s">
        <v>117</v>
      </c>
      <c r="F286" t="s">
        <v>99</v>
      </c>
      <c r="G286">
        <v>19283</v>
      </c>
      <c r="H286" t="s">
        <v>158</v>
      </c>
      <c r="I286">
        <v>2</v>
      </c>
      <c r="J286" t="s">
        <v>105</v>
      </c>
      <c r="K286" s="19">
        <v>0.25</v>
      </c>
      <c r="L286" s="19">
        <v>0.58333333333333337</v>
      </c>
      <c r="M286">
        <v>8</v>
      </c>
      <c r="N286">
        <v>0</v>
      </c>
      <c r="O286">
        <v>75</v>
      </c>
      <c r="P286">
        <v>76</v>
      </c>
      <c r="Q286" t="s">
        <v>99</v>
      </c>
      <c r="R286">
        <v>30</v>
      </c>
      <c r="S286" s="19">
        <v>0.41666666666666669</v>
      </c>
      <c r="T286">
        <v>0</v>
      </c>
      <c r="U286" s="19">
        <v>0.54166666666666663</v>
      </c>
      <c r="V286" t="s">
        <v>99</v>
      </c>
      <c r="W286">
        <v>7.5</v>
      </c>
      <c r="X286" t="s">
        <v>102</v>
      </c>
      <c r="Y286" t="b">
        <v>0</v>
      </c>
    </row>
    <row r="287" spans="1:25" x14ac:dyDescent="0.55000000000000004">
      <c r="A287" t="s">
        <v>94</v>
      </c>
      <c r="B287" t="s">
        <v>155</v>
      </c>
      <c r="C287" t="s">
        <v>96</v>
      </c>
      <c r="D287" t="s">
        <v>156</v>
      </c>
      <c r="E287" t="s">
        <v>117</v>
      </c>
      <c r="F287" t="s">
        <v>99</v>
      </c>
      <c r="G287">
        <v>19390</v>
      </c>
      <c r="H287" t="s">
        <v>150</v>
      </c>
      <c r="I287">
        <v>2</v>
      </c>
      <c r="J287" t="s">
        <v>101</v>
      </c>
      <c r="K287" s="19">
        <v>0.25</v>
      </c>
      <c r="L287" s="19">
        <v>0.58333333333333337</v>
      </c>
      <c r="M287">
        <v>8</v>
      </c>
      <c r="N287">
        <v>0</v>
      </c>
      <c r="O287">
        <v>54</v>
      </c>
      <c r="P287">
        <v>76</v>
      </c>
      <c r="Q287" t="s">
        <v>99</v>
      </c>
      <c r="R287">
        <v>30</v>
      </c>
      <c r="S287" s="19">
        <v>0.41666666666666669</v>
      </c>
      <c r="T287">
        <v>0</v>
      </c>
      <c r="U287" s="19">
        <v>0.54166666666666663</v>
      </c>
      <c r="V287" t="s">
        <v>99</v>
      </c>
      <c r="W287">
        <v>7.5</v>
      </c>
      <c r="X287" t="s">
        <v>102</v>
      </c>
      <c r="Y287" t="b">
        <v>0</v>
      </c>
    </row>
    <row r="288" spans="1:25" x14ac:dyDescent="0.55000000000000004">
      <c r="A288" t="s">
        <v>94</v>
      </c>
      <c r="B288" t="s">
        <v>159</v>
      </c>
      <c r="C288" t="s">
        <v>96</v>
      </c>
      <c r="D288" t="s">
        <v>160</v>
      </c>
      <c r="E288" t="s">
        <v>161</v>
      </c>
      <c r="F288" t="s">
        <v>99</v>
      </c>
      <c r="G288">
        <v>24418</v>
      </c>
      <c r="H288" t="s">
        <v>140</v>
      </c>
      <c r="I288">
        <v>1</v>
      </c>
      <c r="J288" t="s">
        <v>103</v>
      </c>
      <c r="K288" s="19">
        <v>0.33333333333333331</v>
      </c>
      <c r="L288" s="19">
        <v>0.66666666666666663</v>
      </c>
      <c r="M288">
        <v>8</v>
      </c>
      <c r="N288">
        <v>0</v>
      </c>
      <c r="O288">
        <v>51</v>
      </c>
      <c r="P288">
        <v>76</v>
      </c>
      <c r="Q288" t="s">
        <v>99</v>
      </c>
      <c r="R288">
        <v>30</v>
      </c>
      <c r="S288" s="19">
        <v>0.5</v>
      </c>
      <c r="T288">
        <v>0</v>
      </c>
      <c r="U288" s="19">
        <v>0.54166666666666663</v>
      </c>
      <c r="V288" t="s">
        <v>99</v>
      </c>
      <c r="W288">
        <v>7.5</v>
      </c>
      <c r="X288" t="s">
        <v>102</v>
      </c>
      <c r="Y288" t="b">
        <v>0</v>
      </c>
    </row>
    <row r="289" spans="1:25" x14ac:dyDescent="0.55000000000000004">
      <c r="A289" t="s">
        <v>94</v>
      </c>
      <c r="B289" t="s">
        <v>159</v>
      </c>
      <c r="C289" t="s">
        <v>96</v>
      </c>
      <c r="D289" t="s">
        <v>160</v>
      </c>
      <c r="E289" t="s">
        <v>161</v>
      </c>
      <c r="F289" t="s">
        <v>99</v>
      </c>
      <c r="G289">
        <v>24418</v>
      </c>
      <c r="H289" t="s">
        <v>140</v>
      </c>
      <c r="I289">
        <v>2</v>
      </c>
      <c r="J289" t="s">
        <v>104</v>
      </c>
      <c r="K289" s="19">
        <v>0.33333333333333331</v>
      </c>
      <c r="L289" s="19">
        <v>0.66666666666666663</v>
      </c>
      <c r="M289">
        <v>8</v>
      </c>
      <c r="N289">
        <v>0</v>
      </c>
      <c r="O289">
        <v>51</v>
      </c>
      <c r="P289">
        <v>76</v>
      </c>
      <c r="Q289" t="s">
        <v>99</v>
      </c>
      <c r="R289">
        <v>30</v>
      </c>
      <c r="S289" s="19">
        <v>0.5</v>
      </c>
      <c r="T289">
        <v>0</v>
      </c>
      <c r="U289" s="19">
        <v>0.54166666666666663</v>
      </c>
      <c r="V289" t="s">
        <v>99</v>
      </c>
      <c r="W289">
        <v>7.5</v>
      </c>
      <c r="X289" t="s">
        <v>102</v>
      </c>
      <c r="Y289" t="b">
        <v>0</v>
      </c>
    </row>
    <row r="290" spans="1:25" x14ac:dyDescent="0.55000000000000004">
      <c r="A290" t="s">
        <v>94</v>
      </c>
      <c r="B290" t="s">
        <v>159</v>
      </c>
      <c r="C290" t="s">
        <v>96</v>
      </c>
      <c r="D290" t="s">
        <v>160</v>
      </c>
      <c r="E290" t="s">
        <v>162</v>
      </c>
      <c r="F290" t="s">
        <v>99</v>
      </c>
      <c r="G290">
        <v>21901</v>
      </c>
      <c r="H290" t="s">
        <v>163</v>
      </c>
      <c r="I290">
        <v>1</v>
      </c>
      <c r="J290" t="s">
        <v>107</v>
      </c>
      <c r="K290" s="19">
        <v>0.33333333333333331</v>
      </c>
      <c r="L290" s="19">
        <v>0.66666666666666663</v>
      </c>
      <c r="M290">
        <v>8</v>
      </c>
      <c r="N290">
        <v>238.39</v>
      </c>
      <c r="O290">
        <v>75</v>
      </c>
      <c r="P290">
        <v>76</v>
      </c>
      <c r="Q290" t="s">
        <v>99</v>
      </c>
      <c r="R290">
        <v>30</v>
      </c>
      <c r="S290" s="19">
        <v>0.54166666666666663</v>
      </c>
      <c r="T290">
        <v>0</v>
      </c>
      <c r="U290" s="19">
        <v>0</v>
      </c>
      <c r="V290" t="s">
        <v>99</v>
      </c>
      <c r="W290">
        <v>7.5</v>
      </c>
      <c r="X290" t="s">
        <v>102</v>
      </c>
      <c r="Y290" t="b">
        <v>0</v>
      </c>
    </row>
    <row r="291" spans="1:25" x14ac:dyDescent="0.55000000000000004">
      <c r="A291" t="s">
        <v>94</v>
      </c>
      <c r="B291" t="s">
        <v>159</v>
      </c>
      <c r="C291" t="s">
        <v>96</v>
      </c>
      <c r="D291" t="s">
        <v>160</v>
      </c>
      <c r="E291" t="s">
        <v>162</v>
      </c>
      <c r="F291" t="s">
        <v>99</v>
      </c>
      <c r="G291">
        <v>21901</v>
      </c>
      <c r="H291" t="s">
        <v>163</v>
      </c>
      <c r="I291">
        <v>1</v>
      </c>
      <c r="J291" t="s">
        <v>101</v>
      </c>
      <c r="K291" s="19">
        <v>0.33333333333333331</v>
      </c>
      <c r="L291" s="19">
        <v>0.66666666666666663</v>
      </c>
      <c r="M291">
        <v>8</v>
      </c>
      <c r="N291">
        <v>238.55</v>
      </c>
      <c r="O291">
        <v>75</v>
      </c>
      <c r="P291">
        <v>76</v>
      </c>
      <c r="Q291" t="s">
        <v>99</v>
      </c>
      <c r="R291">
        <v>30</v>
      </c>
      <c r="S291" s="19">
        <v>0.54166666666666663</v>
      </c>
      <c r="T291">
        <v>0</v>
      </c>
      <c r="U291" s="19">
        <v>0</v>
      </c>
      <c r="V291" t="s">
        <v>99</v>
      </c>
      <c r="W291">
        <v>7.5</v>
      </c>
      <c r="X291" t="s">
        <v>102</v>
      </c>
      <c r="Y291" t="b">
        <v>0</v>
      </c>
    </row>
    <row r="292" spans="1:25" x14ac:dyDescent="0.55000000000000004">
      <c r="A292" t="s">
        <v>94</v>
      </c>
      <c r="B292" t="s">
        <v>159</v>
      </c>
      <c r="C292" t="s">
        <v>96</v>
      </c>
      <c r="D292" t="s">
        <v>160</v>
      </c>
      <c r="E292" t="s">
        <v>162</v>
      </c>
      <c r="F292" t="s">
        <v>99</v>
      </c>
      <c r="G292">
        <v>21901</v>
      </c>
      <c r="H292" t="s">
        <v>163</v>
      </c>
      <c r="I292">
        <v>1</v>
      </c>
      <c r="J292" t="s">
        <v>103</v>
      </c>
      <c r="K292" s="19">
        <v>0.33333333333333331</v>
      </c>
      <c r="L292" s="19">
        <v>0.66666666666666663</v>
      </c>
      <c r="M292">
        <v>8</v>
      </c>
      <c r="N292">
        <v>238.55</v>
      </c>
      <c r="O292">
        <v>75</v>
      </c>
      <c r="P292">
        <v>76</v>
      </c>
      <c r="Q292" t="s">
        <v>99</v>
      </c>
      <c r="R292">
        <v>30</v>
      </c>
      <c r="S292" s="19">
        <v>0.54166666666666663</v>
      </c>
      <c r="T292">
        <v>0</v>
      </c>
      <c r="U292" s="19">
        <v>0</v>
      </c>
      <c r="V292" t="s">
        <v>99</v>
      </c>
      <c r="W292">
        <v>7.5</v>
      </c>
      <c r="X292" t="s">
        <v>102</v>
      </c>
      <c r="Y292" t="b">
        <v>0</v>
      </c>
    </row>
    <row r="293" spans="1:25" x14ac:dyDescent="0.55000000000000004">
      <c r="A293" t="s">
        <v>94</v>
      </c>
      <c r="B293" t="s">
        <v>159</v>
      </c>
      <c r="C293" t="s">
        <v>96</v>
      </c>
      <c r="D293" t="s">
        <v>160</v>
      </c>
      <c r="E293" t="s">
        <v>162</v>
      </c>
      <c r="F293" t="s">
        <v>99</v>
      </c>
      <c r="G293">
        <v>21901</v>
      </c>
      <c r="H293" t="s">
        <v>163</v>
      </c>
      <c r="I293">
        <v>1</v>
      </c>
      <c r="J293" t="s">
        <v>104</v>
      </c>
      <c r="K293" s="19">
        <v>0.33333333333333331</v>
      </c>
      <c r="L293" s="19">
        <v>0.66666666666666663</v>
      </c>
      <c r="M293">
        <v>8</v>
      </c>
      <c r="N293">
        <v>238.55</v>
      </c>
      <c r="O293">
        <v>75</v>
      </c>
      <c r="P293">
        <v>76</v>
      </c>
      <c r="Q293" t="s">
        <v>99</v>
      </c>
      <c r="R293">
        <v>30</v>
      </c>
      <c r="S293" s="19">
        <v>0.54166666666666663</v>
      </c>
      <c r="T293">
        <v>0</v>
      </c>
      <c r="U293" s="19">
        <v>0</v>
      </c>
      <c r="V293" t="s">
        <v>99</v>
      </c>
      <c r="W293">
        <v>7.5</v>
      </c>
      <c r="X293" t="s">
        <v>102</v>
      </c>
      <c r="Y293" t="b">
        <v>0</v>
      </c>
    </row>
    <row r="294" spans="1:25" x14ac:dyDescent="0.55000000000000004">
      <c r="A294" t="s">
        <v>94</v>
      </c>
      <c r="B294" t="s">
        <v>159</v>
      </c>
      <c r="C294" t="s">
        <v>96</v>
      </c>
      <c r="D294" t="s">
        <v>160</v>
      </c>
      <c r="E294" t="s">
        <v>162</v>
      </c>
      <c r="F294" t="s">
        <v>99</v>
      </c>
      <c r="G294">
        <v>21901</v>
      </c>
      <c r="H294" t="s">
        <v>163</v>
      </c>
      <c r="I294">
        <v>1</v>
      </c>
      <c r="J294" t="s">
        <v>105</v>
      </c>
      <c r="K294" s="19">
        <v>0.33333333333333331</v>
      </c>
      <c r="L294" s="19">
        <v>0.66666666666666663</v>
      </c>
      <c r="M294">
        <v>8</v>
      </c>
      <c r="N294">
        <v>238.55</v>
      </c>
      <c r="O294">
        <v>75</v>
      </c>
      <c r="P294">
        <v>76</v>
      </c>
      <c r="Q294" t="s">
        <v>99</v>
      </c>
      <c r="R294">
        <v>30</v>
      </c>
      <c r="S294" s="19">
        <v>0.54166666666666663</v>
      </c>
      <c r="T294">
        <v>0</v>
      </c>
      <c r="U294" s="19">
        <v>0</v>
      </c>
      <c r="V294" t="s">
        <v>99</v>
      </c>
      <c r="W294">
        <v>7.5</v>
      </c>
      <c r="X294" t="s">
        <v>102</v>
      </c>
      <c r="Y294" t="b">
        <v>0</v>
      </c>
    </row>
    <row r="295" spans="1:25" x14ac:dyDescent="0.55000000000000004">
      <c r="A295" t="s">
        <v>94</v>
      </c>
      <c r="B295" t="s">
        <v>159</v>
      </c>
      <c r="C295" t="s">
        <v>96</v>
      </c>
      <c r="D295" t="s">
        <v>160</v>
      </c>
      <c r="E295" t="s">
        <v>162</v>
      </c>
      <c r="F295" t="s">
        <v>99</v>
      </c>
      <c r="G295">
        <v>21901</v>
      </c>
      <c r="H295" t="s">
        <v>163</v>
      </c>
      <c r="I295">
        <v>2</v>
      </c>
      <c r="J295" t="s">
        <v>107</v>
      </c>
      <c r="K295" s="19">
        <v>0.33333333333333331</v>
      </c>
      <c r="L295" s="19">
        <v>0.66666666666666663</v>
      </c>
      <c r="M295">
        <v>8</v>
      </c>
      <c r="N295">
        <v>238.39</v>
      </c>
      <c r="O295">
        <v>75</v>
      </c>
      <c r="P295">
        <v>76</v>
      </c>
      <c r="Q295" t="s">
        <v>99</v>
      </c>
      <c r="R295">
        <v>30</v>
      </c>
      <c r="S295" s="19">
        <v>0.54166666666666663</v>
      </c>
      <c r="T295">
        <v>0</v>
      </c>
      <c r="U295" s="19">
        <v>0</v>
      </c>
      <c r="V295" t="s">
        <v>99</v>
      </c>
      <c r="W295">
        <v>7.5</v>
      </c>
      <c r="X295" t="s">
        <v>102</v>
      </c>
      <c r="Y295" t="b">
        <v>0</v>
      </c>
    </row>
    <row r="296" spans="1:25" x14ac:dyDescent="0.55000000000000004">
      <c r="A296" t="s">
        <v>94</v>
      </c>
      <c r="B296" t="s">
        <v>159</v>
      </c>
      <c r="C296" t="s">
        <v>96</v>
      </c>
      <c r="D296" t="s">
        <v>160</v>
      </c>
      <c r="E296" t="s">
        <v>162</v>
      </c>
      <c r="F296" t="s">
        <v>99</v>
      </c>
      <c r="G296">
        <v>21901</v>
      </c>
      <c r="H296" t="s">
        <v>163</v>
      </c>
      <c r="I296">
        <v>2</v>
      </c>
      <c r="J296" t="s">
        <v>101</v>
      </c>
      <c r="K296" s="19">
        <v>0.33333333333333331</v>
      </c>
      <c r="L296" s="19">
        <v>0.66666666666666663</v>
      </c>
      <c r="M296">
        <v>8</v>
      </c>
      <c r="N296">
        <v>238.55</v>
      </c>
      <c r="O296">
        <v>75</v>
      </c>
      <c r="P296">
        <v>76</v>
      </c>
      <c r="Q296" t="s">
        <v>99</v>
      </c>
      <c r="R296">
        <v>30</v>
      </c>
      <c r="S296" s="19">
        <v>0.54166666666666663</v>
      </c>
      <c r="T296">
        <v>0</v>
      </c>
      <c r="U296" s="19">
        <v>0</v>
      </c>
      <c r="V296" t="s">
        <v>99</v>
      </c>
      <c r="W296">
        <v>7.5</v>
      </c>
      <c r="X296" t="s">
        <v>102</v>
      </c>
      <c r="Y296" t="b">
        <v>0</v>
      </c>
    </row>
    <row r="297" spans="1:25" x14ac:dyDescent="0.55000000000000004">
      <c r="A297" t="s">
        <v>94</v>
      </c>
      <c r="B297" t="s">
        <v>159</v>
      </c>
      <c r="C297" t="s">
        <v>96</v>
      </c>
      <c r="D297" t="s">
        <v>160</v>
      </c>
      <c r="E297" t="s">
        <v>162</v>
      </c>
      <c r="F297" t="s">
        <v>99</v>
      </c>
      <c r="G297">
        <v>21901</v>
      </c>
      <c r="H297" t="s">
        <v>163</v>
      </c>
      <c r="I297">
        <v>2</v>
      </c>
      <c r="J297" t="s">
        <v>103</v>
      </c>
      <c r="K297" s="19">
        <v>0.33333333333333331</v>
      </c>
      <c r="L297" s="19">
        <v>0.66666666666666663</v>
      </c>
      <c r="M297">
        <v>8</v>
      </c>
      <c r="N297">
        <v>238.55</v>
      </c>
      <c r="O297">
        <v>75</v>
      </c>
      <c r="P297">
        <v>76</v>
      </c>
      <c r="Q297" t="s">
        <v>99</v>
      </c>
      <c r="R297">
        <v>30</v>
      </c>
      <c r="S297" s="19">
        <v>0.54166666666666663</v>
      </c>
      <c r="T297">
        <v>0</v>
      </c>
      <c r="U297" s="19">
        <v>0</v>
      </c>
      <c r="V297" t="s">
        <v>99</v>
      </c>
      <c r="W297">
        <v>7.5</v>
      </c>
      <c r="X297" t="s">
        <v>102</v>
      </c>
      <c r="Y297" t="b">
        <v>0</v>
      </c>
    </row>
    <row r="298" spans="1:25" x14ac:dyDescent="0.55000000000000004">
      <c r="A298" t="s">
        <v>94</v>
      </c>
      <c r="B298" t="s">
        <v>159</v>
      </c>
      <c r="C298" t="s">
        <v>96</v>
      </c>
      <c r="D298" t="s">
        <v>160</v>
      </c>
      <c r="E298" t="s">
        <v>162</v>
      </c>
      <c r="F298" t="s">
        <v>99</v>
      </c>
      <c r="G298">
        <v>21901</v>
      </c>
      <c r="H298" t="s">
        <v>163</v>
      </c>
      <c r="I298">
        <v>2</v>
      </c>
      <c r="J298" t="s">
        <v>104</v>
      </c>
      <c r="K298" s="19">
        <v>0.33333333333333331</v>
      </c>
      <c r="L298" s="19">
        <v>0.66666666666666663</v>
      </c>
      <c r="M298">
        <v>8</v>
      </c>
      <c r="N298">
        <v>238.55</v>
      </c>
      <c r="O298">
        <v>75</v>
      </c>
      <c r="P298">
        <v>76</v>
      </c>
      <c r="Q298" t="s">
        <v>99</v>
      </c>
      <c r="R298">
        <v>30</v>
      </c>
      <c r="S298" s="19">
        <v>0.54166666666666663</v>
      </c>
      <c r="T298">
        <v>0</v>
      </c>
      <c r="U298" s="19">
        <v>0</v>
      </c>
      <c r="V298" t="s">
        <v>99</v>
      </c>
      <c r="W298">
        <v>7.5</v>
      </c>
      <c r="X298" t="s">
        <v>102</v>
      </c>
      <c r="Y298" t="b">
        <v>0</v>
      </c>
    </row>
    <row r="299" spans="1:25" x14ac:dyDescent="0.55000000000000004">
      <c r="A299" t="s">
        <v>94</v>
      </c>
      <c r="B299" t="s">
        <v>159</v>
      </c>
      <c r="C299" t="s">
        <v>96</v>
      </c>
      <c r="D299" t="s">
        <v>160</v>
      </c>
      <c r="E299" t="s">
        <v>162</v>
      </c>
      <c r="F299" t="s">
        <v>99</v>
      </c>
      <c r="G299">
        <v>21901</v>
      </c>
      <c r="H299" t="s">
        <v>163</v>
      </c>
      <c r="I299">
        <v>2</v>
      </c>
      <c r="J299" t="s">
        <v>105</v>
      </c>
      <c r="K299" s="19">
        <v>0.33333333333333331</v>
      </c>
      <c r="L299" s="19">
        <v>0.66666666666666663</v>
      </c>
      <c r="M299">
        <v>8</v>
      </c>
      <c r="N299">
        <v>238.55</v>
      </c>
      <c r="O299">
        <v>75</v>
      </c>
      <c r="P299">
        <v>76</v>
      </c>
      <c r="Q299" t="s">
        <v>99</v>
      </c>
      <c r="R299">
        <v>30</v>
      </c>
      <c r="S299" s="19">
        <v>0.54166666666666663</v>
      </c>
      <c r="T299">
        <v>0</v>
      </c>
      <c r="U299" s="19">
        <v>0</v>
      </c>
      <c r="V299" t="s">
        <v>99</v>
      </c>
      <c r="W299">
        <v>7.5</v>
      </c>
      <c r="X299" t="s">
        <v>102</v>
      </c>
      <c r="Y299" t="b">
        <v>0</v>
      </c>
    </row>
    <row r="300" spans="1:25" x14ac:dyDescent="0.55000000000000004">
      <c r="A300" t="s">
        <v>94</v>
      </c>
      <c r="B300" t="s">
        <v>159</v>
      </c>
      <c r="C300" t="s">
        <v>96</v>
      </c>
      <c r="D300" t="s">
        <v>160</v>
      </c>
      <c r="E300" t="s">
        <v>164</v>
      </c>
      <c r="F300" t="s">
        <v>99</v>
      </c>
      <c r="G300">
        <v>19132</v>
      </c>
      <c r="H300" t="s">
        <v>165</v>
      </c>
      <c r="I300">
        <v>1</v>
      </c>
      <c r="J300" t="s">
        <v>101</v>
      </c>
      <c r="K300" s="19">
        <v>0.41666666666666669</v>
      </c>
      <c r="L300" s="19">
        <v>0.70833333333333337</v>
      </c>
      <c r="M300">
        <v>7</v>
      </c>
      <c r="N300">
        <v>200.05</v>
      </c>
      <c r="O300">
        <v>52</v>
      </c>
      <c r="P300">
        <v>76</v>
      </c>
      <c r="Q300" t="s">
        <v>99</v>
      </c>
      <c r="R300">
        <v>30</v>
      </c>
      <c r="S300" s="19">
        <v>0.58333333333333337</v>
      </c>
      <c r="T300">
        <v>0</v>
      </c>
      <c r="U300" s="19">
        <v>0</v>
      </c>
      <c r="V300" t="s">
        <v>99</v>
      </c>
      <c r="W300">
        <v>6.5</v>
      </c>
      <c r="X300" t="s">
        <v>102</v>
      </c>
      <c r="Y300" t="b">
        <v>0</v>
      </c>
    </row>
    <row r="301" spans="1:25" x14ac:dyDescent="0.55000000000000004">
      <c r="A301" t="s">
        <v>94</v>
      </c>
      <c r="B301" t="s">
        <v>159</v>
      </c>
      <c r="C301" t="s">
        <v>96</v>
      </c>
      <c r="D301" t="s">
        <v>160</v>
      </c>
      <c r="E301" t="s">
        <v>164</v>
      </c>
      <c r="F301" t="s">
        <v>99</v>
      </c>
      <c r="G301">
        <v>19132</v>
      </c>
      <c r="H301" t="s">
        <v>165</v>
      </c>
      <c r="I301">
        <v>1</v>
      </c>
      <c r="J301" t="s">
        <v>116</v>
      </c>
      <c r="K301" s="19">
        <v>0.39583333333333331</v>
      </c>
      <c r="L301" s="19">
        <v>0.70833333333333337</v>
      </c>
      <c r="M301">
        <v>7.5</v>
      </c>
      <c r="N301">
        <v>376.46</v>
      </c>
      <c r="O301">
        <v>52</v>
      </c>
      <c r="P301">
        <v>76</v>
      </c>
      <c r="Q301" t="s">
        <v>99</v>
      </c>
      <c r="R301">
        <v>30</v>
      </c>
      <c r="S301" s="19">
        <v>0.58333333333333337</v>
      </c>
      <c r="T301">
        <v>0</v>
      </c>
      <c r="U301" s="19">
        <v>0</v>
      </c>
      <c r="V301" t="s">
        <v>99</v>
      </c>
      <c r="W301">
        <v>7</v>
      </c>
      <c r="X301" t="s">
        <v>102</v>
      </c>
      <c r="Y301" t="b">
        <v>0</v>
      </c>
    </row>
    <row r="302" spans="1:25" x14ac:dyDescent="0.55000000000000004">
      <c r="A302" t="s">
        <v>94</v>
      </c>
      <c r="B302" t="s">
        <v>159</v>
      </c>
      <c r="C302" t="s">
        <v>96</v>
      </c>
      <c r="D302" t="s">
        <v>160</v>
      </c>
      <c r="E302" t="s">
        <v>164</v>
      </c>
      <c r="F302" t="s">
        <v>99</v>
      </c>
      <c r="G302">
        <v>19132</v>
      </c>
      <c r="H302" t="s">
        <v>165</v>
      </c>
      <c r="I302">
        <v>1</v>
      </c>
      <c r="J302" t="s">
        <v>103</v>
      </c>
      <c r="K302" s="19">
        <v>0.375</v>
      </c>
      <c r="L302" s="19">
        <v>0.66666666666666663</v>
      </c>
      <c r="M302">
        <v>7</v>
      </c>
      <c r="N302">
        <v>200.04</v>
      </c>
      <c r="O302">
        <v>52</v>
      </c>
      <c r="P302">
        <v>76</v>
      </c>
      <c r="Q302" t="s">
        <v>99</v>
      </c>
      <c r="R302">
        <v>30</v>
      </c>
      <c r="S302" s="19">
        <v>0.58333333333333337</v>
      </c>
      <c r="T302">
        <v>0</v>
      </c>
      <c r="U302" s="19">
        <v>0</v>
      </c>
      <c r="V302" t="s">
        <v>99</v>
      </c>
      <c r="W302">
        <v>6.5</v>
      </c>
      <c r="X302" t="s">
        <v>102</v>
      </c>
      <c r="Y302" t="b">
        <v>0</v>
      </c>
    </row>
    <row r="303" spans="1:25" x14ac:dyDescent="0.55000000000000004">
      <c r="A303" t="s">
        <v>94</v>
      </c>
      <c r="B303" t="s">
        <v>159</v>
      </c>
      <c r="C303" t="s">
        <v>96</v>
      </c>
      <c r="D303" t="s">
        <v>160</v>
      </c>
      <c r="E303" t="s">
        <v>164</v>
      </c>
      <c r="F303" t="s">
        <v>99</v>
      </c>
      <c r="G303">
        <v>19132</v>
      </c>
      <c r="H303" t="s">
        <v>165</v>
      </c>
      <c r="I303">
        <v>1</v>
      </c>
      <c r="J303" t="s">
        <v>104</v>
      </c>
      <c r="K303" s="19">
        <v>0.375</v>
      </c>
      <c r="L303" s="19">
        <v>0.66666666666666663</v>
      </c>
      <c r="M303">
        <v>7</v>
      </c>
      <c r="N303">
        <v>0</v>
      </c>
      <c r="O303">
        <v>52</v>
      </c>
      <c r="P303">
        <v>76</v>
      </c>
      <c r="Q303" t="s">
        <v>99</v>
      </c>
      <c r="R303">
        <v>30</v>
      </c>
      <c r="S303" s="19">
        <v>0.58333333333333337</v>
      </c>
      <c r="T303">
        <v>0</v>
      </c>
      <c r="U303" s="19">
        <v>0</v>
      </c>
      <c r="V303" t="s">
        <v>99</v>
      </c>
      <c r="W303">
        <v>6.5</v>
      </c>
      <c r="X303" t="s">
        <v>102</v>
      </c>
      <c r="Y303" t="b">
        <v>0</v>
      </c>
    </row>
    <row r="304" spans="1:25" x14ac:dyDescent="0.55000000000000004">
      <c r="A304" t="s">
        <v>94</v>
      </c>
      <c r="B304" t="s">
        <v>159</v>
      </c>
      <c r="C304" t="s">
        <v>96</v>
      </c>
      <c r="D304" t="s">
        <v>160</v>
      </c>
      <c r="E304" t="s">
        <v>164</v>
      </c>
      <c r="F304" t="s">
        <v>99</v>
      </c>
      <c r="G304">
        <v>19132</v>
      </c>
      <c r="H304" t="s">
        <v>165</v>
      </c>
      <c r="I304">
        <v>1</v>
      </c>
      <c r="J304" t="s">
        <v>105</v>
      </c>
      <c r="K304" s="19">
        <v>0.375</v>
      </c>
      <c r="L304" s="19">
        <v>0.66666666666666663</v>
      </c>
      <c r="M304">
        <v>7</v>
      </c>
      <c r="N304">
        <v>200.04</v>
      </c>
      <c r="O304">
        <v>52</v>
      </c>
      <c r="P304">
        <v>76</v>
      </c>
      <c r="Q304" t="s">
        <v>99</v>
      </c>
      <c r="R304">
        <v>30</v>
      </c>
      <c r="S304" s="19">
        <v>0.58333333333333337</v>
      </c>
      <c r="T304">
        <v>0</v>
      </c>
      <c r="U304" s="19">
        <v>0</v>
      </c>
      <c r="V304" t="s">
        <v>99</v>
      </c>
      <c r="W304">
        <v>6.5</v>
      </c>
      <c r="X304" t="s">
        <v>102</v>
      </c>
      <c r="Y304" t="b">
        <v>0</v>
      </c>
    </row>
    <row r="305" spans="1:25" x14ac:dyDescent="0.55000000000000004">
      <c r="A305" t="s">
        <v>94</v>
      </c>
      <c r="B305" t="s">
        <v>159</v>
      </c>
      <c r="C305" t="s">
        <v>96</v>
      </c>
      <c r="D305" t="s">
        <v>160</v>
      </c>
      <c r="E305" t="s">
        <v>164</v>
      </c>
      <c r="F305" t="s">
        <v>99</v>
      </c>
      <c r="G305">
        <v>19132</v>
      </c>
      <c r="H305" t="s">
        <v>165</v>
      </c>
      <c r="I305">
        <v>2</v>
      </c>
      <c r="J305" t="s">
        <v>101</v>
      </c>
      <c r="K305" s="19">
        <v>0.41666666666666669</v>
      </c>
      <c r="L305" s="19">
        <v>0.70833333333333337</v>
      </c>
      <c r="M305">
        <v>7</v>
      </c>
      <c r="N305">
        <v>200.05</v>
      </c>
      <c r="O305">
        <v>52</v>
      </c>
      <c r="P305">
        <v>76</v>
      </c>
      <c r="Q305" t="s">
        <v>99</v>
      </c>
      <c r="R305">
        <v>30</v>
      </c>
      <c r="S305" s="19">
        <v>0.58333333333333337</v>
      </c>
      <c r="T305">
        <v>0</v>
      </c>
      <c r="U305" s="19">
        <v>0</v>
      </c>
      <c r="V305" t="s">
        <v>99</v>
      </c>
      <c r="W305">
        <v>6.5</v>
      </c>
      <c r="X305" t="s">
        <v>102</v>
      </c>
      <c r="Y305" t="b">
        <v>0</v>
      </c>
    </row>
    <row r="306" spans="1:25" x14ac:dyDescent="0.55000000000000004">
      <c r="A306" t="s">
        <v>94</v>
      </c>
      <c r="B306" t="s">
        <v>159</v>
      </c>
      <c r="C306" t="s">
        <v>96</v>
      </c>
      <c r="D306" t="s">
        <v>160</v>
      </c>
      <c r="E306" t="s">
        <v>164</v>
      </c>
      <c r="F306" t="s">
        <v>99</v>
      </c>
      <c r="G306">
        <v>19132</v>
      </c>
      <c r="H306" t="s">
        <v>165</v>
      </c>
      <c r="I306">
        <v>2</v>
      </c>
      <c r="J306" t="s">
        <v>104</v>
      </c>
      <c r="K306" s="19">
        <v>0.375</v>
      </c>
      <c r="L306" s="19">
        <v>0.66666666666666663</v>
      </c>
      <c r="M306">
        <v>7</v>
      </c>
      <c r="N306">
        <v>200.04</v>
      </c>
      <c r="O306">
        <v>52</v>
      </c>
      <c r="P306">
        <v>76</v>
      </c>
      <c r="Q306" t="s">
        <v>99</v>
      </c>
      <c r="R306">
        <v>30</v>
      </c>
      <c r="S306" s="19">
        <v>0.58333333333333337</v>
      </c>
      <c r="T306">
        <v>0</v>
      </c>
      <c r="U306" s="19">
        <v>0</v>
      </c>
      <c r="V306" t="s">
        <v>99</v>
      </c>
      <c r="W306">
        <v>6.5</v>
      </c>
      <c r="X306" t="s">
        <v>102</v>
      </c>
      <c r="Y306" t="b">
        <v>0</v>
      </c>
    </row>
    <row r="307" spans="1:25" x14ac:dyDescent="0.55000000000000004">
      <c r="A307" t="s">
        <v>94</v>
      </c>
      <c r="B307" t="s">
        <v>159</v>
      </c>
      <c r="C307" t="s">
        <v>96</v>
      </c>
      <c r="D307" t="s">
        <v>160</v>
      </c>
      <c r="E307" t="s">
        <v>164</v>
      </c>
      <c r="F307" t="s">
        <v>99</v>
      </c>
      <c r="G307">
        <v>19132</v>
      </c>
      <c r="H307" t="s">
        <v>165</v>
      </c>
      <c r="I307">
        <v>2</v>
      </c>
      <c r="J307" t="s">
        <v>105</v>
      </c>
      <c r="K307" s="19">
        <v>0.375</v>
      </c>
      <c r="L307" s="19">
        <v>0.66666666666666663</v>
      </c>
      <c r="M307">
        <v>7</v>
      </c>
      <c r="N307">
        <v>200.04</v>
      </c>
      <c r="O307">
        <v>52</v>
      </c>
      <c r="P307">
        <v>76</v>
      </c>
      <c r="Q307" t="s">
        <v>99</v>
      </c>
      <c r="R307">
        <v>30</v>
      </c>
      <c r="S307" s="19">
        <v>0.58333333333333337</v>
      </c>
      <c r="T307">
        <v>0</v>
      </c>
      <c r="U307" s="19">
        <v>0</v>
      </c>
      <c r="V307" t="s">
        <v>99</v>
      </c>
      <c r="W307">
        <v>6.5</v>
      </c>
      <c r="X307" t="s">
        <v>102</v>
      </c>
      <c r="Y307" t="b">
        <v>0</v>
      </c>
    </row>
    <row r="308" spans="1:25" x14ac:dyDescent="0.55000000000000004">
      <c r="A308" t="s">
        <v>94</v>
      </c>
      <c r="B308" t="s">
        <v>159</v>
      </c>
      <c r="C308" t="s">
        <v>96</v>
      </c>
      <c r="D308" t="s">
        <v>160</v>
      </c>
      <c r="E308" t="s">
        <v>164</v>
      </c>
      <c r="F308" t="s">
        <v>99</v>
      </c>
      <c r="G308">
        <v>19381</v>
      </c>
      <c r="H308" t="s">
        <v>166</v>
      </c>
      <c r="I308">
        <v>1</v>
      </c>
      <c r="J308" t="s">
        <v>115</v>
      </c>
      <c r="K308" s="19">
        <v>0.39583333333333331</v>
      </c>
      <c r="L308" s="19">
        <v>0.70833333333333337</v>
      </c>
      <c r="M308">
        <v>7.5</v>
      </c>
      <c r="N308">
        <v>0</v>
      </c>
      <c r="O308">
        <v>60</v>
      </c>
      <c r="P308">
        <v>76</v>
      </c>
      <c r="Q308" t="s">
        <v>99</v>
      </c>
      <c r="R308">
        <v>30</v>
      </c>
      <c r="S308" s="19">
        <v>0.58333333333333337</v>
      </c>
      <c r="T308">
        <v>0</v>
      </c>
      <c r="U308" s="19">
        <v>0.54166666666666663</v>
      </c>
      <c r="V308" t="s">
        <v>99</v>
      </c>
      <c r="W308">
        <v>7</v>
      </c>
      <c r="X308" t="s">
        <v>102</v>
      </c>
      <c r="Y308" t="b">
        <v>0</v>
      </c>
    </row>
    <row r="309" spans="1:25" x14ac:dyDescent="0.55000000000000004">
      <c r="A309" t="s">
        <v>94</v>
      </c>
      <c r="B309" t="s">
        <v>159</v>
      </c>
      <c r="C309" t="s">
        <v>96</v>
      </c>
      <c r="D309" t="s">
        <v>160</v>
      </c>
      <c r="E309" t="s">
        <v>164</v>
      </c>
      <c r="F309" t="s">
        <v>99</v>
      </c>
      <c r="G309">
        <v>19381</v>
      </c>
      <c r="H309" t="s">
        <v>166</v>
      </c>
      <c r="I309">
        <v>1</v>
      </c>
      <c r="J309" t="s">
        <v>105</v>
      </c>
      <c r="K309" s="19">
        <v>0.41666666666666669</v>
      </c>
      <c r="L309" s="19">
        <v>0.70833333333333337</v>
      </c>
      <c r="M309">
        <v>7</v>
      </c>
      <c r="N309">
        <v>0</v>
      </c>
      <c r="O309">
        <v>60</v>
      </c>
      <c r="P309">
        <v>76</v>
      </c>
      <c r="Q309" t="s">
        <v>99</v>
      </c>
      <c r="R309">
        <v>30</v>
      </c>
      <c r="S309" s="19">
        <v>0.58333333333333337</v>
      </c>
      <c r="T309">
        <v>0</v>
      </c>
      <c r="U309" s="19">
        <v>0.54166666666666663</v>
      </c>
      <c r="V309" t="s">
        <v>99</v>
      </c>
      <c r="W309">
        <v>6.5</v>
      </c>
      <c r="X309" t="s">
        <v>102</v>
      </c>
      <c r="Y309" t="b">
        <v>0</v>
      </c>
    </row>
    <row r="310" spans="1:25" x14ac:dyDescent="0.55000000000000004">
      <c r="A310" t="s">
        <v>94</v>
      </c>
      <c r="B310" t="s">
        <v>159</v>
      </c>
      <c r="C310" t="s">
        <v>96</v>
      </c>
      <c r="D310" t="s">
        <v>160</v>
      </c>
      <c r="E310" t="s">
        <v>164</v>
      </c>
      <c r="F310" t="s">
        <v>99</v>
      </c>
      <c r="G310">
        <v>19381</v>
      </c>
      <c r="H310" t="s">
        <v>166</v>
      </c>
      <c r="I310">
        <v>2</v>
      </c>
      <c r="J310" t="s">
        <v>105</v>
      </c>
      <c r="K310" s="19">
        <v>0.41666666666666669</v>
      </c>
      <c r="L310" s="19">
        <v>0.70833333333333337</v>
      </c>
      <c r="M310">
        <v>7</v>
      </c>
      <c r="N310">
        <v>0</v>
      </c>
      <c r="O310">
        <v>60</v>
      </c>
      <c r="P310">
        <v>76</v>
      </c>
      <c r="Q310" t="s">
        <v>99</v>
      </c>
      <c r="R310">
        <v>30</v>
      </c>
      <c r="S310" s="19">
        <v>0.58333333333333337</v>
      </c>
      <c r="T310">
        <v>0</v>
      </c>
      <c r="U310" s="19">
        <v>0.54166666666666663</v>
      </c>
      <c r="V310" t="s">
        <v>99</v>
      </c>
      <c r="W310">
        <v>6.5</v>
      </c>
      <c r="X310" t="s">
        <v>102</v>
      </c>
      <c r="Y310" t="b">
        <v>0</v>
      </c>
    </row>
    <row r="311" spans="1:25" x14ac:dyDescent="0.55000000000000004">
      <c r="A311" t="s">
        <v>94</v>
      </c>
      <c r="B311" t="s">
        <v>159</v>
      </c>
      <c r="C311" t="s">
        <v>96</v>
      </c>
      <c r="D311" t="s">
        <v>160</v>
      </c>
      <c r="E311" t="s">
        <v>164</v>
      </c>
      <c r="F311" t="s">
        <v>99</v>
      </c>
      <c r="G311">
        <v>21155</v>
      </c>
      <c r="H311" t="s">
        <v>167</v>
      </c>
      <c r="I311">
        <v>1</v>
      </c>
      <c r="J311" t="s">
        <v>107</v>
      </c>
      <c r="K311" s="19">
        <v>0.375</v>
      </c>
      <c r="L311" s="19">
        <v>0.66666666666666663</v>
      </c>
      <c r="M311">
        <v>7</v>
      </c>
      <c r="N311">
        <v>200.04</v>
      </c>
      <c r="O311">
        <v>60</v>
      </c>
      <c r="P311">
        <v>76</v>
      </c>
      <c r="Q311" t="s">
        <v>99</v>
      </c>
      <c r="R311">
        <v>30</v>
      </c>
      <c r="S311" s="19">
        <v>0.58333333333333337</v>
      </c>
      <c r="T311">
        <v>0</v>
      </c>
      <c r="U311" s="19">
        <v>0</v>
      </c>
      <c r="V311" t="s">
        <v>99</v>
      </c>
      <c r="W311">
        <v>6.5</v>
      </c>
      <c r="X311" t="s">
        <v>102</v>
      </c>
      <c r="Y311" t="b">
        <v>0</v>
      </c>
    </row>
    <row r="312" spans="1:25" x14ac:dyDescent="0.55000000000000004">
      <c r="A312" t="s">
        <v>94</v>
      </c>
      <c r="B312" t="s">
        <v>159</v>
      </c>
      <c r="C312" t="s">
        <v>96</v>
      </c>
      <c r="D312" t="s">
        <v>160</v>
      </c>
      <c r="E312" t="s">
        <v>164</v>
      </c>
      <c r="F312" t="s">
        <v>99</v>
      </c>
      <c r="G312">
        <v>21155</v>
      </c>
      <c r="H312" t="s">
        <v>167</v>
      </c>
      <c r="I312">
        <v>1</v>
      </c>
      <c r="J312" t="s">
        <v>101</v>
      </c>
      <c r="K312" s="19">
        <v>0.33333333333333331</v>
      </c>
      <c r="L312" s="19">
        <v>0.66666666666666663</v>
      </c>
      <c r="M312">
        <v>8</v>
      </c>
      <c r="N312">
        <v>230.75</v>
      </c>
      <c r="O312">
        <v>60</v>
      </c>
      <c r="P312">
        <v>76</v>
      </c>
      <c r="Q312" t="s">
        <v>99</v>
      </c>
      <c r="R312">
        <v>30</v>
      </c>
      <c r="S312" s="19">
        <v>0.54166666666666663</v>
      </c>
      <c r="T312">
        <v>0</v>
      </c>
      <c r="U312" s="19">
        <v>0</v>
      </c>
      <c r="V312" t="s">
        <v>99</v>
      </c>
      <c r="W312">
        <v>7.5</v>
      </c>
      <c r="X312" t="s">
        <v>102</v>
      </c>
      <c r="Y312" t="b">
        <v>0</v>
      </c>
    </row>
    <row r="313" spans="1:25" x14ac:dyDescent="0.55000000000000004">
      <c r="A313" t="s">
        <v>94</v>
      </c>
      <c r="B313" t="s">
        <v>159</v>
      </c>
      <c r="C313" t="s">
        <v>96</v>
      </c>
      <c r="D313" t="s">
        <v>160</v>
      </c>
      <c r="E313" t="s">
        <v>164</v>
      </c>
      <c r="F313" t="s">
        <v>99</v>
      </c>
      <c r="G313">
        <v>21155</v>
      </c>
      <c r="H313" t="s">
        <v>167</v>
      </c>
      <c r="I313">
        <v>1</v>
      </c>
      <c r="J313" t="s">
        <v>103</v>
      </c>
      <c r="K313" s="19">
        <v>0.41666666666666669</v>
      </c>
      <c r="L313" s="19">
        <v>0.70833333333333337</v>
      </c>
      <c r="M313">
        <v>7</v>
      </c>
      <c r="N313">
        <v>200.05</v>
      </c>
      <c r="O313">
        <v>60</v>
      </c>
      <c r="P313">
        <v>76</v>
      </c>
      <c r="Q313" t="s">
        <v>99</v>
      </c>
      <c r="R313">
        <v>30</v>
      </c>
      <c r="S313" s="19">
        <v>0.58333333333333337</v>
      </c>
      <c r="T313">
        <v>0</v>
      </c>
      <c r="U313" s="19">
        <v>0</v>
      </c>
      <c r="V313" t="s">
        <v>99</v>
      </c>
      <c r="W313">
        <v>6.5</v>
      </c>
      <c r="X313" t="s">
        <v>102</v>
      </c>
      <c r="Y313" t="b">
        <v>0</v>
      </c>
    </row>
    <row r="314" spans="1:25" x14ac:dyDescent="0.55000000000000004">
      <c r="A314" t="s">
        <v>94</v>
      </c>
      <c r="B314" t="s">
        <v>159</v>
      </c>
      <c r="C314" t="s">
        <v>96</v>
      </c>
      <c r="D314" t="s">
        <v>160</v>
      </c>
      <c r="E314" t="s">
        <v>164</v>
      </c>
      <c r="F314" t="s">
        <v>99</v>
      </c>
      <c r="G314">
        <v>21155</v>
      </c>
      <c r="H314" t="s">
        <v>167</v>
      </c>
      <c r="I314">
        <v>1</v>
      </c>
      <c r="J314" t="s">
        <v>104</v>
      </c>
      <c r="K314" s="19">
        <v>0.33333333333333331</v>
      </c>
      <c r="L314" s="19">
        <v>0.66666666666666663</v>
      </c>
      <c r="M314">
        <v>8</v>
      </c>
      <c r="N314">
        <v>230.75</v>
      </c>
      <c r="O314">
        <v>60</v>
      </c>
      <c r="P314">
        <v>76</v>
      </c>
      <c r="Q314" t="s">
        <v>99</v>
      </c>
      <c r="R314">
        <v>30</v>
      </c>
      <c r="S314" s="19">
        <v>0.54166666666666663</v>
      </c>
      <c r="T314">
        <v>0</v>
      </c>
      <c r="U314" s="19">
        <v>0</v>
      </c>
      <c r="V314" t="s">
        <v>99</v>
      </c>
      <c r="W314">
        <v>7.5</v>
      </c>
      <c r="X314" t="s">
        <v>102</v>
      </c>
      <c r="Y314" t="b">
        <v>0</v>
      </c>
    </row>
    <row r="315" spans="1:25" x14ac:dyDescent="0.55000000000000004">
      <c r="A315" t="s">
        <v>94</v>
      </c>
      <c r="B315" t="s">
        <v>159</v>
      </c>
      <c r="C315" t="s">
        <v>96</v>
      </c>
      <c r="D315" t="s">
        <v>160</v>
      </c>
      <c r="E315" t="s">
        <v>164</v>
      </c>
      <c r="F315" t="s">
        <v>99</v>
      </c>
      <c r="G315">
        <v>21155</v>
      </c>
      <c r="H315" t="s">
        <v>167</v>
      </c>
      <c r="I315">
        <v>2</v>
      </c>
      <c r="J315" t="s">
        <v>107</v>
      </c>
      <c r="K315" s="19">
        <v>0.375</v>
      </c>
      <c r="L315" s="19">
        <v>0.66666666666666663</v>
      </c>
      <c r="M315">
        <v>7</v>
      </c>
      <c r="N315">
        <v>199.88</v>
      </c>
      <c r="O315">
        <v>60</v>
      </c>
      <c r="P315">
        <v>76</v>
      </c>
      <c r="Q315" t="s">
        <v>99</v>
      </c>
      <c r="R315">
        <v>30</v>
      </c>
      <c r="S315" s="19">
        <v>0.58333333333333337</v>
      </c>
      <c r="T315">
        <v>0</v>
      </c>
      <c r="U315" s="19">
        <v>0</v>
      </c>
      <c r="V315" t="s">
        <v>99</v>
      </c>
      <c r="W315">
        <v>6.5</v>
      </c>
      <c r="X315" t="s">
        <v>102</v>
      </c>
      <c r="Y315" t="b">
        <v>0</v>
      </c>
    </row>
    <row r="316" spans="1:25" x14ac:dyDescent="0.55000000000000004">
      <c r="A316" t="s">
        <v>94</v>
      </c>
      <c r="B316" t="s">
        <v>159</v>
      </c>
      <c r="C316" t="s">
        <v>96</v>
      </c>
      <c r="D316" t="s">
        <v>160</v>
      </c>
      <c r="E316" t="s">
        <v>164</v>
      </c>
      <c r="F316" t="s">
        <v>99</v>
      </c>
      <c r="G316">
        <v>21155</v>
      </c>
      <c r="H316" t="s">
        <v>167</v>
      </c>
      <c r="I316">
        <v>2</v>
      </c>
      <c r="J316" t="s">
        <v>101</v>
      </c>
      <c r="K316" s="19">
        <v>0.375</v>
      </c>
      <c r="L316" s="19">
        <v>0.66666666666666663</v>
      </c>
      <c r="M316">
        <v>7</v>
      </c>
      <c r="N316">
        <v>200.04</v>
      </c>
      <c r="O316">
        <v>60</v>
      </c>
      <c r="P316">
        <v>76</v>
      </c>
      <c r="Q316" t="s">
        <v>99</v>
      </c>
      <c r="R316">
        <v>30</v>
      </c>
      <c r="S316" s="19">
        <v>0.58333333333333337</v>
      </c>
      <c r="T316">
        <v>0</v>
      </c>
      <c r="U316" s="19">
        <v>0</v>
      </c>
      <c r="V316" t="s">
        <v>99</v>
      </c>
      <c r="W316">
        <v>6.5</v>
      </c>
      <c r="X316" t="s">
        <v>102</v>
      </c>
      <c r="Y316" t="b">
        <v>0</v>
      </c>
    </row>
    <row r="317" spans="1:25" x14ac:dyDescent="0.55000000000000004">
      <c r="A317" t="s">
        <v>94</v>
      </c>
      <c r="B317" t="s">
        <v>159</v>
      </c>
      <c r="C317" t="s">
        <v>96</v>
      </c>
      <c r="D317" t="s">
        <v>160</v>
      </c>
      <c r="E317" t="s">
        <v>164</v>
      </c>
      <c r="F317" t="s">
        <v>99</v>
      </c>
      <c r="G317">
        <v>21155</v>
      </c>
      <c r="H317" t="s">
        <v>167</v>
      </c>
      <c r="I317">
        <v>2</v>
      </c>
      <c r="J317" t="s">
        <v>103</v>
      </c>
      <c r="K317" s="19">
        <v>0.375</v>
      </c>
      <c r="L317" s="19">
        <v>0.66666666666666663</v>
      </c>
      <c r="M317">
        <v>7</v>
      </c>
      <c r="N317">
        <v>200.04</v>
      </c>
      <c r="O317">
        <v>60</v>
      </c>
      <c r="P317">
        <v>76</v>
      </c>
      <c r="Q317" t="s">
        <v>99</v>
      </c>
      <c r="R317">
        <v>30</v>
      </c>
      <c r="S317" s="19">
        <v>0.58333333333333337</v>
      </c>
      <c r="T317">
        <v>0</v>
      </c>
      <c r="U317" s="19">
        <v>0</v>
      </c>
      <c r="V317" t="s">
        <v>99</v>
      </c>
      <c r="W317">
        <v>6.5</v>
      </c>
      <c r="X317" t="s">
        <v>102</v>
      </c>
      <c r="Y317" t="b">
        <v>0</v>
      </c>
    </row>
    <row r="318" spans="1:25" x14ac:dyDescent="0.55000000000000004">
      <c r="A318" t="s">
        <v>94</v>
      </c>
      <c r="B318" t="s">
        <v>159</v>
      </c>
      <c r="C318" t="s">
        <v>96</v>
      </c>
      <c r="D318" t="s">
        <v>160</v>
      </c>
      <c r="E318" t="s">
        <v>164</v>
      </c>
      <c r="F318" t="s">
        <v>99</v>
      </c>
      <c r="G318">
        <v>21155</v>
      </c>
      <c r="H318" t="s">
        <v>167</v>
      </c>
      <c r="I318">
        <v>2</v>
      </c>
      <c r="J318" t="s">
        <v>104</v>
      </c>
      <c r="K318" s="19">
        <v>0.375</v>
      </c>
      <c r="L318" s="19">
        <v>0.66666666666666663</v>
      </c>
      <c r="M318">
        <v>7</v>
      </c>
      <c r="N318">
        <v>0</v>
      </c>
      <c r="O318">
        <v>60</v>
      </c>
      <c r="P318">
        <v>76</v>
      </c>
      <c r="Q318" t="s">
        <v>99</v>
      </c>
      <c r="R318">
        <v>30</v>
      </c>
      <c r="S318" s="19">
        <v>0.58333333333333337</v>
      </c>
      <c r="T318">
        <v>0</v>
      </c>
      <c r="U318" s="19">
        <v>0</v>
      </c>
      <c r="V318" t="s">
        <v>99</v>
      </c>
      <c r="W318">
        <v>6.5</v>
      </c>
      <c r="X318" t="s">
        <v>102</v>
      </c>
      <c r="Y318" t="b">
        <v>0</v>
      </c>
    </row>
    <row r="319" spans="1:25" x14ac:dyDescent="0.55000000000000004">
      <c r="A319" t="s">
        <v>94</v>
      </c>
      <c r="B319" t="s">
        <v>159</v>
      </c>
      <c r="C319" t="s">
        <v>96</v>
      </c>
      <c r="D319" t="s">
        <v>160</v>
      </c>
      <c r="E319" t="s">
        <v>164</v>
      </c>
      <c r="F319" t="s">
        <v>99</v>
      </c>
      <c r="G319">
        <v>21155</v>
      </c>
      <c r="H319" t="s">
        <v>167</v>
      </c>
      <c r="I319">
        <v>2</v>
      </c>
      <c r="J319" t="s">
        <v>105</v>
      </c>
      <c r="K319" s="19">
        <v>0.375</v>
      </c>
      <c r="L319" s="19">
        <v>0.66666666666666663</v>
      </c>
      <c r="M319">
        <v>7</v>
      </c>
      <c r="N319">
        <v>200.04</v>
      </c>
      <c r="O319">
        <v>60</v>
      </c>
      <c r="P319">
        <v>76</v>
      </c>
      <c r="Q319" t="s">
        <v>99</v>
      </c>
      <c r="R319">
        <v>30</v>
      </c>
      <c r="S319" s="19">
        <v>0.58333333333333337</v>
      </c>
      <c r="T319">
        <v>0</v>
      </c>
      <c r="U319" s="19">
        <v>0</v>
      </c>
      <c r="V319" t="s">
        <v>99</v>
      </c>
      <c r="W319">
        <v>6.5</v>
      </c>
      <c r="X319" t="s">
        <v>102</v>
      </c>
      <c r="Y319" t="b">
        <v>0</v>
      </c>
    </row>
    <row r="320" spans="1:25" x14ac:dyDescent="0.55000000000000004">
      <c r="A320" t="s">
        <v>94</v>
      </c>
      <c r="B320" t="s">
        <v>159</v>
      </c>
      <c r="C320" t="s">
        <v>96</v>
      </c>
      <c r="D320" t="s">
        <v>160</v>
      </c>
      <c r="E320" t="s">
        <v>164</v>
      </c>
      <c r="F320" t="s">
        <v>99</v>
      </c>
      <c r="G320">
        <v>21495</v>
      </c>
      <c r="H320" t="s">
        <v>168</v>
      </c>
      <c r="I320">
        <v>1</v>
      </c>
      <c r="J320" t="s">
        <v>107</v>
      </c>
      <c r="K320" s="19">
        <v>0.41666666666666669</v>
      </c>
      <c r="L320" s="19">
        <v>0.70833333333333337</v>
      </c>
      <c r="M320">
        <v>7</v>
      </c>
      <c r="N320">
        <v>200.05</v>
      </c>
      <c r="O320">
        <v>40</v>
      </c>
      <c r="P320">
        <v>76</v>
      </c>
      <c r="Q320" t="s">
        <v>99</v>
      </c>
      <c r="R320">
        <v>30</v>
      </c>
      <c r="S320" s="19">
        <v>0.58333333333333337</v>
      </c>
      <c r="T320">
        <v>0</v>
      </c>
      <c r="U320" s="19">
        <v>0</v>
      </c>
      <c r="V320" t="s">
        <v>99</v>
      </c>
      <c r="W320">
        <v>6.5</v>
      </c>
      <c r="X320" t="s">
        <v>102</v>
      </c>
      <c r="Y320" t="b">
        <v>0</v>
      </c>
    </row>
    <row r="321" spans="1:25" x14ac:dyDescent="0.55000000000000004">
      <c r="A321" t="s">
        <v>94</v>
      </c>
      <c r="B321" t="s">
        <v>159</v>
      </c>
      <c r="C321" t="s">
        <v>96</v>
      </c>
      <c r="D321" t="s">
        <v>160</v>
      </c>
      <c r="E321" t="s">
        <v>164</v>
      </c>
      <c r="F321" t="s">
        <v>99</v>
      </c>
      <c r="G321">
        <v>21495</v>
      </c>
      <c r="H321" t="s">
        <v>168</v>
      </c>
      <c r="I321">
        <v>1</v>
      </c>
      <c r="J321" t="s">
        <v>105</v>
      </c>
      <c r="K321" s="19">
        <v>0.375</v>
      </c>
      <c r="L321" s="19">
        <v>0.66666666666666663</v>
      </c>
      <c r="M321">
        <v>7</v>
      </c>
      <c r="N321">
        <v>200.04</v>
      </c>
      <c r="O321">
        <v>40</v>
      </c>
      <c r="P321">
        <v>76</v>
      </c>
      <c r="Q321" t="s">
        <v>99</v>
      </c>
      <c r="R321">
        <v>30</v>
      </c>
      <c r="S321" s="19">
        <v>0.58333333333333337</v>
      </c>
      <c r="T321">
        <v>0</v>
      </c>
      <c r="U321" s="19">
        <v>0</v>
      </c>
      <c r="V321" t="s">
        <v>99</v>
      </c>
      <c r="W321">
        <v>6.5</v>
      </c>
      <c r="X321" t="s">
        <v>102</v>
      </c>
      <c r="Y321" t="b">
        <v>0</v>
      </c>
    </row>
    <row r="322" spans="1:25" x14ac:dyDescent="0.55000000000000004">
      <c r="A322" t="s">
        <v>94</v>
      </c>
      <c r="B322" t="s">
        <v>159</v>
      </c>
      <c r="C322" t="s">
        <v>96</v>
      </c>
      <c r="D322" t="s">
        <v>160</v>
      </c>
      <c r="E322" t="s">
        <v>164</v>
      </c>
      <c r="F322" t="s">
        <v>99</v>
      </c>
      <c r="G322">
        <v>21495</v>
      </c>
      <c r="H322" t="s">
        <v>168</v>
      </c>
      <c r="I322">
        <v>2</v>
      </c>
      <c r="J322" t="s">
        <v>107</v>
      </c>
      <c r="K322" s="19">
        <v>0.41666666666666669</v>
      </c>
      <c r="L322" s="19">
        <v>0.70833333333333337</v>
      </c>
      <c r="M322">
        <v>7</v>
      </c>
      <c r="N322">
        <v>200.05</v>
      </c>
      <c r="O322">
        <v>40</v>
      </c>
      <c r="P322">
        <v>76</v>
      </c>
      <c r="Q322" t="s">
        <v>99</v>
      </c>
      <c r="R322">
        <v>30</v>
      </c>
      <c r="S322" s="19">
        <v>0.58333333333333337</v>
      </c>
      <c r="T322">
        <v>0</v>
      </c>
      <c r="U322" s="19">
        <v>0</v>
      </c>
      <c r="V322" t="s">
        <v>99</v>
      </c>
      <c r="W322">
        <v>6.5</v>
      </c>
      <c r="X322" t="s">
        <v>102</v>
      </c>
      <c r="Y322" t="b">
        <v>0</v>
      </c>
    </row>
    <row r="323" spans="1:25" x14ac:dyDescent="0.55000000000000004">
      <c r="A323" t="s">
        <v>94</v>
      </c>
      <c r="B323" t="s">
        <v>159</v>
      </c>
      <c r="C323" t="s">
        <v>96</v>
      </c>
      <c r="D323" t="s">
        <v>160</v>
      </c>
      <c r="E323" t="s">
        <v>164</v>
      </c>
      <c r="F323" t="s">
        <v>99</v>
      </c>
      <c r="G323">
        <v>21495</v>
      </c>
      <c r="H323" t="s">
        <v>168</v>
      </c>
      <c r="I323">
        <v>2</v>
      </c>
      <c r="J323" t="s">
        <v>115</v>
      </c>
      <c r="K323" s="19">
        <v>0.39583333333333331</v>
      </c>
      <c r="L323" s="19">
        <v>0.70833333333333337</v>
      </c>
      <c r="M323">
        <v>7.5</v>
      </c>
      <c r="N323">
        <v>322.88</v>
      </c>
      <c r="O323">
        <v>40</v>
      </c>
      <c r="P323">
        <v>76</v>
      </c>
      <c r="Q323" t="s">
        <v>99</v>
      </c>
      <c r="R323">
        <v>30</v>
      </c>
      <c r="S323" s="19">
        <v>0.58333333333333337</v>
      </c>
      <c r="T323">
        <v>0</v>
      </c>
      <c r="U323" s="19">
        <v>0</v>
      </c>
      <c r="V323" t="s">
        <v>99</v>
      </c>
      <c r="W323">
        <v>7</v>
      </c>
      <c r="X323" t="s">
        <v>102</v>
      </c>
      <c r="Y323" t="b">
        <v>0</v>
      </c>
    </row>
    <row r="324" spans="1:25" x14ac:dyDescent="0.55000000000000004">
      <c r="A324" t="s">
        <v>94</v>
      </c>
      <c r="B324" t="s">
        <v>159</v>
      </c>
      <c r="C324" t="s">
        <v>96</v>
      </c>
      <c r="D324" t="s">
        <v>160</v>
      </c>
      <c r="E324" t="s">
        <v>164</v>
      </c>
      <c r="F324" t="s">
        <v>99</v>
      </c>
      <c r="G324">
        <v>21495</v>
      </c>
      <c r="H324" t="s">
        <v>168</v>
      </c>
      <c r="I324">
        <v>2</v>
      </c>
      <c r="J324" t="s">
        <v>116</v>
      </c>
      <c r="K324" s="19">
        <v>0.39583333333333331</v>
      </c>
      <c r="L324" s="19">
        <v>0.70833333333333337</v>
      </c>
      <c r="M324">
        <v>7.5</v>
      </c>
      <c r="N324">
        <v>376.63</v>
      </c>
      <c r="O324">
        <v>40</v>
      </c>
      <c r="P324">
        <v>76</v>
      </c>
      <c r="Q324" t="s">
        <v>99</v>
      </c>
      <c r="R324">
        <v>30</v>
      </c>
      <c r="S324" s="19">
        <v>0.58333333333333337</v>
      </c>
      <c r="T324">
        <v>0</v>
      </c>
      <c r="U324" s="19">
        <v>0</v>
      </c>
      <c r="V324" t="s">
        <v>99</v>
      </c>
      <c r="W324">
        <v>7</v>
      </c>
      <c r="X324" t="s">
        <v>102</v>
      </c>
      <c r="Y324" t="b">
        <v>0</v>
      </c>
    </row>
    <row r="325" spans="1:25" x14ac:dyDescent="0.55000000000000004">
      <c r="A325" t="s">
        <v>94</v>
      </c>
      <c r="B325" t="s">
        <v>159</v>
      </c>
      <c r="C325" t="s">
        <v>96</v>
      </c>
      <c r="D325" t="s">
        <v>160</v>
      </c>
      <c r="E325" t="s">
        <v>164</v>
      </c>
      <c r="F325" t="s">
        <v>99</v>
      </c>
      <c r="G325">
        <v>21495</v>
      </c>
      <c r="H325" t="s">
        <v>168</v>
      </c>
      <c r="I325">
        <v>2</v>
      </c>
      <c r="J325" t="s">
        <v>103</v>
      </c>
      <c r="K325" s="19">
        <v>0.41666666666666669</v>
      </c>
      <c r="L325" s="19">
        <v>0.70833333333333337</v>
      </c>
      <c r="M325">
        <v>7</v>
      </c>
      <c r="N325">
        <v>200.05</v>
      </c>
      <c r="O325">
        <v>40</v>
      </c>
      <c r="P325">
        <v>76</v>
      </c>
      <c r="Q325" t="s">
        <v>99</v>
      </c>
      <c r="R325">
        <v>30</v>
      </c>
      <c r="S325" s="19">
        <v>0.58333333333333337</v>
      </c>
      <c r="T325">
        <v>0</v>
      </c>
      <c r="U325" s="19">
        <v>0</v>
      </c>
      <c r="V325" t="s">
        <v>99</v>
      </c>
      <c r="W325">
        <v>6.5</v>
      </c>
      <c r="X325" t="s">
        <v>102</v>
      </c>
      <c r="Y325" t="b">
        <v>0</v>
      </c>
    </row>
    <row r="326" spans="1:25" x14ac:dyDescent="0.55000000000000004">
      <c r="A326" t="s">
        <v>94</v>
      </c>
      <c r="B326" t="s">
        <v>159</v>
      </c>
      <c r="C326" t="s">
        <v>96</v>
      </c>
      <c r="D326" t="s">
        <v>160</v>
      </c>
      <c r="E326" t="s">
        <v>164</v>
      </c>
      <c r="F326" t="s">
        <v>99</v>
      </c>
      <c r="G326">
        <v>23543</v>
      </c>
      <c r="H326" t="s">
        <v>131</v>
      </c>
      <c r="I326">
        <v>1</v>
      </c>
      <c r="J326" t="s">
        <v>107</v>
      </c>
      <c r="K326" s="19">
        <v>0.375</v>
      </c>
      <c r="L326" s="19">
        <v>0.66666666666666663</v>
      </c>
      <c r="M326">
        <v>7</v>
      </c>
      <c r="N326">
        <v>190.49</v>
      </c>
      <c r="O326">
        <v>44</v>
      </c>
      <c r="P326">
        <v>76</v>
      </c>
      <c r="Q326" t="s">
        <v>99</v>
      </c>
      <c r="R326">
        <v>30</v>
      </c>
      <c r="S326" s="19">
        <v>0.58333333333333337</v>
      </c>
      <c r="T326">
        <v>0</v>
      </c>
      <c r="U326" s="19">
        <v>0</v>
      </c>
      <c r="V326" t="s">
        <v>99</v>
      </c>
      <c r="W326">
        <v>6.5</v>
      </c>
      <c r="X326" t="s">
        <v>102</v>
      </c>
      <c r="Y326" t="b">
        <v>0</v>
      </c>
    </row>
    <row r="327" spans="1:25" x14ac:dyDescent="0.55000000000000004">
      <c r="A327" t="s">
        <v>94</v>
      </c>
      <c r="B327" t="s">
        <v>159</v>
      </c>
      <c r="C327" t="s">
        <v>96</v>
      </c>
      <c r="D327" t="s">
        <v>160</v>
      </c>
      <c r="E327" t="s">
        <v>164</v>
      </c>
      <c r="F327" t="s">
        <v>99</v>
      </c>
      <c r="G327">
        <v>23543</v>
      </c>
      <c r="H327" t="s">
        <v>131</v>
      </c>
      <c r="I327">
        <v>1</v>
      </c>
      <c r="J327" t="s">
        <v>101</v>
      </c>
      <c r="K327" s="19">
        <v>0.375</v>
      </c>
      <c r="L327" s="19">
        <v>0.66666666666666663</v>
      </c>
      <c r="M327">
        <v>7</v>
      </c>
      <c r="N327">
        <v>190.49</v>
      </c>
      <c r="O327">
        <v>44</v>
      </c>
      <c r="P327">
        <v>76</v>
      </c>
      <c r="Q327" t="s">
        <v>99</v>
      </c>
      <c r="R327">
        <v>30</v>
      </c>
      <c r="S327" s="19">
        <v>0.58333333333333337</v>
      </c>
      <c r="T327">
        <v>0</v>
      </c>
      <c r="U327" s="19">
        <v>0</v>
      </c>
      <c r="V327" t="s">
        <v>99</v>
      </c>
      <c r="W327">
        <v>6.5</v>
      </c>
      <c r="X327" t="s">
        <v>102</v>
      </c>
      <c r="Y327" t="b">
        <v>0</v>
      </c>
    </row>
    <row r="328" spans="1:25" x14ac:dyDescent="0.55000000000000004">
      <c r="A328" t="s">
        <v>94</v>
      </c>
      <c r="B328" t="s">
        <v>159</v>
      </c>
      <c r="C328" t="s">
        <v>96</v>
      </c>
      <c r="D328" t="s">
        <v>160</v>
      </c>
      <c r="E328" t="s">
        <v>164</v>
      </c>
      <c r="F328" t="s">
        <v>99</v>
      </c>
      <c r="G328">
        <v>23543</v>
      </c>
      <c r="H328" t="s">
        <v>131</v>
      </c>
      <c r="I328">
        <v>2</v>
      </c>
      <c r="J328" t="s">
        <v>107</v>
      </c>
      <c r="K328" s="19">
        <v>0.375</v>
      </c>
      <c r="L328" s="19">
        <v>0.66666666666666663</v>
      </c>
      <c r="M328">
        <v>7</v>
      </c>
      <c r="N328">
        <v>190.49</v>
      </c>
      <c r="O328">
        <v>44</v>
      </c>
      <c r="P328">
        <v>76</v>
      </c>
      <c r="Q328" t="s">
        <v>99</v>
      </c>
      <c r="R328">
        <v>30</v>
      </c>
      <c r="S328" s="19">
        <v>0.58333333333333337</v>
      </c>
      <c r="T328">
        <v>0</v>
      </c>
      <c r="U328" s="19">
        <v>0</v>
      </c>
      <c r="V328" t="s">
        <v>99</v>
      </c>
      <c r="W328">
        <v>6.5</v>
      </c>
      <c r="X328" t="s">
        <v>102</v>
      </c>
      <c r="Y328" t="b">
        <v>0</v>
      </c>
    </row>
    <row r="329" spans="1:25" x14ac:dyDescent="0.55000000000000004">
      <c r="A329" t="s">
        <v>94</v>
      </c>
      <c r="B329" t="s">
        <v>159</v>
      </c>
      <c r="C329" t="s">
        <v>96</v>
      </c>
      <c r="D329" t="s">
        <v>160</v>
      </c>
      <c r="E329" t="s">
        <v>164</v>
      </c>
      <c r="F329" t="s">
        <v>99</v>
      </c>
      <c r="G329">
        <v>23543</v>
      </c>
      <c r="H329" t="s">
        <v>131</v>
      </c>
      <c r="I329">
        <v>2</v>
      </c>
      <c r="J329" t="s">
        <v>101</v>
      </c>
      <c r="K329" s="19">
        <v>0.375</v>
      </c>
      <c r="L329" s="19">
        <v>0.66666666666666663</v>
      </c>
      <c r="M329">
        <v>7</v>
      </c>
      <c r="N329">
        <v>190.49</v>
      </c>
      <c r="O329">
        <v>44</v>
      </c>
      <c r="P329">
        <v>76</v>
      </c>
      <c r="Q329" t="s">
        <v>99</v>
      </c>
      <c r="R329">
        <v>30</v>
      </c>
      <c r="S329" s="19">
        <v>0.58333333333333337</v>
      </c>
      <c r="T329">
        <v>0</v>
      </c>
      <c r="U329" s="19">
        <v>0</v>
      </c>
      <c r="V329" t="s">
        <v>99</v>
      </c>
      <c r="W329">
        <v>6.5</v>
      </c>
      <c r="X329" t="s">
        <v>102</v>
      </c>
      <c r="Y329" t="b">
        <v>0</v>
      </c>
    </row>
    <row r="330" spans="1:25" x14ac:dyDescent="0.55000000000000004">
      <c r="A330" t="s">
        <v>94</v>
      </c>
      <c r="B330" t="s">
        <v>169</v>
      </c>
      <c r="C330" t="s">
        <v>96</v>
      </c>
      <c r="D330" t="s">
        <v>170</v>
      </c>
      <c r="E330" t="s">
        <v>117</v>
      </c>
      <c r="F330" t="s">
        <v>99</v>
      </c>
      <c r="H330" t="s">
        <v>99</v>
      </c>
      <c r="I330">
        <v>1</v>
      </c>
      <c r="J330" t="s">
        <v>107</v>
      </c>
      <c r="K330" s="19">
        <v>0.33333333333333331</v>
      </c>
      <c r="L330" s="19">
        <v>0.66666666666666663</v>
      </c>
      <c r="M330">
        <v>8</v>
      </c>
      <c r="N330">
        <v>217.88</v>
      </c>
      <c r="O330">
        <v>0</v>
      </c>
      <c r="P330">
        <v>0</v>
      </c>
      <c r="Q330" t="s">
        <v>99</v>
      </c>
      <c r="R330">
        <v>30</v>
      </c>
      <c r="S330" s="19">
        <v>0.5</v>
      </c>
      <c r="T330">
        <v>0</v>
      </c>
      <c r="U330" s="19">
        <v>0.54166666666666663</v>
      </c>
      <c r="V330" t="s">
        <v>99</v>
      </c>
      <c r="W330">
        <v>7.5</v>
      </c>
      <c r="X330" t="s">
        <v>102</v>
      </c>
      <c r="Y330" t="b">
        <v>0</v>
      </c>
    </row>
    <row r="331" spans="1:25" x14ac:dyDescent="0.55000000000000004">
      <c r="A331" t="s">
        <v>94</v>
      </c>
      <c r="B331" t="s">
        <v>169</v>
      </c>
      <c r="C331" t="s">
        <v>96</v>
      </c>
      <c r="D331" t="s">
        <v>170</v>
      </c>
      <c r="E331" t="s">
        <v>117</v>
      </c>
      <c r="F331" t="s">
        <v>99</v>
      </c>
      <c r="H331" t="s">
        <v>99</v>
      </c>
      <c r="I331">
        <v>1</v>
      </c>
      <c r="J331" t="s">
        <v>101</v>
      </c>
      <c r="K331" s="19">
        <v>0.33333333333333331</v>
      </c>
      <c r="L331" s="19">
        <v>0.66666666666666663</v>
      </c>
      <c r="M331">
        <v>8</v>
      </c>
      <c r="N331">
        <v>217.88</v>
      </c>
      <c r="O331">
        <v>0</v>
      </c>
      <c r="P331">
        <v>0</v>
      </c>
      <c r="Q331" t="s">
        <v>99</v>
      </c>
      <c r="R331">
        <v>30</v>
      </c>
      <c r="S331" s="19">
        <v>0.5</v>
      </c>
      <c r="T331">
        <v>0</v>
      </c>
      <c r="U331" s="19">
        <v>0.54166666666666663</v>
      </c>
      <c r="V331" t="s">
        <v>99</v>
      </c>
      <c r="W331">
        <v>7.5</v>
      </c>
      <c r="X331" t="s">
        <v>102</v>
      </c>
      <c r="Y331" t="b">
        <v>0</v>
      </c>
    </row>
    <row r="332" spans="1:25" x14ac:dyDescent="0.55000000000000004">
      <c r="A332" t="s">
        <v>94</v>
      </c>
      <c r="B332" t="s">
        <v>169</v>
      </c>
      <c r="C332" t="s">
        <v>96</v>
      </c>
      <c r="D332" t="s">
        <v>170</v>
      </c>
      <c r="E332" t="s">
        <v>117</v>
      </c>
      <c r="F332" t="s">
        <v>99</v>
      </c>
      <c r="H332" t="s">
        <v>99</v>
      </c>
      <c r="I332">
        <v>1</v>
      </c>
      <c r="J332" t="s">
        <v>103</v>
      </c>
      <c r="K332" s="19">
        <v>0.33333333333333331</v>
      </c>
      <c r="L332" s="19">
        <v>0.66666666666666663</v>
      </c>
      <c r="M332">
        <v>8</v>
      </c>
      <c r="N332">
        <v>217.88</v>
      </c>
      <c r="O332">
        <v>0</v>
      </c>
      <c r="P332">
        <v>0</v>
      </c>
      <c r="Q332" t="s">
        <v>99</v>
      </c>
      <c r="R332">
        <v>30</v>
      </c>
      <c r="S332" s="19">
        <v>0.5</v>
      </c>
      <c r="T332">
        <v>0</v>
      </c>
      <c r="U332" s="19">
        <v>0.54166666666666663</v>
      </c>
      <c r="V332" t="s">
        <v>99</v>
      </c>
      <c r="W332">
        <v>7.5</v>
      </c>
      <c r="X332" t="s">
        <v>102</v>
      </c>
      <c r="Y332" t="b">
        <v>0</v>
      </c>
    </row>
    <row r="333" spans="1:25" x14ac:dyDescent="0.55000000000000004">
      <c r="A333" t="s">
        <v>94</v>
      </c>
      <c r="B333" t="s">
        <v>169</v>
      </c>
      <c r="C333" t="s">
        <v>96</v>
      </c>
      <c r="D333" t="s">
        <v>170</v>
      </c>
      <c r="E333" t="s">
        <v>117</v>
      </c>
      <c r="F333" t="s">
        <v>99</v>
      </c>
      <c r="H333" t="s">
        <v>99</v>
      </c>
      <c r="I333">
        <v>1</v>
      </c>
      <c r="J333" t="s">
        <v>104</v>
      </c>
      <c r="K333" s="19">
        <v>0.33333333333333331</v>
      </c>
      <c r="L333" s="19">
        <v>0.66666666666666663</v>
      </c>
      <c r="M333">
        <v>8</v>
      </c>
      <c r="N333">
        <v>217.88</v>
      </c>
      <c r="O333">
        <v>0</v>
      </c>
      <c r="P333">
        <v>0</v>
      </c>
      <c r="Q333" t="s">
        <v>99</v>
      </c>
      <c r="R333">
        <v>30</v>
      </c>
      <c r="S333" s="19">
        <v>0.5</v>
      </c>
      <c r="T333">
        <v>0</v>
      </c>
      <c r="U333" s="19">
        <v>0.54166666666666663</v>
      </c>
      <c r="V333" t="s">
        <v>99</v>
      </c>
      <c r="W333">
        <v>7.5</v>
      </c>
      <c r="X333" t="s">
        <v>102</v>
      </c>
      <c r="Y333" t="b">
        <v>0</v>
      </c>
    </row>
    <row r="334" spans="1:25" x14ac:dyDescent="0.55000000000000004">
      <c r="A334" t="s">
        <v>94</v>
      </c>
      <c r="B334" t="s">
        <v>169</v>
      </c>
      <c r="C334" t="s">
        <v>96</v>
      </c>
      <c r="D334" t="s">
        <v>170</v>
      </c>
      <c r="E334" t="s">
        <v>117</v>
      </c>
      <c r="F334" t="s">
        <v>99</v>
      </c>
      <c r="H334" t="s">
        <v>99</v>
      </c>
      <c r="I334">
        <v>1</v>
      </c>
      <c r="J334" t="s">
        <v>105</v>
      </c>
      <c r="K334" s="19">
        <v>0.33333333333333331</v>
      </c>
      <c r="L334" s="19">
        <v>0.66666666666666663</v>
      </c>
      <c r="M334">
        <v>8</v>
      </c>
      <c r="N334">
        <v>217.88</v>
      </c>
      <c r="O334">
        <v>0</v>
      </c>
      <c r="P334">
        <v>0</v>
      </c>
      <c r="Q334" t="s">
        <v>99</v>
      </c>
      <c r="R334">
        <v>30</v>
      </c>
      <c r="S334" s="19">
        <v>0.5</v>
      </c>
      <c r="T334">
        <v>0</v>
      </c>
      <c r="U334" s="19">
        <v>0.54166666666666663</v>
      </c>
      <c r="V334" t="s">
        <v>99</v>
      </c>
      <c r="W334">
        <v>7.5</v>
      </c>
      <c r="X334" t="s">
        <v>102</v>
      </c>
      <c r="Y334" t="b">
        <v>0</v>
      </c>
    </row>
    <row r="335" spans="1:25" x14ac:dyDescent="0.55000000000000004">
      <c r="A335" t="s">
        <v>94</v>
      </c>
      <c r="B335" t="s">
        <v>169</v>
      </c>
      <c r="C335" t="s">
        <v>96</v>
      </c>
      <c r="D335" t="s">
        <v>170</v>
      </c>
      <c r="E335" t="s">
        <v>117</v>
      </c>
      <c r="F335" t="s">
        <v>99</v>
      </c>
      <c r="H335" t="s">
        <v>99</v>
      </c>
      <c r="I335">
        <v>2</v>
      </c>
      <c r="J335" t="s">
        <v>107</v>
      </c>
      <c r="K335" s="19">
        <v>0.33333333333333331</v>
      </c>
      <c r="L335" s="19">
        <v>0.66666666666666663</v>
      </c>
      <c r="M335">
        <v>8</v>
      </c>
      <c r="N335">
        <v>217.88</v>
      </c>
      <c r="O335">
        <v>0</v>
      </c>
      <c r="P335">
        <v>0</v>
      </c>
      <c r="Q335" t="s">
        <v>99</v>
      </c>
      <c r="R335">
        <v>30</v>
      </c>
      <c r="S335" s="19">
        <v>0.5</v>
      </c>
      <c r="T335">
        <v>0</v>
      </c>
      <c r="U335" s="19">
        <v>0.54166666666666663</v>
      </c>
      <c r="V335" t="s">
        <v>99</v>
      </c>
      <c r="W335">
        <v>7.5</v>
      </c>
      <c r="X335" t="s">
        <v>102</v>
      </c>
      <c r="Y335" t="b">
        <v>0</v>
      </c>
    </row>
    <row r="336" spans="1:25" x14ac:dyDescent="0.55000000000000004">
      <c r="A336" t="s">
        <v>94</v>
      </c>
      <c r="B336" t="s">
        <v>169</v>
      </c>
      <c r="C336" t="s">
        <v>96</v>
      </c>
      <c r="D336" t="s">
        <v>170</v>
      </c>
      <c r="E336" t="s">
        <v>117</v>
      </c>
      <c r="F336" t="s">
        <v>99</v>
      </c>
      <c r="H336" t="s">
        <v>99</v>
      </c>
      <c r="I336">
        <v>2</v>
      </c>
      <c r="J336" t="s">
        <v>101</v>
      </c>
      <c r="K336" s="19">
        <v>0.33333333333333331</v>
      </c>
      <c r="L336" s="19">
        <v>0.66666666666666663</v>
      </c>
      <c r="M336">
        <v>8</v>
      </c>
      <c r="N336">
        <v>217.88</v>
      </c>
      <c r="O336">
        <v>0</v>
      </c>
      <c r="P336">
        <v>0</v>
      </c>
      <c r="Q336" t="s">
        <v>99</v>
      </c>
      <c r="R336">
        <v>30</v>
      </c>
      <c r="S336" s="19">
        <v>0.5</v>
      </c>
      <c r="T336">
        <v>0</v>
      </c>
      <c r="U336" s="19">
        <v>0.54166666666666663</v>
      </c>
      <c r="V336" t="s">
        <v>99</v>
      </c>
      <c r="W336">
        <v>7.5</v>
      </c>
      <c r="X336" t="s">
        <v>102</v>
      </c>
      <c r="Y336" t="b">
        <v>0</v>
      </c>
    </row>
    <row r="337" spans="1:25" x14ac:dyDescent="0.55000000000000004">
      <c r="A337" t="s">
        <v>94</v>
      </c>
      <c r="B337" t="s">
        <v>169</v>
      </c>
      <c r="C337" t="s">
        <v>96</v>
      </c>
      <c r="D337" t="s">
        <v>170</v>
      </c>
      <c r="E337" t="s">
        <v>117</v>
      </c>
      <c r="F337" t="s">
        <v>99</v>
      </c>
      <c r="H337" t="s">
        <v>99</v>
      </c>
      <c r="I337">
        <v>2</v>
      </c>
      <c r="J337" t="s">
        <v>103</v>
      </c>
      <c r="K337" s="19">
        <v>0.33333333333333331</v>
      </c>
      <c r="L337" s="19">
        <v>0.66666666666666663</v>
      </c>
      <c r="M337">
        <v>8</v>
      </c>
      <c r="N337">
        <v>217.88</v>
      </c>
      <c r="O337">
        <v>0</v>
      </c>
      <c r="P337">
        <v>0</v>
      </c>
      <c r="Q337" t="s">
        <v>99</v>
      </c>
      <c r="R337">
        <v>30</v>
      </c>
      <c r="S337" s="19">
        <v>0.5</v>
      </c>
      <c r="T337">
        <v>0</v>
      </c>
      <c r="U337" s="19">
        <v>0.54166666666666663</v>
      </c>
      <c r="V337" t="s">
        <v>99</v>
      </c>
      <c r="W337">
        <v>7.5</v>
      </c>
      <c r="X337" t="s">
        <v>102</v>
      </c>
      <c r="Y337" t="b">
        <v>0</v>
      </c>
    </row>
    <row r="338" spans="1:25" x14ac:dyDescent="0.55000000000000004">
      <c r="A338" t="s">
        <v>94</v>
      </c>
      <c r="B338" t="s">
        <v>169</v>
      </c>
      <c r="C338" t="s">
        <v>96</v>
      </c>
      <c r="D338" t="s">
        <v>170</v>
      </c>
      <c r="E338" t="s">
        <v>117</v>
      </c>
      <c r="F338" t="s">
        <v>99</v>
      </c>
      <c r="H338" t="s">
        <v>99</v>
      </c>
      <c r="I338">
        <v>2</v>
      </c>
      <c r="J338" t="s">
        <v>104</v>
      </c>
      <c r="K338" s="19">
        <v>0.33333333333333331</v>
      </c>
      <c r="L338" s="19">
        <v>0.66666666666666663</v>
      </c>
      <c r="M338">
        <v>8</v>
      </c>
      <c r="N338">
        <v>217.88</v>
      </c>
      <c r="O338">
        <v>0</v>
      </c>
      <c r="P338">
        <v>0</v>
      </c>
      <c r="Q338" t="s">
        <v>99</v>
      </c>
      <c r="R338">
        <v>30</v>
      </c>
      <c r="S338" s="19">
        <v>0.5</v>
      </c>
      <c r="T338">
        <v>0</v>
      </c>
      <c r="U338" s="19">
        <v>0.54166666666666663</v>
      </c>
      <c r="V338" t="s">
        <v>99</v>
      </c>
      <c r="W338">
        <v>7.5</v>
      </c>
      <c r="X338" t="s">
        <v>102</v>
      </c>
      <c r="Y338" t="b">
        <v>0</v>
      </c>
    </row>
    <row r="339" spans="1:25" x14ac:dyDescent="0.55000000000000004">
      <c r="A339" t="s">
        <v>94</v>
      </c>
      <c r="B339" t="s">
        <v>169</v>
      </c>
      <c r="C339" t="s">
        <v>96</v>
      </c>
      <c r="D339" t="s">
        <v>170</v>
      </c>
      <c r="E339" t="s">
        <v>117</v>
      </c>
      <c r="F339" t="s">
        <v>99</v>
      </c>
      <c r="H339" t="s">
        <v>99</v>
      </c>
      <c r="I339">
        <v>2</v>
      </c>
      <c r="J339" t="s">
        <v>105</v>
      </c>
      <c r="K339" s="19">
        <v>0.33333333333333331</v>
      </c>
      <c r="L339" s="19">
        <v>0.66666666666666663</v>
      </c>
      <c r="M339">
        <v>8</v>
      </c>
      <c r="N339">
        <v>217.88</v>
      </c>
      <c r="O339">
        <v>0</v>
      </c>
      <c r="P339">
        <v>0</v>
      </c>
      <c r="Q339" t="s">
        <v>99</v>
      </c>
      <c r="R339">
        <v>30</v>
      </c>
      <c r="S339" s="19">
        <v>0.5</v>
      </c>
      <c r="T339">
        <v>0</v>
      </c>
      <c r="U339" s="19">
        <v>0.54166666666666663</v>
      </c>
      <c r="V339" t="s">
        <v>99</v>
      </c>
      <c r="W339">
        <v>7.5</v>
      </c>
      <c r="X339" t="s">
        <v>102</v>
      </c>
      <c r="Y339" t="b">
        <v>0</v>
      </c>
    </row>
    <row r="340" spans="1:25" x14ac:dyDescent="0.55000000000000004">
      <c r="A340" t="s">
        <v>94</v>
      </c>
      <c r="B340" t="s">
        <v>169</v>
      </c>
      <c r="C340" t="s">
        <v>96</v>
      </c>
      <c r="D340" t="s">
        <v>170</v>
      </c>
      <c r="E340" t="s">
        <v>117</v>
      </c>
      <c r="F340" t="s">
        <v>99</v>
      </c>
      <c r="G340">
        <v>25053</v>
      </c>
      <c r="H340" t="s">
        <v>171</v>
      </c>
      <c r="I340">
        <v>1</v>
      </c>
      <c r="J340" t="s">
        <v>107</v>
      </c>
      <c r="K340" s="19">
        <v>0.29166666666666669</v>
      </c>
      <c r="L340" s="19">
        <v>0.625</v>
      </c>
      <c r="M340">
        <v>8</v>
      </c>
      <c r="N340">
        <v>0</v>
      </c>
      <c r="O340">
        <v>75</v>
      </c>
      <c r="P340">
        <v>76</v>
      </c>
      <c r="Q340" t="s">
        <v>99</v>
      </c>
      <c r="R340">
        <v>30</v>
      </c>
      <c r="S340" s="19">
        <v>0.5</v>
      </c>
      <c r="T340">
        <v>0</v>
      </c>
      <c r="U340" s="19">
        <v>0.54166666666666663</v>
      </c>
      <c r="V340" t="s">
        <v>99</v>
      </c>
      <c r="W340">
        <v>7.5</v>
      </c>
      <c r="X340" t="s">
        <v>102</v>
      </c>
      <c r="Y340" t="b">
        <v>0</v>
      </c>
    </row>
    <row r="341" spans="1:25" x14ac:dyDescent="0.55000000000000004">
      <c r="A341" t="s">
        <v>94</v>
      </c>
      <c r="B341" t="s">
        <v>169</v>
      </c>
      <c r="C341" t="s">
        <v>96</v>
      </c>
      <c r="D341" t="s">
        <v>170</v>
      </c>
      <c r="E341" t="s">
        <v>117</v>
      </c>
      <c r="F341" t="s">
        <v>99</v>
      </c>
      <c r="G341">
        <v>25053</v>
      </c>
      <c r="H341" t="s">
        <v>171</v>
      </c>
      <c r="I341">
        <v>1</v>
      </c>
      <c r="J341" t="s">
        <v>101</v>
      </c>
      <c r="K341" s="19">
        <v>0.29166666666666669</v>
      </c>
      <c r="L341" s="19">
        <v>0.625</v>
      </c>
      <c r="M341">
        <v>8</v>
      </c>
      <c r="N341">
        <v>0</v>
      </c>
      <c r="O341">
        <v>75</v>
      </c>
      <c r="P341">
        <v>76</v>
      </c>
      <c r="Q341" t="s">
        <v>99</v>
      </c>
      <c r="R341">
        <v>30</v>
      </c>
      <c r="S341" s="19">
        <v>0.5</v>
      </c>
      <c r="T341">
        <v>0</v>
      </c>
      <c r="U341" s="19">
        <v>0.54166666666666663</v>
      </c>
      <c r="V341" t="s">
        <v>99</v>
      </c>
      <c r="W341">
        <v>7.5</v>
      </c>
      <c r="X341" t="s">
        <v>102</v>
      </c>
      <c r="Y341" t="b">
        <v>0</v>
      </c>
    </row>
    <row r="342" spans="1:25" x14ac:dyDescent="0.55000000000000004">
      <c r="A342" t="s">
        <v>94</v>
      </c>
      <c r="B342" t="s">
        <v>169</v>
      </c>
      <c r="C342" t="s">
        <v>96</v>
      </c>
      <c r="D342" t="s">
        <v>170</v>
      </c>
      <c r="E342" t="s">
        <v>117</v>
      </c>
      <c r="F342" t="s">
        <v>99</v>
      </c>
      <c r="G342">
        <v>25053</v>
      </c>
      <c r="H342" t="s">
        <v>171</v>
      </c>
      <c r="I342">
        <v>1</v>
      </c>
      <c r="J342" t="s">
        <v>103</v>
      </c>
      <c r="K342" s="19">
        <v>0.29166666666666669</v>
      </c>
      <c r="L342" s="19">
        <v>0.625</v>
      </c>
      <c r="M342">
        <v>8</v>
      </c>
      <c r="N342">
        <v>0</v>
      </c>
      <c r="O342">
        <v>75</v>
      </c>
      <c r="P342">
        <v>76</v>
      </c>
      <c r="Q342" t="s">
        <v>99</v>
      </c>
      <c r="R342">
        <v>30</v>
      </c>
      <c r="S342" s="19">
        <v>0.5</v>
      </c>
      <c r="T342">
        <v>0</v>
      </c>
      <c r="U342" s="19">
        <v>0.54166666666666663</v>
      </c>
      <c r="V342" t="s">
        <v>99</v>
      </c>
      <c r="W342">
        <v>7.5</v>
      </c>
      <c r="X342" t="s">
        <v>102</v>
      </c>
      <c r="Y342" t="b">
        <v>0</v>
      </c>
    </row>
    <row r="343" spans="1:25" x14ac:dyDescent="0.55000000000000004">
      <c r="A343" t="s">
        <v>94</v>
      </c>
      <c r="B343" t="s">
        <v>169</v>
      </c>
      <c r="C343" t="s">
        <v>96</v>
      </c>
      <c r="D343" t="s">
        <v>170</v>
      </c>
      <c r="E343" t="s">
        <v>117</v>
      </c>
      <c r="F343" t="s">
        <v>99</v>
      </c>
      <c r="G343">
        <v>25053</v>
      </c>
      <c r="H343" t="s">
        <v>171</v>
      </c>
      <c r="I343">
        <v>1</v>
      </c>
      <c r="J343" t="s">
        <v>104</v>
      </c>
      <c r="K343" s="19">
        <v>0.29166666666666669</v>
      </c>
      <c r="L343" s="19">
        <v>0.625</v>
      </c>
      <c r="M343">
        <v>8</v>
      </c>
      <c r="N343">
        <v>0</v>
      </c>
      <c r="O343">
        <v>75</v>
      </c>
      <c r="P343">
        <v>76</v>
      </c>
      <c r="Q343" t="s">
        <v>99</v>
      </c>
      <c r="R343">
        <v>30</v>
      </c>
      <c r="S343" s="19">
        <v>0.5</v>
      </c>
      <c r="T343">
        <v>0</v>
      </c>
      <c r="U343" s="19">
        <v>0.54166666666666663</v>
      </c>
      <c r="V343" t="s">
        <v>99</v>
      </c>
      <c r="W343">
        <v>7.5</v>
      </c>
      <c r="X343" t="s">
        <v>102</v>
      </c>
      <c r="Y343" t="b">
        <v>0</v>
      </c>
    </row>
    <row r="344" spans="1:25" x14ac:dyDescent="0.55000000000000004">
      <c r="A344" t="s">
        <v>94</v>
      </c>
      <c r="B344" t="s">
        <v>169</v>
      </c>
      <c r="C344" t="s">
        <v>96</v>
      </c>
      <c r="D344" t="s">
        <v>170</v>
      </c>
      <c r="E344" t="s">
        <v>117</v>
      </c>
      <c r="F344" t="s">
        <v>99</v>
      </c>
      <c r="G344">
        <v>25053</v>
      </c>
      <c r="H344" t="s">
        <v>171</v>
      </c>
      <c r="I344">
        <v>1</v>
      </c>
      <c r="J344" t="s">
        <v>105</v>
      </c>
      <c r="K344" s="19">
        <v>0.29166666666666669</v>
      </c>
      <c r="L344" s="19">
        <v>0.625</v>
      </c>
      <c r="M344">
        <v>8</v>
      </c>
      <c r="N344">
        <v>0</v>
      </c>
      <c r="O344">
        <v>75</v>
      </c>
      <c r="P344">
        <v>76</v>
      </c>
      <c r="Q344" t="s">
        <v>99</v>
      </c>
      <c r="R344">
        <v>30</v>
      </c>
      <c r="S344" s="19">
        <v>0.5</v>
      </c>
      <c r="T344">
        <v>0</v>
      </c>
      <c r="U344" s="19">
        <v>0.54166666666666663</v>
      </c>
      <c r="V344" t="s">
        <v>99</v>
      </c>
      <c r="W344">
        <v>7.5</v>
      </c>
      <c r="X344" t="s">
        <v>102</v>
      </c>
      <c r="Y344" t="b">
        <v>0</v>
      </c>
    </row>
    <row r="345" spans="1:25" x14ac:dyDescent="0.55000000000000004">
      <c r="A345" t="s">
        <v>94</v>
      </c>
      <c r="B345" t="s">
        <v>169</v>
      </c>
      <c r="C345" t="s">
        <v>96</v>
      </c>
      <c r="D345" t="s">
        <v>170</v>
      </c>
      <c r="E345" t="s">
        <v>117</v>
      </c>
      <c r="F345" t="s">
        <v>99</v>
      </c>
      <c r="G345">
        <v>25053</v>
      </c>
      <c r="H345" t="s">
        <v>171</v>
      </c>
      <c r="I345">
        <v>2</v>
      </c>
      <c r="J345" t="s">
        <v>107</v>
      </c>
      <c r="K345" s="19">
        <v>0.29166666666666669</v>
      </c>
      <c r="L345" s="19">
        <v>0.625</v>
      </c>
      <c r="M345">
        <v>8</v>
      </c>
      <c r="N345">
        <v>0</v>
      </c>
      <c r="O345">
        <v>75</v>
      </c>
      <c r="P345">
        <v>76</v>
      </c>
      <c r="Q345" t="s">
        <v>99</v>
      </c>
      <c r="R345">
        <v>30</v>
      </c>
      <c r="S345" s="19">
        <v>0.5</v>
      </c>
      <c r="T345">
        <v>0</v>
      </c>
      <c r="U345" s="19">
        <v>0.54166666666666663</v>
      </c>
      <c r="V345" t="s">
        <v>99</v>
      </c>
      <c r="W345">
        <v>7.5</v>
      </c>
      <c r="X345" t="s">
        <v>102</v>
      </c>
      <c r="Y345" t="b">
        <v>0</v>
      </c>
    </row>
    <row r="346" spans="1:25" x14ac:dyDescent="0.55000000000000004">
      <c r="A346" t="s">
        <v>94</v>
      </c>
      <c r="B346" t="s">
        <v>169</v>
      </c>
      <c r="C346" t="s">
        <v>96</v>
      </c>
      <c r="D346" t="s">
        <v>170</v>
      </c>
      <c r="E346" t="s">
        <v>117</v>
      </c>
      <c r="F346" t="s">
        <v>99</v>
      </c>
      <c r="G346">
        <v>25053</v>
      </c>
      <c r="H346" t="s">
        <v>171</v>
      </c>
      <c r="I346">
        <v>2</v>
      </c>
      <c r="J346" t="s">
        <v>101</v>
      </c>
      <c r="K346" s="19">
        <v>0.29166666666666669</v>
      </c>
      <c r="L346" s="19">
        <v>0.625</v>
      </c>
      <c r="M346">
        <v>8</v>
      </c>
      <c r="N346">
        <v>0</v>
      </c>
      <c r="O346">
        <v>75</v>
      </c>
      <c r="P346">
        <v>76</v>
      </c>
      <c r="Q346" t="s">
        <v>99</v>
      </c>
      <c r="R346">
        <v>30</v>
      </c>
      <c r="S346" s="19">
        <v>0.5</v>
      </c>
      <c r="T346">
        <v>0</v>
      </c>
      <c r="U346" s="19">
        <v>0.54166666666666663</v>
      </c>
      <c r="V346" t="s">
        <v>99</v>
      </c>
      <c r="W346">
        <v>7.5</v>
      </c>
      <c r="X346" t="s">
        <v>102</v>
      </c>
      <c r="Y346" t="b">
        <v>0</v>
      </c>
    </row>
    <row r="347" spans="1:25" x14ac:dyDescent="0.55000000000000004">
      <c r="A347" t="s">
        <v>94</v>
      </c>
      <c r="B347" t="s">
        <v>169</v>
      </c>
      <c r="C347" t="s">
        <v>96</v>
      </c>
      <c r="D347" t="s">
        <v>170</v>
      </c>
      <c r="E347" t="s">
        <v>117</v>
      </c>
      <c r="F347" t="s">
        <v>99</v>
      </c>
      <c r="G347">
        <v>25053</v>
      </c>
      <c r="H347" t="s">
        <v>171</v>
      </c>
      <c r="I347">
        <v>2</v>
      </c>
      <c r="J347" t="s">
        <v>103</v>
      </c>
      <c r="K347" s="19">
        <v>0.29166666666666669</v>
      </c>
      <c r="L347" s="19">
        <v>0.625</v>
      </c>
      <c r="M347">
        <v>8</v>
      </c>
      <c r="N347">
        <v>0</v>
      </c>
      <c r="O347">
        <v>75</v>
      </c>
      <c r="P347">
        <v>76</v>
      </c>
      <c r="Q347" t="s">
        <v>99</v>
      </c>
      <c r="R347">
        <v>30</v>
      </c>
      <c r="S347" s="19">
        <v>0.5</v>
      </c>
      <c r="T347">
        <v>0</v>
      </c>
      <c r="U347" s="19">
        <v>0.54166666666666663</v>
      </c>
      <c r="V347" t="s">
        <v>99</v>
      </c>
      <c r="W347">
        <v>7.5</v>
      </c>
      <c r="X347" t="s">
        <v>102</v>
      </c>
      <c r="Y347" t="b">
        <v>0</v>
      </c>
    </row>
    <row r="348" spans="1:25" x14ac:dyDescent="0.55000000000000004">
      <c r="A348" t="s">
        <v>94</v>
      </c>
      <c r="B348" t="s">
        <v>169</v>
      </c>
      <c r="C348" t="s">
        <v>96</v>
      </c>
      <c r="D348" t="s">
        <v>170</v>
      </c>
      <c r="E348" t="s">
        <v>117</v>
      </c>
      <c r="F348" t="s">
        <v>99</v>
      </c>
      <c r="G348">
        <v>25053</v>
      </c>
      <c r="H348" t="s">
        <v>171</v>
      </c>
      <c r="I348">
        <v>2</v>
      </c>
      <c r="J348" t="s">
        <v>104</v>
      </c>
      <c r="K348" s="19">
        <v>0.29166666666666669</v>
      </c>
      <c r="L348" s="19">
        <v>0.625</v>
      </c>
      <c r="M348">
        <v>8</v>
      </c>
      <c r="N348">
        <v>0</v>
      </c>
      <c r="O348">
        <v>75</v>
      </c>
      <c r="P348">
        <v>76</v>
      </c>
      <c r="Q348" t="s">
        <v>99</v>
      </c>
      <c r="R348">
        <v>30</v>
      </c>
      <c r="S348" s="19">
        <v>0.5</v>
      </c>
      <c r="T348">
        <v>0</v>
      </c>
      <c r="U348" s="19">
        <v>0.54166666666666663</v>
      </c>
      <c r="V348" t="s">
        <v>99</v>
      </c>
      <c r="W348">
        <v>7.5</v>
      </c>
      <c r="X348" t="s">
        <v>102</v>
      </c>
      <c r="Y348" t="b">
        <v>0</v>
      </c>
    </row>
    <row r="349" spans="1:25" x14ac:dyDescent="0.55000000000000004">
      <c r="A349" t="s">
        <v>94</v>
      </c>
      <c r="B349" t="s">
        <v>169</v>
      </c>
      <c r="C349" t="s">
        <v>96</v>
      </c>
      <c r="D349" t="s">
        <v>170</v>
      </c>
      <c r="E349" t="s">
        <v>117</v>
      </c>
      <c r="F349" t="s">
        <v>99</v>
      </c>
      <c r="G349">
        <v>25053</v>
      </c>
      <c r="H349" t="s">
        <v>171</v>
      </c>
      <c r="I349">
        <v>2</v>
      </c>
      <c r="J349" t="s">
        <v>105</v>
      </c>
      <c r="K349" s="19">
        <v>0.29166666666666669</v>
      </c>
      <c r="L349" s="19">
        <v>0.625</v>
      </c>
      <c r="M349">
        <v>8</v>
      </c>
      <c r="N349">
        <v>0</v>
      </c>
      <c r="O349">
        <v>75</v>
      </c>
      <c r="P349">
        <v>76</v>
      </c>
      <c r="Q349" t="s">
        <v>99</v>
      </c>
      <c r="R349">
        <v>30</v>
      </c>
      <c r="S349" s="19">
        <v>0.5</v>
      </c>
      <c r="T349">
        <v>0</v>
      </c>
      <c r="U349" s="19">
        <v>0.54166666666666663</v>
      </c>
      <c r="V349" t="s">
        <v>99</v>
      </c>
      <c r="W349">
        <v>7.5</v>
      </c>
      <c r="X349" t="s">
        <v>102</v>
      </c>
      <c r="Y349" t="b">
        <v>0</v>
      </c>
    </row>
    <row r="350" spans="1:25" x14ac:dyDescent="0.55000000000000004">
      <c r="A350" t="s">
        <v>94</v>
      </c>
      <c r="B350" t="s">
        <v>169</v>
      </c>
      <c r="C350" t="s">
        <v>96</v>
      </c>
      <c r="D350" t="s">
        <v>170</v>
      </c>
      <c r="E350" t="s">
        <v>117</v>
      </c>
      <c r="F350" t="s">
        <v>99</v>
      </c>
      <c r="G350">
        <v>25661</v>
      </c>
      <c r="H350" t="s">
        <v>172</v>
      </c>
      <c r="I350">
        <v>1</v>
      </c>
      <c r="J350" t="s">
        <v>107</v>
      </c>
      <c r="K350" s="19">
        <v>0.29166666666666669</v>
      </c>
      <c r="L350" s="19">
        <v>0.625</v>
      </c>
      <c r="M350">
        <v>8</v>
      </c>
      <c r="N350">
        <v>0</v>
      </c>
      <c r="O350">
        <v>75</v>
      </c>
      <c r="P350">
        <v>76</v>
      </c>
      <c r="Q350" t="s">
        <v>99</v>
      </c>
      <c r="R350">
        <v>30</v>
      </c>
      <c r="S350" s="19">
        <v>0.5</v>
      </c>
      <c r="T350">
        <v>0</v>
      </c>
      <c r="U350" s="19">
        <v>0.54166666666666663</v>
      </c>
      <c r="V350" t="s">
        <v>99</v>
      </c>
      <c r="W350">
        <v>7.5</v>
      </c>
      <c r="X350" t="s">
        <v>102</v>
      </c>
      <c r="Y350" t="b">
        <v>0</v>
      </c>
    </row>
    <row r="351" spans="1:25" x14ac:dyDescent="0.55000000000000004">
      <c r="A351" t="s">
        <v>94</v>
      </c>
      <c r="B351" t="s">
        <v>169</v>
      </c>
      <c r="C351" t="s">
        <v>96</v>
      </c>
      <c r="D351" t="s">
        <v>170</v>
      </c>
      <c r="E351" t="s">
        <v>117</v>
      </c>
      <c r="F351" t="s">
        <v>99</v>
      </c>
      <c r="G351">
        <v>25661</v>
      </c>
      <c r="H351" t="s">
        <v>172</v>
      </c>
      <c r="I351">
        <v>1</v>
      </c>
      <c r="J351" t="s">
        <v>101</v>
      </c>
      <c r="K351" s="19">
        <v>0.29166666666666669</v>
      </c>
      <c r="L351" s="19">
        <v>0.625</v>
      </c>
      <c r="M351">
        <v>8</v>
      </c>
      <c r="N351">
        <v>0</v>
      </c>
      <c r="O351">
        <v>75</v>
      </c>
      <c r="P351">
        <v>76</v>
      </c>
      <c r="Q351" t="s">
        <v>99</v>
      </c>
      <c r="R351">
        <v>30</v>
      </c>
      <c r="S351" s="19">
        <v>0.5</v>
      </c>
      <c r="T351">
        <v>0</v>
      </c>
      <c r="U351" s="19">
        <v>0.54166666666666663</v>
      </c>
      <c r="V351" t="s">
        <v>99</v>
      </c>
      <c r="W351">
        <v>7.5</v>
      </c>
      <c r="X351" t="s">
        <v>102</v>
      </c>
      <c r="Y351" t="b">
        <v>0</v>
      </c>
    </row>
    <row r="352" spans="1:25" x14ac:dyDescent="0.55000000000000004">
      <c r="A352" t="s">
        <v>94</v>
      </c>
      <c r="B352" t="s">
        <v>169</v>
      </c>
      <c r="C352" t="s">
        <v>96</v>
      </c>
      <c r="D352" t="s">
        <v>170</v>
      </c>
      <c r="E352" t="s">
        <v>117</v>
      </c>
      <c r="F352" t="s">
        <v>99</v>
      </c>
      <c r="G352">
        <v>25661</v>
      </c>
      <c r="H352" t="s">
        <v>172</v>
      </c>
      <c r="I352">
        <v>1</v>
      </c>
      <c r="J352" t="s">
        <v>103</v>
      </c>
      <c r="K352" s="19">
        <v>0.29166666666666669</v>
      </c>
      <c r="L352" s="19">
        <v>0.625</v>
      </c>
      <c r="M352">
        <v>8</v>
      </c>
      <c r="N352">
        <v>0</v>
      </c>
      <c r="O352">
        <v>75</v>
      </c>
      <c r="P352">
        <v>76</v>
      </c>
      <c r="Q352" t="s">
        <v>99</v>
      </c>
      <c r="R352">
        <v>30</v>
      </c>
      <c r="S352" s="19">
        <v>0.5</v>
      </c>
      <c r="T352">
        <v>0</v>
      </c>
      <c r="U352" s="19">
        <v>0.54166666666666663</v>
      </c>
      <c r="V352" t="s">
        <v>99</v>
      </c>
      <c r="W352">
        <v>7.5</v>
      </c>
      <c r="X352" t="s">
        <v>102</v>
      </c>
      <c r="Y352" t="b">
        <v>0</v>
      </c>
    </row>
    <row r="353" spans="1:25" x14ac:dyDescent="0.55000000000000004">
      <c r="A353" t="s">
        <v>94</v>
      </c>
      <c r="B353" t="s">
        <v>169</v>
      </c>
      <c r="C353" t="s">
        <v>96</v>
      </c>
      <c r="D353" t="s">
        <v>170</v>
      </c>
      <c r="E353" t="s">
        <v>117</v>
      </c>
      <c r="F353" t="s">
        <v>99</v>
      </c>
      <c r="G353">
        <v>25661</v>
      </c>
      <c r="H353" t="s">
        <v>172</v>
      </c>
      <c r="I353">
        <v>1</v>
      </c>
      <c r="J353" t="s">
        <v>104</v>
      </c>
      <c r="K353" s="19">
        <v>0.29166666666666669</v>
      </c>
      <c r="L353" s="19">
        <v>0.625</v>
      </c>
      <c r="M353">
        <v>8</v>
      </c>
      <c r="N353">
        <v>0</v>
      </c>
      <c r="O353">
        <v>75</v>
      </c>
      <c r="P353">
        <v>76</v>
      </c>
      <c r="Q353" t="s">
        <v>99</v>
      </c>
      <c r="R353">
        <v>30</v>
      </c>
      <c r="S353" s="19">
        <v>0.5</v>
      </c>
      <c r="T353">
        <v>0</v>
      </c>
      <c r="U353" s="19">
        <v>0.54166666666666663</v>
      </c>
      <c r="V353" t="s">
        <v>99</v>
      </c>
      <c r="W353">
        <v>7.5</v>
      </c>
      <c r="X353" t="s">
        <v>102</v>
      </c>
      <c r="Y353" t="b">
        <v>0</v>
      </c>
    </row>
    <row r="354" spans="1:25" x14ac:dyDescent="0.55000000000000004">
      <c r="A354" t="s">
        <v>94</v>
      </c>
      <c r="B354" t="s">
        <v>169</v>
      </c>
      <c r="C354" t="s">
        <v>96</v>
      </c>
      <c r="D354" t="s">
        <v>170</v>
      </c>
      <c r="E354" t="s">
        <v>117</v>
      </c>
      <c r="F354" t="s">
        <v>99</v>
      </c>
      <c r="G354">
        <v>25661</v>
      </c>
      <c r="H354" t="s">
        <v>172</v>
      </c>
      <c r="I354">
        <v>1</v>
      </c>
      <c r="J354" t="s">
        <v>105</v>
      </c>
      <c r="K354" s="19">
        <v>0.29166666666666669</v>
      </c>
      <c r="L354" s="19">
        <v>0.625</v>
      </c>
      <c r="M354">
        <v>8</v>
      </c>
      <c r="N354">
        <v>0</v>
      </c>
      <c r="O354">
        <v>75</v>
      </c>
      <c r="P354">
        <v>76</v>
      </c>
      <c r="Q354" t="s">
        <v>99</v>
      </c>
      <c r="R354">
        <v>30</v>
      </c>
      <c r="S354" s="19">
        <v>0.5</v>
      </c>
      <c r="T354">
        <v>0</v>
      </c>
      <c r="U354" s="19">
        <v>0.54166666666666663</v>
      </c>
      <c r="V354" t="s">
        <v>99</v>
      </c>
      <c r="W354">
        <v>7.5</v>
      </c>
      <c r="X354" t="s">
        <v>102</v>
      </c>
      <c r="Y354" t="b">
        <v>0</v>
      </c>
    </row>
    <row r="355" spans="1:25" x14ac:dyDescent="0.55000000000000004">
      <c r="A355" t="s">
        <v>94</v>
      </c>
      <c r="B355" t="s">
        <v>169</v>
      </c>
      <c r="C355" t="s">
        <v>96</v>
      </c>
      <c r="D355" t="s">
        <v>170</v>
      </c>
      <c r="E355" t="s">
        <v>117</v>
      </c>
      <c r="F355" t="s">
        <v>99</v>
      </c>
      <c r="G355">
        <v>25661</v>
      </c>
      <c r="H355" t="s">
        <v>172</v>
      </c>
      <c r="I355">
        <v>2</v>
      </c>
      <c r="J355" t="s">
        <v>107</v>
      </c>
      <c r="K355" s="19">
        <v>0.29166666666666669</v>
      </c>
      <c r="L355" s="19">
        <v>0.625</v>
      </c>
      <c r="M355">
        <v>8</v>
      </c>
      <c r="N355">
        <v>0</v>
      </c>
      <c r="O355">
        <v>75</v>
      </c>
      <c r="P355">
        <v>76</v>
      </c>
      <c r="Q355" t="s">
        <v>99</v>
      </c>
      <c r="R355">
        <v>30</v>
      </c>
      <c r="S355" s="19">
        <v>0.5</v>
      </c>
      <c r="T355">
        <v>0</v>
      </c>
      <c r="U355" s="19">
        <v>0.54166666666666663</v>
      </c>
      <c r="V355" t="s">
        <v>99</v>
      </c>
      <c r="W355">
        <v>7.5</v>
      </c>
      <c r="X355" t="s">
        <v>102</v>
      </c>
      <c r="Y355" t="b">
        <v>0</v>
      </c>
    </row>
    <row r="356" spans="1:25" x14ac:dyDescent="0.55000000000000004">
      <c r="A356" t="s">
        <v>94</v>
      </c>
      <c r="B356" t="s">
        <v>169</v>
      </c>
      <c r="C356" t="s">
        <v>96</v>
      </c>
      <c r="D356" t="s">
        <v>170</v>
      </c>
      <c r="E356" t="s">
        <v>117</v>
      </c>
      <c r="F356" t="s">
        <v>99</v>
      </c>
      <c r="G356">
        <v>25661</v>
      </c>
      <c r="H356" t="s">
        <v>172</v>
      </c>
      <c r="I356">
        <v>2</v>
      </c>
      <c r="J356" t="s">
        <v>101</v>
      </c>
      <c r="K356" s="19">
        <v>0.29166666666666669</v>
      </c>
      <c r="L356" s="19">
        <v>0.625</v>
      </c>
      <c r="M356">
        <v>8</v>
      </c>
      <c r="N356">
        <v>0</v>
      </c>
      <c r="O356">
        <v>75</v>
      </c>
      <c r="P356">
        <v>76</v>
      </c>
      <c r="Q356" t="s">
        <v>99</v>
      </c>
      <c r="R356">
        <v>30</v>
      </c>
      <c r="S356" s="19">
        <v>0.5</v>
      </c>
      <c r="T356">
        <v>0</v>
      </c>
      <c r="U356" s="19">
        <v>0.54166666666666663</v>
      </c>
      <c r="V356" t="s">
        <v>99</v>
      </c>
      <c r="W356">
        <v>7.5</v>
      </c>
      <c r="X356" t="s">
        <v>102</v>
      </c>
      <c r="Y356" t="b">
        <v>0</v>
      </c>
    </row>
    <row r="357" spans="1:25" x14ac:dyDescent="0.55000000000000004">
      <c r="A357" t="s">
        <v>94</v>
      </c>
      <c r="B357" t="s">
        <v>169</v>
      </c>
      <c r="C357" t="s">
        <v>96</v>
      </c>
      <c r="D357" t="s">
        <v>170</v>
      </c>
      <c r="E357" t="s">
        <v>117</v>
      </c>
      <c r="F357" t="s">
        <v>99</v>
      </c>
      <c r="G357">
        <v>25661</v>
      </c>
      <c r="H357" t="s">
        <v>172</v>
      </c>
      <c r="I357">
        <v>2</v>
      </c>
      <c r="J357" t="s">
        <v>103</v>
      </c>
      <c r="K357" s="19">
        <v>0.29166666666666669</v>
      </c>
      <c r="L357" s="19">
        <v>0.625</v>
      </c>
      <c r="M357">
        <v>8</v>
      </c>
      <c r="N357">
        <v>0</v>
      </c>
      <c r="O357">
        <v>75</v>
      </c>
      <c r="P357">
        <v>76</v>
      </c>
      <c r="Q357" t="s">
        <v>99</v>
      </c>
      <c r="R357">
        <v>30</v>
      </c>
      <c r="S357" s="19">
        <v>0.5</v>
      </c>
      <c r="T357">
        <v>0</v>
      </c>
      <c r="U357" s="19">
        <v>0.54166666666666663</v>
      </c>
      <c r="V357" t="s">
        <v>99</v>
      </c>
      <c r="W357">
        <v>7.5</v>
      </c>
      <c r="X357" t="s">
        <v>102</v>
      </c>
      <c r="Y357" t="b">
        <v>0</v>
      </c>
    </row>
    <row r="358" spans="1:25" x14ac:dyDescent="0.55000000000000004">
      <c r="A358" t="s">
        <v>94</v>
      </c>
      <c r="B358" t="s">
        <v>169</v>
      </c>
      <c r="C358" t="s">
        <v>96</v>
      </c>
      <c r="D358" t="s">
        <v>170</v>
      </c>
      <c r="E358" t="s">
        <v>117</v>
      </c>
      <c r="F358" t="s">
        <v>99</v>
      </c>
      <c r="G358">
        <v>25661</v>
      </c>
      <c r="H358" t="s">
        <v>172</v>
      </c>
      <c r="I358">
        <v>2</v>
      </c>
      <c r="J358" t="s">
        <v>104</v>
      </c>
      <c r="K358" s="19">
        <v>0.29166666666666669</v>
      </c>
      <c r="L358" s="19">
        <v>0.625</v>
      </c>
      <c r="M358">
        <v>8</v>
      </c>
      <c r="N358">
        <v>0</v>
      </c>
      <c r="O358">
        <v>75</v>
      </c>
      <c r="P358">
        <v>76</v>
      </c>
      <c r="Q358" t="s">
        <v>99</v>
      </c>
      <c r="R358">
        <v>30</v>
      </c>
      <c r="S358" s="19">
        <v>0.5</v>
      </c>
      <c r="T358">
        <v>0</v>
      </c>
      <c r="U358" s="19">
        <v>0.54166666666666663</v>
      </c>
      <c r="V358" t="s">
        <v>99</v>
      </c>
      <c r="W358">
        <v>7.5</v>
      </c>
      <c r="X358" t="s">
        <v>102</v>
      </c>
      <c r="Y358" t="b">
        <v>0</v>
      </c>
    </row>
    <row r="359" spans="1:25" x14ac:dyDescent="0.55000000000000004">
      <c r="A359" t="s">
        <v>94</v>
      </c>
      <c r="B359" t="s">
        <v>169</v>
      </c>
      <c r="C359" t="s">
        <v>96</v>
      </c>
      <c r="D359" t="s">
        <v>170</v>
      </c>
      <c r="E359" t="s">
        <v>117</v>
      </c>
      <c r="F359" t="s">
        <v>99</v>
      </c>
      <c r="G359">
        <v>25661</v>
      </c>
      <c r="H359" t="s">
        <v>172</v>
      </c>
      <c r="I359">
        <v>2</v>
      </c>
      <c r="J359" t="s">
        <v>105</v>
      </c>
      <c r="K359" s="19">
        <v>0.29166666666666669</v>
      </c>
      <c r="L359" s="19">
        <v>0.625</v>
      </c>
      <c r="M359">
        <v>8</v>
      </c>
      <c r="N359">
        <v>0</v>
      </c>
      <c r="O359">
        <v>75</v>
      </c>
      <c r="P359">
        <v>76</v>
      </c>
      <c r="Q359" t="s">
        <v>99</v>
      </c>
      <c r="R359">
        <v>30</v>
      </c>
      <c r="S359" s="19">
        <v>0.5</v>
      </c>
      <c r="T359">
        <v>0</v>
      </c>
      <c r="U359" s="19">
        <v>0.54166666666666663</v>
      </c>
      <c r="V359" t="s">
        <v>99</v>
      </c>
      <c r="W359">
        <v>7.5</v>
      </c>
      <c r="X359" t="s">
        <v>102</v>
      </c>
      <c r="Y359" t="b">
        <v>0</v>
      </c>
    </row>
    <row r="360" spans="1:25" x14ac:dyDescent="0.55000000000000004">
      <c r="A360" t="s">
        <v>94</v>
      </c>
      <c r="B360" t="s">
        <v>173</v>
      </c>
      <c r="C360" t="s">
        <v>96</v>
      </c>
      <c r="D360" t="s">
        <v>174</v>
      </c>
      <c r="E360" t="s">
        <v>175</v>
      </c>
      <c r="F360" t="s">
        <v>99</v>
      </c>
      <c r="G360">
        <v>19458</v>
      </c>
      <c r="H360" t="s">
        <v>176</v>
      </c>
      <c r="I360">
        <v>1</v>
      </c>
      <c r="J360" t="s">
        <v>101</v>
      </c>
      <c r="K360" s="19">
        <v>0.375</v>
      </c>
      <c r="L360" s="19">
        <v>0.70833333333333337</v>
      </c>
      <c r="M360">
        <v>8</v>
      </c>
      <c r="N360">
        <v>263.32</v>
      </c>
      <c r="O360">
        <v>52.5</v>
      </c>
      <c r="P360">
        <v>76</v>
      </c>
      <c r="Q360" t="s">
        <v>99</v>
      </c>
      <c r="R360">
        <v>30</v>
      </c>
      <c r="S360" s="19">
        <v>0.5</v>
      </c>
      <c r="U360" s="19"/>
      <c r="V360" t="s">
        <v>99</v>
      </c>
      <c r="W360">
        <v>7.5</v>
      </c>
      <c r="X360" t="s">
        <v>102</v>
      </c>
      <c r="Y360" t="b">
        <v>0</v>
      </c>
    </row>
    <row r="361" spans="1:25" x14ac:dyDescent="0.55000000000000004">
      <c r="A361" t="s">
        <v>94</v>
      </c>
      <c r="B361" t="s">
        <v>173</v>
      </c>
      <c r="C361" t="s">
        <v>96</v>
      </c>
      <c r="D361" t="s">
        <v>174</v>
      </c>
      <c r="E361" t="s">
        <v>175</v>
      </c>
      <c r="F361" t="s">
        <v>99</v>
      </c>
      <c r="G361">
        <v>19458</v>
      </c>
      <c r="H361" t="s">
        <v>176</v>
      </c>
      <c r="I361">
        <v>1</v>
      </c>
      <c r="J361" t="s">
        <v>103</v>
      </c>
      <c r="K361" s="19">
        <v>0.375</v>
      </c>
      <c r="L361" s="19">
        <v>0.70833333333333337</v>
      </c>
      <c r="M361">
        <v>8</v>
      </c>
      <c r="N361">
        <v>263.32</v>
      </c>
      <c r="O361">
        <v>52.5</v>
      </c>
      <c r="P361">
        <v>76</v>
      </c>
      <c r="Q361" t="s">
        <v>99</v>
      </c>
      <c r="R361">
        <v>30</v>
      </c>
      <c r="S361" s="19">
        <v>0.5</v>
      </c>
      <c r="U361" s="19">
        <v>0.41666666666666669</v>
      </c>
      <c r="V361" t="s">
        <v>99</v>
      </c>
      <c r="W361">
        <v>7.5</v>
      </c>
      <c r="X361" t="s">
        <v>102</v>
      </c>
      <c r="Y361" t="b">
        <v>0</v>
      </c>
    </row>
    <row r="362" spans="1:25" x14ac:dyDescent="0.55000000000000004">
      <c r="A362" t="s">
        <v>94</v>
      </c>
      <c r="B362" t="s">
        <v>173</v>
      </c>
      <c r="C362" t="s">
        <v>96</v>
      </c>
      <c r="D362" t="s">
        <v>174</v>
      </c>
      <c r="E362" t="s">
        <v>175</v>
      </c>
      <c r="F362" t="s">
        <v>99</v>
      </c>
      <c r="G362">
        <v>19458</v>
      </c>
      <c r="H362" t="s">
        <v>176</v>
      </c>
      <c r="I362">
        <v>1</v>
      </c>
      <c r="J362" t="s">
        <v>104</v>
      </c>
      <c r="K362" s="19">
        <v>0.375</v>
      </c>
      <c r="L362" s="19">
        <v>0.70833333333333337</v>
      </c>
      <c r="M362">
        <v>8</v>
      </c>
      <c r="N362">
        <v>263.32</v>
      </c>
      <c r="O362">
        <v>52.5</v>
      </c>
      <c r="P362">
        <v>76</v>
      </c>
      <c r="Q362" t="s">
        <v>99</v>
      </c>
      <c r="R362">
        <v>30</v>
      </c>
      <c r="S362" s="19">
        <v>0.5</v>
      </c>
      <c r="U362" s="19">
        <v>0.41666666666666669</v>
      </c>
      <c r="V362" t="s">
        <v>99</v>
      </c>
      <c r="W362">
        <v>7.5</v>
      </c>
      <c r="X362" t="s">
        <v>102</v>
      </c>
      <c r="Y362" t="b">
        <v>0</v>
      </c>
    </row>
    <row r="363" spans="1:25" x14ac:dyDescent="0.55000000000000004">
      <c r="A363" t="s">
        <v>94</v>
      </c>
      <c r="B363" t="s">
        <v>173</v>
      </c>
      <c r="C363" t="s">
        <v>96</v>
      </c>
      <c r="D363" t="s">
        <v>174</v>
      </c>
      <c r="E363" t="s">
        <v>175</v>
      </c>
      <c r="F363" t="s">
        <v>99</v>
      </c>
      <c r="G363">
        <v>19458</v>
      </c>
      <c r="H363" t="s">
        <v>176</v>
      </c>
      <c r="I363">
        <v>1</v>
      </c>
      <c r="J363" t="s">
        <v>105</v>
      </c>
      <c r="K363" s="19">
        <v>0.375</v>
      </c>
      <c r="L363" s="19">
        <v>0.70833333333333337</v>
      </c>
      <c r="M363">
        <v>8</v>
      </c>
      <c r="N363">
        <v>263.32</v>
      </c>
      <c r="O363">
        <v>52.5</v>
      </c>
      <c r="P363">
        <v>76</v>
      </c>
      <c r="Q363" t="s">
        <v>99</v>
      </c>
      <c r="R363">
        <v>30</v>
      </c>
      <c r="S363" s="19">
        <v>0.5</v>
      </c>
      <c r="U363" s="19">
        <v>0.41666666666666669</v>
      </c>
      <c r="V363" t="s">
        <v>99</v>
      </c>
      <c r="W363">
        <v>7.5</v>
      </c>
      <c r="X363" t="s">
        <v>102</v>
      </c>
      <c r="Y363" t="b">
        <v>0</v>
      </c>
    </row>
    <row r="364" spans="1:25" x14ac:dyDescent="0.55000000000000004">
      <c r="A364" t="s">
        <v>94</v>
      </c>
      <c r="B364" t="s">
        <v>173</v>
      </c>
      <c r="C364" t="s">
        <v>96</v>
      </c>
      <c r="D364" t="s">
        <v>174</v>
      </c>
      <c r="E364" t="s">
        <v>175</v>
      </c>
      <c r="F364" t="s">
        <v>99</v>
      </c>
      <c r="G364">
        <v>19458</v>
      </c>
      <c r="H364" t="s">
        <v>176</v>
      </c>
      <c r="I364">
        <v>2</v>
      </c>
      <c r="J364" t="s">
        <v>101</v>
      </c>
      <c r="K364" s="19">
        <v>0.375</v>
      </c>
      <c r="L364" s="19">
        <v>0.70833333333333337</v>
      </c>
      <c r="M364">
        <v>8</v>
      </c>
      <c r="N364">
        <v>263.32</v>
      </c>
      <c r="O364">
        <v>52.5</v>
      </c>
      <c r="P364">
        <v>76</v>
      </c>
      <c r="Q364" t="s">
        <v>99</v>
      </c>
      <c r="R364">
        <v>30</v>
      </c>
      <c r="S364" s="19">
        <v>0.5</v>
      </c>
      <c r="U364" s="19">
        <v>0.41666666666666669</v>
      </c>
      <c r="V364" t="s">
        <v>99</v>
      </c>
      <c r="W364">
        <v>7.5</v>
      </c>
      <c r="X364" t="s">
        <v>102</v>
      </c>
      <c r="Y364" t="b">
        <v>0</v>
      </c>
    </row>
    <row r="365" spans="1:25" x14ac:dyDescent="0.55000000000000004">
      <c r="A365" t="s">
        <v>94</v>
      </c>
      <c r="B365" t="s">
        <v>173</v>
      </c>
      <c r="C365" t="s">
        <v>96</v>
      </c>
      <c r="D365" t="s">
        <v>174</v>
      </c>
      <c r="E365" t="s">
        <v>175</v>
      </c>
      <c r="F365" t="s">
        <v>99</v>
      </c>
      <c r="G365">
        <v>19458</v>
      </c>
      <c r="H365" t="s">
        <v>176</v>
      </c>
      <c r="I365">
        <v>2</v>
      </c>
      <c r="J365" t="s">
        <v>104</v>
      </c>
      <c r="K365" s="19">
        <v>0.375</v>
      </c>
      <c r="L365" s="19">
        <v>0.70833333333333337</v>
      </c>
      <c r="M365">
        <v>8</v>
      </c>
      <c r="N365">
        <v>263.32</v>
      </c>
      <c r="O365">
        <v>52.5</v>
      </c>
      <c r="P365">
        <v>76</v>
      </c>
      <c r="Q365" t="s">
        <v>99</v>
      </c>
      <c r="R365">
        <v>30</v>
      </c>
      <c r="S365" s="19">
        <v>0.5</v>
      </c>
      <c r="U365" s="19">
        <v>0.41666666666666669</v>
      </c>
      <c r="V365" t="s">
        <v>99</v>
      </c>
      <c r="W365">
        <v>7.5</v>
      </c>
      <c r="X365" t="s">
        <v>102</v>
      </c>
      <c r="Y365" t="b">
        <v>0</v>
      </c>
    </row>
    <row r="366" spans="1:25" x14ac:dyDescent="0.55000000000000004">
      <c r="A366" t="s">
        <v>94</v>
      </c>
      <c r="B366" t="s">
        <v>173</v>
      </c>
      <c r="C366" t="s">
        <v>96</v>
      </c>
      <c r="D366" t="s">
        <v>174</v>
      </c>
      <c r="E366" t="s">
        <v>175</v>
      </c>
      <c r="F366" t="s">
        <v>99</v>
      </c>
      <c r="G366">
        <v>19458</v>
      </c>
      <c r="H366" t="s">
        <v>176</v>
      </c>
      <c r="I366">
        <v>2</v>
      </c>
      <c r="J366" t="s">
        <v>105</v>
      </c>
      <c r="K366" s="19">
        <v>0.375</v>
      </c>
      <c r="L366" s="19">
        <v>0.70833333333333337</v>
      </c>
      <c r="M366">
        <v>8</v>
      </c>
      <c r="N366">
        <v>263.32</v>
      </c>
      <c r="O366">
        <v>52.5</v>
      </c>
      <c r="P366">
        <v>76</v>
      </c>
      <c r="Q366" t="s">
        <v>99</v>
      </c>
      <c r="R366">
        <v>30</v>
      </c>
      <c r="S366" s="19">
        <v>0.5</v>
      </c>
      <c r="U366" s="19">
        <v>0.41666666666666669</v>
      </c>
      <c r="V366" t="s">
        <v>99</v>
      </c>
      <c r="W366">
        <v>7.5</v>
      </c>
      <c r="X366" t="s">
        <v>102</v>
      </c>
      <c r="Y366" t="b">
        <v>0</v>
      </c>
    </row>
    <row r="367" spans="1:25" x14ac:dyDescent="0.55000000000000004">
      <c r="A367" t="s">
        <v>94</v>
      </c>
      <c r="B367" t="s">
        <v>173</v>
      </c>
      <c r="C367" t="s">
        <v>96</v>
      </c>
      <c r="D367" t="s">
        <v>174</v>
      </c>
      <c r="E367" t="s">
        <v>175</v>
      </c>
      <c r="F367" t="s">
        <v>118</v>
      </c>
      <c r="G367">
        <v>18462</v>
      </c>
      <c r="H367" t="s">
        <v>177</v>
      </c>
      <c r="I367">
        <v>1</v>
      </c>
      <c r="J367" t="s">
        <v>107</v>
      </c>
      <c r="K367" s="19">
        <v>0.25</v>
      </c>
      <c r="L367" s="19">
        <v>0.58333333333333337</v>
      </c>
      <c r="M367">
        <v>8</v>
      </c>
      <c r="N367">
        <v>0</v>
      </c>
      <c r="O367">
        <v>60</v>
      </c>
      <c r="P367">
        <v>76</v>
      </c>
      <c r="Q367" t="s">
        <v>99</v>
      </c>
      <c r="R367">
        <v>30</v>
      </c>
      <c r="S367" s="19">
        <v>0.45833333333333331</v>
      </c>
      <c r="T367">
        <v>0</v>
      </c>
      <c r="U367" s="19">
        <v>0</v>
      </c>
      <c r="V367" t="s">
        <v>99</v>
      </c>
      <c r="W367">
        <v>7.5</v>
      </c>
      <c r="X367" t="s">
        <v>102</v>
      </c>
      <c r="Y367" t="b">
        <v>0</v>
      </c>
    </row>
    <row r="368" spans="1:25" x14ac:dyDescent="0.55000000000000004">
      <c r="A368" t="s">
        <v>94</v>
      </c>
      <c r="B368" t="s">
        <v>173</v>
      </c>
      <c r="C368" t="s">
        <v>96</v>
      </c>
      <c r="D368" t="s">
        <v>174</v>
      </c>
      <c r="E368" t="s">
        <v>175</v>
      </c>
      <c r="F368" t="s">
        <v>118</v>
      </c>
      <c r="G368">
        <v>18462</v>
      </c>
      <c r="H368" t="s">
        <v>177</v>
      </c>
      <c r="I368">
        <v>1</v>
      </c>
      <c r="J368" t="s">
        <v>104</v>
      </c>
      <c r="K368" s="19">
        <v>0.25</v>
      </c>
      <c r="L368" s="19">
        <v>0.58333333333333337</v>
      </c>
      <c r="M368">
        <v>8</v>
      </c>
      <c r="N368">
        <v>0</v>
      </c>
      <c r="O368">
        <v>60</v>
      </c>
      <c r="P368">
        <v>76</v>
      </c>
      <c r="Q368" t="s">
        <v>99</v>
      </c>
      <c r="R368">
        <v>30</v>
      </c>
      <c r="S368" s="19">
        <v>0.45833333333333331</v>
      </c>
      <c r="T368">
        <v>0</v>
      </c>
      <c r="U368" s="19">
        <v>0</v>
      </c>
      <c r="V368" t="s">
        <v>99</v>
      </c>
      <c r="W368">
        <v>7.5</v>
      </c>
      <c r="X368" t="s">
        <v>102</v>
      </c>
      <c r="Y368" t="b">
        <v>0</v>
      </c>
    </row>
    <row r="369" spans="1:25" x14ac:dyDescent="0.55000000000000004">
      <c r="A369" t="s">
        <v>94</v>
      </c>
      <c r="B369" t="s">
        <v>173</v>
      </c>
      <c r="C369" t="s">
        <v>96</v>
      </c>
      <c r="D369" t="s">
        <v>174</v>
      </c>
      <c r="E369" t="s">
        <v>175</v>
      </c>
      <c r="F369" t="s">
        <v>118</v>
      </c>
      <c r="G369">
        <v>18462</v>
      </c>
      <c r="H369" t="s">
        <v>177</v>
      </c>
      <c r="I369">
        <v>2</v>
      </c>
      <c r="J369" t="s">
        <v>107</v>
      </c>
      <c r="K369" s="19">
        <v>0.25</v>
      </c>
      <c r="L369" s="19">
        <v>0.58333333333333337</v>
      </c>
      <c r="M369">
        <v>8</v>
      </c>
      <c r="N369">
        <v>0</v>
      </c>
      <c r="O369">
        <v>60</v>
      </c>
      <c r="P369">
        <v>76</v>
      </c>
      <c r="Q369" t="s">
        <v>99</v>
      </c>
      <c r="R369">
        <v>30</v>
      </c>
      <c r="S369" s="19">
        <v>0.45833333333333331</v>
      </c>
      <c r="T369">
        <v>0</v>
      </c>
      <c r="U369" s="19">
        <v>0.54166666666666663</v>
      </c>
      <c r="V369" t="s">
        <v>99</v>
      </c>
      <c r="W369">
        <v>7.5</v>
      </c>
      <c r="X369" t="s">
        <v>102</v>
      </c>
      <c r="Y369" t="b">
        <v>0</v>
      </c>
    </row>
    <row r="370" spans="1:25" x14ac:dyDescent="0.55000000000000004">
      <c r="A370" t="s">
        <v>94</v>
      </c>
      <c r="B370" t="s">
        <v>173</v>
      </c>
      <c r="C370" t="s">
        <v>96</v>
      </c>
      <c r="D370" t="s">
        <v>174</v>
      </c>
      <c r="E370" t="s">
        <v>175</v>
      </c>
      <c r="F370" t="s">
        <v>118</v>
      </c>
      <c r="G370">
        <v>20863</v>
      </c>
      <c r="H370" t="s">
        <v>178</v>
      </c>
      <c r="I370">
        <v>1</v>
      </c>
      <c r="J370" t="s">
        <v>105</v>
      </c>
      <c r="K370" s="19">
        <v>0.25</v>
      </c>
      <c r="L370" s="19">
        <v>0.58333333333333337</v>
      </c>
      <c r="M370">
        <v>8</v>
      </c>
      <c r="N370">
        <v>0</v>
      </c>
      <c r="O370">
        <v>75</v>
      </c>
      <c r="P370">
        <v>76</v>
      </c>
      <c r="Q370" t="s">
        <v>99</v>
      </c>
      <c r="R370">
        <v>30</v>
      </c>
      <c r="S370" s="19">
        <v>0.45833333333333331</v>
      </c>
      <c r="T370">
        <v>0</v>
      </c>
      <c r="U370" s="19">
        <v>0.54166666666666663</v>
      </c>
      <c r="V370" t="s">
        <v>99</v>
      </c>
      <c r="W370">
        <v>7.5</v>
      </c>
      <c r="X370" t="s">
        <v>102</v>
      </c>
      <c r="Y370" t="b">
        <v>0</v>
      </c>
    </row>
    <row r="371" spans="1:25" x14ac:dyDescent="0.55000000000000004">
      <c r="A371" t="s">
        <v>94</v>
      </c>
      <c r="B371" t="s">
        <v>173</v>
      </c>
      <c r="C371" t="s">
        <v>96</v>
      </c>
      <c r="D371" t="s">
        <v>174</v>
      </c>
      <c r="E371" t="s">
        <v>175</v>
      </c>
      <c r="F371" t="s">
        <v>118</v>
      </c>
      <c r="G371">
        <v>20863</v>
      </c>
      <c r="H371" t="s">
        <v>178</v>
      </c>
      <c r="I371">
        <v>2</v>
      </c>
      <c r="J371" t="s">
        <v>107</v>
      </c>
      <c r="K371" s="19">
        <v>0.25</v>
      </c>
      <c r="L371" s="19">
        <v>0.58333333333333337</v>
      </c>
      <c r="M371">
        <v>8</v>
      </c>
      <c r="N371">
        <v>0</v>
      </c>
      <c r="O371">
        <v>75</v>
      </c>
      <c r="P371">
        <v>76</v>
      </c>
      <c r="Q371" t="s">
        <v>99</v>
      </c>
      <c r="R371">
        <v>30</v>
      </c>
      <c r="S371" s="19">
        <v>0.45833333333333331</v>
      </c>
      <c r="T371">
        <v>0</v>
      </c>
      <c r="U371" s="19">
        <v>0</v>
      </c>
      <c r="V371" t="s">
        <v>99</v>
      </c>
      <c r="W371">
        <v>7.5</v>
      </c>
      <c r="X371" t="s">
        <v>102</v>
      </c>
      <c r="Y371" t="b">
        <v>0</v>
      </c>
    </row>
    <row r="372" spans="1:25" x14ac:dyDescent="0.55000000000000004">
      <c r="A372" t="s">
        <v>94</v>
      </c>
      <c r="B372" t="s">
        <v>173</v>
      </c>
      <c r="C372" t="s">
        <v>96</v>
      </c>
      <c r="D372" t="s">
        <v>174</v>
      </c>
      <c r="E372" t="s">
        <v>175</v>
      </c>
      <c r="F372" t="s">
        <v>118</v>
      </c>
      <c r="G372">
        <v>20863</v>
      </c>
      <c r="H372" t="s">
        <v>178</v>
      </c>
      <c r="I372">
        <v>2</v>
      </c>
      <c r="J372" t="s">
        <v>101</v>
      </c>
      <c r="K372" s="19">
        <v>0.25</v>
      </c>
      <c r="L372" s="19">
        <v>0.58333333333333337</v>
      </c>
      <c r="M372">
        <v>8</v>
      </c>
      <c r="N372">
        <v>0</v>
      </c>
      <c r="O372">
        <v>75</v>
      </c>
      <c r="P372">
        <v>76</v>
      </c>
      <c r="Q372" t="s">
        <v>99</v>
      </c>
      <c r="R372">
        <v>30</v>
      </c>
      <c r="S372" s="19">
        <v>0.45833333333333331</v>
      </c>
      <c r="T372">
        <v>0</v>
      </c>
      <c r="U372" s="19">
        <v>0</v>
      </c>
      <c r="V372" t="s">
        <v>99</v>
      </c>
      <c r="W372">
        <v>7.5</v>
      </c>
      <c r="X372" t="s">
        <v>102</v>
      </c>
      <c r="Y372" t="b">
        <v>0</v>
      </c>
    </row>
    <row r="373" spans="1:25" x14ac:dyDescent="0.55000000000000004">
      <c r="A373" t="s">
        <v>94</v>
      </c>
      <c r="B373" t="s">
        <v>173</v>
      </c>
      <c r="C373" t="s">
        <v>96</v>
      </c>
      <c r="D373" t="s">
        <v>174</v>
      </c>
      <c r="E373" t="s">
        <v>175</v>
      </c>
      <c r="F373" t="s">
        <v>118</v>
      </c>
      <c r="G373">
        <v>20863</v>
      </c>
      <c r="H373" t="s">
        <v>178</v>
      </c>
      <c r="I373">
        <v>2</v>
      </c>
      <c r="J373" t="s">
        <v>103</v>
      </c>
      <c r="K373" s="19">
        <v>0.25</v>
      </c>
      <c r="L373" s="19">
        <v>0.58333333333333337</v>
      </c>
      <c r="M373">
        <v>8</v>
      </c>
      <c r="N373">
        <v>0</v>
      </c>
      <c r="O373">
        <v>75</v>
      </c>
      <c r="P373">
        <v>76</v>
      </c>
      <c r="Q373" t="s">
        <v>99</v>
      </c>
      <c r="R373">
        <v>30</v>
      </c>
      <c r="S373" s="19">
        <v>0.4375</v>
      </c>
      <c r="T373">
        <v>0</v>
      </c>
      <c r="U373" s="19">
        <v>0.54166666666666663</v>
      </c>
      <c r="V373" t="s">
        <v>99</v>
      </c>
      <c r="W373">
        <v>7.5</v>
      </c>
      <c r="X373" t="s">
        <v>102</v>
      </c>
      <c r="Y373" t="b">
        <v>0</v>
      </c>
    </row>
    <row r="374" spans="1:25" x14ac:dyDescent="0.55000000000000004">
      <c r="A374" t="s">
        <v>94</v>
      </c>
      <c r="B374" t="s">
        <v>173</v>
      </c>
      <c r="C374" t="s">
        <v>96</v>
      </c>
      <c r="D374" t="s">
        <v>174</v>
      </c>
      <c r="E374" t="s">
        <v>175</v>
      </c>
      <c r="F374" t="s">
        <v>118</v>
      </c>
      <c r="G374">
        <v>22035</v>
      </c>
      <c r="H374" t="s">
        <v>179</v>
      </c>
      <c r="I374">
        <v>2</v>
      </c>
      <c r="J374" t="s">
        <v>115</v>
      </c>
      <c r="K374" s="19">
        <v>0.25</v>
      </c>
      <c r="L374" s="19">
        <v>0.58333333333333337</v>
      </c>
      <c r="M374">
        <v>8</v>
      </c>
      <c r="N374">
        <v>394.99</v>
      </c>
      <c r="O374">
        <v>66.5</v>
      </c>
      <c r="P374">
        <v>76</v>
      </c>
      <c r="Q374" t="s">
        <v>99</v>
      </c>
      <c r="R374">
        <v>30</v>
      </c>
      <c r="S374" s="19">
        <v>0.4375</v>
      </c>
      <c r="T374">
        <v>0</v>
      </c>
      <c r="U374" s="19">
        <v>0</v>
      </c>
      <c r="V374" t="s">
        <v>99</v>
      </c>
      <c r="W374">
        <v>7.5</v>
      </c>
      <c r="X374" t="s">
        <v>102</v>
      </c>
      <c r="Y374" t="b">
        <v>0</v>
      </c>
    </row>
    <row r="375" spans="1:25" x14ac:dyDescent="0.55000000000000004">
      <c r="A375" t="s">
        <v>94</v>
      </c>
      <c r="B375" t="s">
        <v>173</v>
      </c>
      <c r="C375" t="s">
        <v>96</v>
      </c>
      <c r="D375" t="s">
        <v>174</v>
      </c>
      <c r="E375" t="s">
        <v>175</v>
      </c>
      <c r="F375" t="s">
        <v>118</v>
      </c>
      <c r="G375">
        <v>22116</v>
      </c>
      <c r="H375" t="s">
        <v>180</v>
      </c>
      <c r="I375">
        <v>2</v>
      </c>
      <c r="J375" t="s">
        <v>101</v>
      </c>
      <c r="K375" s="19">
        <v>0.25</v>
      </c>
      <c r="L375" s="19">
        <v>0.58333333333333337</v>
      </c>
      <c r="M375">
        <v>8</v>
      </c>
      <c r="N375">
        <v>0</v>
      </c>
      <c r="O375">
        <v>60</v>
      </c>
      <c r="P375">
        <v>76</v>
      </c>
      <c r="Q375" t="s">
        <v>99</v>
      </c>
      <c r="R375">
        <v>30</v>
      </c>
      <c r="S375" s="19">
        <v>0.4375</v>
      </c>
      <c r="T375">
        <v>0</v>
      </c>
      <c r="U375" s="19">
        <v>0</v>
      </c>
      <c r="V375" t="s">
        <v>99</v>
      </c>
      <c r="W375">
        <v>7.5</v>
      </c>
      <c r="X375" t="s">
        <v>102</v>
      </c>
      <c r="Y375" t="b">
        <v>0</v>
      </c>
    </row>
    <row r="376" spans="1:25" x14ac:dyDescent="0.55000000000000004">
      <c r="A376" t="s">
        <v>94</v>
      </c>
      <c r="B376" t="s">
        <v>173</v>
      </c>
      <c r="C376" t="s">
        <v>96</v>
      </c>
      <c r="D376" t="s">
        <v>174</v>
      </c>
      <c r="E376" t="s">
        <v>175</v>
      </c>
      <c r="F376" t="s">
        <v>118</v>
      </c>
      <c r="G376">
        <v>22116</v>
      </c>
      <c r="H376" t="s">
        <v>180</v>
      </c>
      <c r="I376">
        <v>2</v>
      </c>
      <c r="J376" t="s">
        <v>103</v>
      </c>
      <c r="K376" s="19">
        <v>0.25</v>
      </c>
      <c r="L376" s="19">
        <v>0.58333333333333337</v>
      </c>
      <c r="M376">
        <v>8</v>
      </c>
      <c r="N376">
        <v>0</v>
      </c>
      <c r="O376">
        <v>60</v>
      </c>
      <c r="P376">
        <v>76</v>
      </c>
      <c r="Q376" t="s">
        <v>99</v>
      </c>
      <c r="R376">
        <v>30</v>
      </c>
      <c r="S376" s="19">
        <v>0.4375</v>
      </c>
      <c r="T376">
        <v>0</v>
      </c>
      <c r="U376" s="19">
        <v>0</v>
      </c>
      <c r="V376" t="s">
        <v>99</v>
      </c>
      <c r="W376">
        <v>7.5</v>
      </c>
      <c r="X376" t="s">
        <v>102</v>
      </c>
      <c r="Y376" t="b">
        <v>0</v>
      </c>
    </row>
    <row r="377" spans="1:25" x14ac:dyDescent="0.55000000000000004">
      <c r="A377" t="s">
        <v>94</v>
      </c>
      <c r="B377" t="s">
        <v>173</v>
      </c>
      <c r="C377" t="s">
        <v>96</v>
      </c>
      <c r="D377" t="s">
        <v>174</v>
      </c>
      <c r="E377" t="s">
        <v>175</v>
      </c>
      <c r="F377" t="s">
        <v>118</v>
      </c>
      <c r="G377">
        <v>22116</v>
      </c>
      <c r="H377" t="s">
        <v>180</v>
      </c>
      <c r="I377">
        <v>2</v>
      </c>
      <c r="J377" t="s">
        <v>104</v>
      </c>
      <c r="K377" s="19">
        <v>0.25</v>
      </c>
      <c r="L377" s="19">
        <v>0.58333333333333337</v>
      </c>
      <c r="M377">
        <v>8</v>
      </c>
      <c r="N377">
        <v>0</v>
      </c>
      <c r="O377">
        <v>60</v>
      </c>
      <c r="P377">
        <v>76</v>
      </c>
      <c r="Q377" t="s">
        <v>99</v>
      </c>
      <c r="R377">
        <v>30</v>
      </c>
      <c r="S377" s="19">
        <v>0.4375</v>
      </c>
      <c r="T377">
        <v>0</v>
      </c>
      <c r="U377" s="19">
        <v>0</v>
      </c>
      <c r="V377" t="s">
        <v>99</v>
      </c>
      <c r="W377">
        <v>7.5</v>
      </c>
      <c r="X377" t="s">
        <v>102</v>
      </c>
      <c r="Y377" t="b">
        <v>0</v>
      </c>
    </row>
    <row r="378" spans="1:25" x14ac:dyDescent="0.55000000000000004">
      <c r="A378" t="s">
        <v>94</v>
      </c>
      <c r="B378" t="s">
        <v>173</v>
      </c>
      <c r="C378" t="s">
        <v>96</v>
      </c>
      <c r="D378" t="s">
        <v>174</v>
      </c>
      <c r="E378" t="s">
        <v>175</v>
      </c>
      <c r="F378" t="s">
        <v>118</v>
      </c>
      <c r="G378">
        <v>22116</v>
      </c>
      <c r="H378" t="s">
        <v>180</v>
      </c>
      <c r="I378">
        <v>2</v>
      </c>
      <c r="J378" t="s">
        <v>105</v>
      </c>
      <c r="K378" s="19">
        <v>0.25</v>
      </c>
      <c r="L378" s="19">
        <v>0.58333333333333337</v>
      </c>
      <c r="M378">
        <v>8</v>
      </c>
      <c r="N378">
        <v>0</v>
      </c>
      <c r="O378">
        <v>60</v>
      </c>
      <c r="P378">
        <v>76</v>
      </c>
      <c r="Q378" t="s">
        <v>99</v>
      </c>
      <c r="R378">
        <v>30</v>
      </c>
      <c r="S378" s="19">
        <v>0.4375</v>
      </c>
      <c r="T378">
        <v>0</v>
      </c>
      <c r="U378" s="19">
        <v>0.54166666666666663</v>
      </c>
      <c r="V378" t="s">
        <v>99</v>
      </c>
      <c r="W378">
        <v>7.5</v>
      </c>
      <c r="X378" t="s">
        <v>102</v>
      </c>
      <c r="Y378" t="b">
        <v>0</v>
      </c>
    </row>
    <row r="379" spans="1:25" x14ac:dyDescent="0.55000000000000004">
      <c r="A379" t="s">
        <v>94</v>
      </c>
      <c r="B379" t="s">
        <v>173</v>
      </c>
      <c r="C379" t="s">
        <v>96</v>
      </c>
      <c r="D379" t="s">
        <v>174</v>
      </c>
      <c r="E379" t="s">
        <v>175</v>
      </c>
      <c r="F379" t="s">
        <v>118</v>
      </c>
      <c r="G379">
        <v>23179</v>
      </c>
      <c r="H379" t="s">
        <v>181</v>
      </c>
      <c r="I379">
        <v>1</v>
      </c>
      <c r="J379" t="s">
        <v>103</v>
      </c>
      <c r="K379" s="19">
        <v>0.25</v>
      </c>
      <c r="L379" s="19">
        <v>0.58333333333333337</v>
      </c>
      <c r="M379">
        <v>8</v>
      </c>
      <c r="N379">
        <v>263.32</v>
      </c>
      <c r="O379">
        <v>45</v>
      </c>
      <c r="P379">
        <v>76</v>
      </c>
      <c r="Q379" t="s">
        <v>99</v>
      </c>
      <c r="R379">
        <v>30</v>
      </c>
      <c r="S379" s="19">
        <v>0.45833333333333331</v>
      </c>
      <c r="T379">
        <v>0</v>
      </c>
      <c r="U379" s="19">
        <v>0.54166666666666663</v>
      </c>
      <c r="V379" t="s">
        <v>99</v>
      </c>
      <c r="W379">
        <v>7.5</v>
      </c>
      <c r="X379" t="s">
        <v>102</v>
      </c>
      <c r="Y379" t="b">
        <v>0</v>
      </c>
    </row>
    <row r="380" spans="1:25" x14ac:dyDescent="0.55000000000000004">
      <c r="A380" t="s">
        <v>94</v>
      </c>
      <c r="B380" t="s">
        <v>173</v>
      </c>
      <c r="C380" t="s">
        <v>96</v>
      </c>
      <c r="D380" t="s">
        <v>174</v>
      </c>
      <c r="E380" t="s">
        <v>175</v>
      </c>
      <c r="F380" t="s">
        <v>118</v>
      </c>
      <c r="G380">
        <v>23179</v>
      </c>
      <c r="H380" t="s">
        <v>181</v>
      </c>
      <c r="I380">
        <v>1</v>
      </c>
      <c r="J380" t="s">
        <v>104</v>
      </c>
      <c r="K380" s="19">
        <v>0.25</v>
      </c>
      <c r="L380" s="19">
        <v>0.58333333333333337</v>
      </c>
      <c r="M380">
        <v>8</v>
      </c>
      <c r="N380">
        <v>263.32</v>
      </c>
      <c r="O380">
        <v>45</v>
      </c>
      <c r="P380">
        <v>76</v>
      </c>
      <c r="Q380" t="s">
        <v>99</v>
      </c>
      <c r="R380">
        <v>30</v>
      </c>
      <c r="S380" s="19">
        <v>0.45833333333333331</v>
      </c>
      <c r="T380">
        <v>0</v>
      </c>
      <c r="U380" s="19">
        <v>0.54166666666666663</v>
      </c>
      <c r="V380" t="s">
        <v>99</v>
      </c>
      <c r="W380">
        <v>7.5</v>
      </c>
      <c r="X380" t="s">
        <v>102</v>
      </c>
      <c r="Y380" t="b">
        <v>0</v>
      </c>
    </row>
    <row r="381" spans="1:25" x14ac:dyDescent="0.55000000000000004">
      <c r="A381" t="s">
        <v>94</v>
      </c>
      <c r="B381" t="s">
        <v>173</v>
      </c>
      <c r="C381" t="s">
        <v>96</v>
      </c>
      <c r="D381" t="s">
        <v>174</v>
      </c>
      <c r="E381" t="s">
        <v>175</v>
      </c>
      <c r="F381" t="s">
        <v>118</v>
      </c>
      <c r="G381">
        <v>23179</v>
      </c>
      <c r="H381" t="s">
        <v>181</v>
      </c>
      <c r="I381">
        <v>1</v>
      </c>
      <c r="J381" t="s">
        <v>105</v>
      </c>
      <c r="K381" s="19">
        <v>0.25</v>
      </c>
      <c r="L381" s="19">
        <v>0.58333333333333337</v>
      </c>
      <c r="M381">
        <v>8</v>
      </c>
      <c r="N381">
        <v>263.32</v>
      </c>
      <c r="O381">
        <v>45</v>
      </c>
      <c r="P381">
        <v>76</v>
      </c>
      <c r="Q381" t="s">
        <v>99</v>
      </c>
      <c r="R381">
        <v>30</v>
      </c>
      <c r="S381" s="19">
        <v>0.45833333333333331</v>
      </c>
      <c r="T381">
        <v>0</v>
      </c>
      <c r="U381" s="19">
        <v>0.54166666666666663</v>
      </c>
      <c r="V381" t="s">
        <v>99</v>
      </c>
      <c r="W381">
        <v>7.5</v>
      </c>
      <c r="X381" t="s">
        <v>102</v>
      </c>
      <c r="Y381" t="b">
        <v>0</v>
      </c>
    </row>
    <row r="382" spans="1:25" x14ac:dyDescent="0.55000000000000004">
      <c r="A382" t="s">
        <v>94</v>
      </c>
      <c r="B382" t="s">
        <v>173</v>
      </c>
      <c r="C382" t="s">
        <v>96</v>
      </c>
      <c r="D382" t="s">
        <v>174</v>
      </c>
      <c r="E382" t="s">
        <v>175</v>
      </c>
      <c r="F382" t="s">
        <v>118</v>
      </c>
      <c r="G382">
        <v>23179</v>
      </c>
      <c r="H382" t="s">
        <v>181</v>
      </c>
      <c r="I382">
        <v>2</v>
      </c>
      <c r="J382" t="s">
        <v>103</v>
      </c>
      <c r="K382" s="19">
        <v>0.25</v>
      </c>
      <c r="L382" s="19">
        <v>0.58333333333333337</v>
      </c>
      <c r="M382">
        <v>8</v>
      </c>
      <c r="N382">
        <v>263.32</v>
      </c>
      <c r="O382">
        <v>45</v>
      </c>
      <c r="P382">
        <v>76</v>
      </c>
      <c r="Q382" t="s">
        <v>99</v>
      </c>
      <c r="R382">
        <v>30</v>
      </c>
      <c r="S382" s="19">
        <v>0.45833333333333331</v>
      </c>
      <c r="T382">
        <v>0</v>
      </c>
      <c r="U382" s="19">
        <v>0.54166666666666663</v>
      </c>
      <c r="V382" t="s">
        <v>99</v>
      </c>
      <c r="W382">
        <v>7.5</v>
      </c>
      <c r="X382" t="s">
        <v>102</v>
      </c>
      <c r="Y382" t="b">
        <v>0</v>
      </c>
    </row>
    <row r="383" spans="1:25" x14ac:dyDescent="0.55000000000000004">
      <c r="A383" t="s">
        <v>94</v>
      </c>
      <c r="B383" t="s">
        <v>173</v>
      </c>
      <c r="C383" t="s">
        <v>96</v>
      </c>
      <c r="D383" t="s">
        <v>174</v>
      </c>
      <c r="E383" t="s">
        <v>175</v>
      </c>
      <c r="F383" t="s">
        <v>118</v>
      </c>
      <c r="G383">
        <v>23179</v>
      </c>
      <c r="H383" t="s">
        <v>181</v>
      </c>
      <c r="I383">
        <v>2</v>
      </c>
      <c r="J383" t="s">
        <v>104</v>
      </c>
      <c r="K383" s="19">
        <v>0.25</v>
      </c>
      <c r="L383" s="19">
        <v>0.58333333333333337</v>
      </c>
      <c r="M383">
        <v>8</v>
      </c>
      <c r="N383">
        <v>263.32</v>
      </c>
      <c r="O383">
        <v>45</v>
      </c>
      <c r="P383">
        <v>76</v>
      </c>
      <c r="Q383" t="s">
        <v>99</v>
      </c>
      <c r="R383">
        <v>30</v>
      </c>
      <c r="S383" s="19">
        <v>0.45833333333333331</v>
      </c>
      <c r="T383">
        <v>0</v>
      </c>
      <c r="U383" s="19">
        <v>0.54166666666666663</v>
      </c>
      <c r="V383" t="s">
        <v>99</v>
      </c>
      <c r="W383">
        <v>7.5</v>
      </c>
      <c r="X383" t="s">
        <v>102</v>
      </c>
      <c r="Y383" t="b">
        <v>0</v>
      </c>
    </row>
    <row r="384" spans="1:25" x14ac:dyDescent="0.55000000000000004">
      <c r="A384" t="s">
        <v>94</v>
      </c>
      <c r="B384" t="s">
        <v>173</v>
      </c>
      <c r="C384" t="s">
        <v>96</v>
      </c>
      <c r="D384" t="s">
        <v>174</v>
      </c>
      <c r="E384" t="s">
        <v>175</v>
      </c>
      <c r="F384" t="s">
        <v>118</v>
      </c>
      <c r="G384">
        <v>23179</v>
      </c>
      <c r="H384" t="s">
        <v>181</v>
      </c>
      <c r="I384">
        <v>2</v>
      </c>
      <c r="J384" t="s">
        <v>105</v>
      </c>
      <c r="K384" s="19">
        <v>0.25</v>
      </c>
      <c r="L384" s="19">
        <v>0.58333333333333337</v>
      </c>
      <c r="M384">
        <v>8</v>
      </c>
      <c r="N384">
        <v>263.32</v>
      </c>
      <c r="O384">
        <v>45</v>
      </c>
      <c r="P384">
        <v>76</v>
      </c>
      <c r="Q384" t="s">
        <v>99</v>
      </c>
      <c r="R384">
        <v>30</v>
      </c>
      <c r="S384" s="19">
        <v>0.4375</v>
      </c>
      <c r="T384">
        <v>0</v>
      </c>
      <c r="U384" s="19">
        <v>0.54166666666666663</v>
      </c>
      <c r="V384" t="s">
        <v>99</v>
      </c>
      <c r="W384">
        <v>7.5</v>
      </c>
      <c r="X384" t="s">
        <v>102</v>
      </c>
      <c r="Y384" t="b">
        <v>0</v>
      </c>
    </row>
    <row r="385" spans="1:25" x14ac:dyDescent="0.55000000000000004">
      <c r="A385" t="s">
        <v>94</v>
      </c>
      <c r="B385" t="s">
        <v>173</v>
      </c>
      <c r="C385" t="s">
        <v>96</v>
      </c>
      <c r="D385" t="s">
        <v>174</v>
      </c>
      <c r="E385" t="s">
        <v>175</v>
      </c>
      <c r="F385" t="s">
        <v>118</v>
      </c>
      <c r="G385">
        <v>23245</v>
      </c>
      <c r="H385" t="s">
        <v>182</v>
      </c>
      <c r="I385">
        <v>1</v>
      </c>
      <c r="J385" t="s">
        <v>107</v>
      </c>
      <c r="K385" s="19">
        <v>0.25</v>
      </c>
      <c r="L385" s="19">
        <v>0.58333333333333337</v>
      </c>
      <c r="M385">
        <v>8</v>
      </c>
      <c r="N385">
        <v>263.32</v>
      </c>
      <c r="O385">
        <v>52.5</v>
      </c>
      <c r="P385">
        <v>76</v>
      </c>
      <c r="Q385" t="s">
        <v>99</v>
      </c>
      <c r="R385">
        <v>30</v>
      </c>
      <c r="S385" s="19">
        <v>0.45833333333333331</v>
      </c>
      <c r="T385">
        <v>0</v>
      </c>
      <c r="U385" s="19">
        <v>0</v>
      </c>
      <c r="V385" t="s">
        <v>99</v>
      </c>
      <c r="W385">
        <v>7.5</v>
      </c>
      <c r="X385" t="s">
        <v>102</v>
      </c>
      <c r="Y385" t="b">
        <v>0</v>
      </c>
    </row>
    <row r="386" spans="1:25" x14ac:dyDescent="0.55000000000000004">
      <c r="A386" t="s">
        <v>94</v>
      </c>
      <c r="B386" t="s">
        <v>173</v>
      </c>
      <c r="C386" t="s">
        <v>96</v>
      </c>
      <c r="D386" t="s">
        <v>174</v>
      </c>
      <c r="E386" t="s">
        <v>175</v>
      </c>
      <c r="F386" t="s">
        <v>118</v>
      </c>
      <c r="G386">
        <v>23245</v>
      </c>
      <c r="H386" t="s">
        <v>182</v>
      </c>
      <c r="I386">
        <v>1</v>
      </c>
      <c r="J386" t="s">
        <v>101</v>
      </c>
      <c r="K386" s="19">
        <v>0.25</v>
      </c>
      <c r="L386" s="19">
        <v>0.58333333333333337</v>
      </c>
      <c r="M386">
        <v>8</v>
      </c>
      <c r="N386">
        <v>263.32</v>
      </c>
      <c r="O386">
        <v>52.5</v>
      </c>
      <c r="P386">
        <v>76</v>
      </c>
      <c r="Q386" t="s">
        <v>99</v>
      </c>
      <c r="R386">
        <v>30</v>
      </c>
      <c r="S386" s="19">
        <v>0.45833333333333331</v>
      </c>
      <c r="T386">
        <v>0</v>
      </c>
      <c r="U386" s="19">
        <v>0</v>
      </c>
      <c r="V386" t="s">
        <v>99</v>
      </c>
      <c r="W386">
        <v>7.5</v>
      </c>
      <c r="X386" t="s">
        <v>102</v>
      </c>
      <c r="Y386" t="b">
        <v>0</v>
      </c>
    </row>
    <row r="387" spans="1:25" x14ac:dyDescent="0.55000000000000004">
      <c r="A387" t="s">
        <v>94</v>
      </c>
      <c r="B387" t="s">
        <v>173</v>
      </c>
      <c r="C387" t="s">
        <v>96</v>
      </c>
      <c r="D387" t="s">
        <v>174</v>
      </c>
      <c r="E387" t="s">
        <v>175</v>
      </c>
      <c r="F387" t="s">
        <v>118</v>
      </c>
      <c r="G387">
        <v>23245</v>
      </c>
      <c r="H387" t="s">
        <v>182</v>
      </c>
      <c r="I387">
        <v>1</v>
      </c>
      <c r="J387" t="s">
        <v>116</v>
      </c>
      <c r="K387" s="19">
        <v>0.25</v>
      </c>
      <c r="L387" s="19">
        <v>0.58333333333333337</v>
      </c>
      <c r="M387">
        <v>8</v>
      </c>
      <c r="N387">
        <v>460.82</v>
      </c>
      <c r="O387">
        <v>52.5</v>
      </c>
      <c r="P387">
        <v>76</v>
      </c>
      <c r="Q387" t="s">
        <v>99</v>
      </c>
      <c r="R387">
        <v>30</v>
      </c>
      <c r="S387" s="19">
        <v>0.45833333333333331</v>
      </c>
      <c r="T387">
        <v>0</v>
      </c>
      <c r="U387" s="19">
        <v>0.54166666666666663</v>
      </c>
      <c r="V387" t="s">
        <v>99</v>
      </c>
      <c r="W387">
        <v>7.5</v>
      </c>
      <c r="X387" t="s">
        <v>102</v>
      </c>
      <c r="Y387" t="b">
        <v>0</v>
      </c>
    </row>
    <row r="388" spans="1:25" x14ac:dyDescent="0.55000000000000004">
      <c r="A388" t="s">
        <v>94</v>
      </c>
      <c r="B388" t="s">
        <v>173</v>
      </c>
      <c r="C388" t="s">
        <v>96</v>
      </c>
      <c r="D388" t="s">
        <v>174</v>
      </c>
      <c r="E388" t="s">
        <v>175</v>
      </c>
      <c r="F388" t="s">
        <v>118</v>
      </c>
      <c r="G388">
        <v>23245</v>
      </c>
      <c r="H388" t="s">
        <v>182</v>
      </c>
      <c r="I388">
        <v>1</v>
      </c>
      <c r="J388" t="s">
        <v>103</v>
      </c>
      <c r="K388" s="19">
        <v>0.25</v>
      </c>
      <c r="L388" s="19">
        <v>0.58333333333333337</v>
      </c>
      <c r="M388">
        <v>8</v>
      </c>
      <c r="N388">
        <v>263.32</v>
      </c>
      <c r="O388">
        <v>52.5</v>
      </c>
      <c r="P388">
        <v>76</v>
      </c>
      <c r="Q388" t="s">
        <v>99</v>
      </c>
      <c r="R388">
        <v>30</v>
      </c>
      <c r="S388" s="19">
        <v>0.45833333333333331</v>
      </c>
      <c r="T388">
        <v>0</v>
      </c>
      <c r="U388" s="19">
        <v>0</v>
      </c>
      <c r="V388" t="s">
        <v>99</v>
      </c>
      <c r="W388">
        <v>7.5</v>
      </c>
      <c r="X388" t="s">
        <v>102</v>
      </c>
      <c r="Y388" t="b">
        <v>0</v>
      </c>
    </row>
    <row r="389" spans="1:25" x14ac:dyDescent="0.55000000000000004">
      <c r="A389" t="s">
        <v>94</v>
      </c>
      <c r="B389" t="s">
        <v>173</v>
      </c>
      <c r="C389" t="s">
        <v>96</v>
      </c>
      <c r="D389" t="s">
        <v>174</v>
      </c>
      <c r="E389" t="s">
        <v>175</v>
      </c>
      <c r="F389" t="s">
        <v>118</v>
      </c>
      <c r="G389">
        <v>23245</v>
      </c>
      <c r="H389" t="s">
        <v>182</v>
      </c>
      <c r="I389">
        <v>2</v>
      </c>
      <c r="J389" t="s">
        <v>101</v>
      </c>
      <c r="K389" s="19">
        <v>0.25</v>
      </c>
      <c r="L389" s="19">
        <v>0.58333333333333337</v>
      </c>
      <c r="M389">
        <v>8</v>
      </c>
      <c r="N389">
        <v>263.32</v>
      </c>
      <c r="O389">
        <v>52.5</v>
      </c>
      <c r="P389">
        <v>76</v>
      </c>
      <c r="Q389" t="s">
        <v>99</v>
      </c>
      <c r="R389">
        <v>30</v>
      </c>
      <c r="S389" s="19">
        <v>0.45833333333333331</v>
      </c>
      <c r="T389">
        <v>0</v>
      </c>
      <c r="U389" s="19">
        <v>0</v>
      </c>
      <c r="V389" t="s">
        <v>99</v>
      </c>
      <c r="W389">
        <v>7.5</v>
      </c>
      <c r="X389" t="s">
        <v>102</v>
      </c>
      <c r="Y389" t="b">
        <v>0</v>
      </c>
    </row>
    <row r="390" spans="1:25" x14ac:dyDescent="0.55000000000000004">
      <c r="A390" t="s">
        <v>94</v>
      </c>
      <c r="B390" t="s">
        <v>173</v>
      </c>
      <c r="C390" t="s">
        <v>96</v>
      </c>
      <c r="D390" t="s">
        <v>174</v>
      </c>
      <c r="E390" t="s">
        <v>175</v>
      </c>
      <c r="F390" t="s">
        <v>118</v>
      </c>
      <c r="G390">
        <v>23484</v>
      </c>
      <c r="H390" t="s">
        <v>183</v>
      </c>
      <c r="I390">
        <v>1</v>
      </c>
      <c r="J390" t="s">
        <v>116</v>
      </c>
      <c r="K390" s="19">
        <v>0.25</v>
      </c>
      <c r="L390" s="19">
        <v>0.58333333333333337</v>
      </c>
      <c r="M390">
        <v>8</v>
      </c>
      <c r="N390">
        <v>460.82</v>
      </c>
      <c r="O390">
        <v>52.5</v>
      </c>
      <c r="P390">
        <v>76</v>
      </c>
      <c r="Q390" t="s">
        <v>99</v>
      </c>
      <c r="R390">
        <v>30</v>
      </c>
      <c r="S390" s="19">
        <v>0.45833333333333331</v>
      </c>
      <c r="T390">
        <v>0</v>
      </c>
      <c r="U390" s="19">
        <v>0</v>
      </c>
      <c r="V390" t="s">
        <v>99</v>
      </c>
      <c r="W390">
        <v>7.5</v>
      </c>
      <c r="X390" t="s">
        <v>102</v>
      </c>
      <c r="Y390" t="b">
        <v>0</v>
      </c>
    </row>
    <row r="391" spans="1:25" x14ac:dyDescent="0.55000000000000004">
      <c r="A391" t="s">
        <v>94</v>
      </c>
      <c r="B391" t="s">
        <v>173</v>
      </c>
      <c r="C391" t="s">
        <v>96</v>
      </c>
      <c r="D391" t="s">
        <v>174</v>
      </c>
      <c r="E391" t="s">
        <v>175</v>
      </c>
      <c r="F391" t="s">
        <v>118</v>
      </c>
      <c r="G391">
        <v>23484</v>
      </c>
      <c r="H391" t="s">
        <v>183</v>
      </c>
      <c r="I391">
        <v>1</v>
      </c>
      <c r="J391" t="s">
        <v>103</v>
      </c>
      <c r="K391" s="19">
        <v>0.25</v>
      </c>
      <c r="L391" s="19">
        <v>0.58333333333333337</v>
      </c>
      <c r="M391">
        <v>8</v>
      </c>
      <c r="N391">
        <v>263.32</v>
      </c>
      <c r="O391">
        <v>52.5</v>
      </c>
      <c r="P391">
        <v>76</v>
      </c>
      <c r="Q391" t="s">
        <v>99</v>
      </c>
      <c r="R391">
        <v>30</v>
      </c>
      <c r="S391" s="19">
        <v>0.4375</v>
      </c>
      <c r="T391">
        <v>0</v>
      </c>
      <c r="U391" s="19">
        <v>0.54166666666666663</v>
      </c>
      <c r="V391" t="s">
        <v>99</v>
      </c>
      <c r="W391">
        <v>7.5</v>
      </c>
      <c r="X391" t="s">
        <v>102</v>
      </c>
      <c r="Y391" t="b">
        <v>0</v>
      </c>
    </row>
    <row r="392" spans="1:25" x14ac:dyDescent="0.55000000000000004">
      <c r="A392" t="s">
        <v>94</v>
      </c>
      <c r="B392" t="s">
        <v>173</v>
      </c>
      <c r="C392" t="s">
        <v>96</v>
      </c>
      <c r="D392" t="s">
        <v>174</v>
      </c>
      <c r="E392" t="s">
        <v>175</v>
      </c>
      <c r="F392" t="s">
        <v>118</v>
      </c>
      <c r="G392">
        <v>23520</v>
      </c>
      <c r="H392" t="s">
        <v>184</v>
      </c>
      <c r="I392">
        <v>1</v>
      </c>
      <c r="J392" t="s">
        <v>107</v>
      </c>
      <c r="K392" s="19">
        <v>0.25</v>
      </c>
      <c r="L392" s="19">
        <v>0.58333333333333337</v>
      </c>
      <c r="M392">
        <v>8</v>
      </c>
      <c r="N392">
        <v>263.32</v>
      </c>
      <c r="O392">
        <v>67.5</v>
      </c>
      <c r="P392">
        <v>76</v>
      </c>
      <c r="Q392" t="s">
        <v>99</v>
      </c>
      <c r="R392">
        <v>30</v>
      </c>
      <c r="S392" s="19">
        <v>0.45833333333333331</v>
      </c>
      <c r="T392">
        <v>0</v>
      </c>
      <c r="U392" s="19">
        <v>0.54166666666666663</v>
      </c>
      <c r="V392" t="s">
        <v>99</v>
      </c>
      <c r="W392">
        <v>7.5</v>
      </c>
      <c r="X392" t="s">
        <v>102</v>
      </c>
      <c r="Y392" t="b">
        <v>0</v>
      </c>
    </row>
    <row r="393" spans="1:25" x14ac:dyDescent="0.55000000000000004">
      <c r="A393" t="s">
        <v>94</v>
      </c>
      <c r="B393" t="s">
        <v>173</v>
      </c>
      <c r="C393" t="s">
        <v>96</v>
      </c>
      <c r="D393" t="s">
        <v>174</v>
      </c>
      <c r="E393" t="s">
        <v>175</v>
      </c>
      <c r="F393" t="s">
        <v>118</v>
      </c>
      <c r="G393">
        <v>24241</v>
      </c>
      <c r="H393" t="s">
        <v>185</v>
      </c>
      <c r="I393">
        <v>1</v>
      </c>
      <c r="J393" t="s">
        <v>101</v>
      </c>
      <c r="K393" s="19">
        <v>0.25</v>
      </c>
      <c r="L393" s="19">
        <v>0.58333333333333337</v>
      </c>
      <c r="M393">
        <v>8</v>
      </c>
      <c r="N393">
        <v>263.32</v>
      </c>
      <c r="O393">
        <v>60</v>
      </c>
      <c r="P393">
        <v>76</v>
      </c>
      <c r="Q393" t="s">
        <v>99</v>
      </c>
      <c r="R393">
        <v>30</v>
      </c>
      <c r="S393" s="19">
        <v>0.45833333333333331</v>
      </c>
      <c r="T393">
        <v>0</v>
      </c>
      <c r="U393" s="19">
        <v>0</v>
      </c>
      <c r="V393" t="s">
        <v>99</v>
      </c>
      <c r="W393">
        <v>7.5</v>
      </c>
      <c r="X393" t="s">
        <v>102</v>
      </c>
      <c r="Y393" t="b">
        <v>0</v>
      </c>
    </row>
    <row r="394" spans="1:25" x14ac:dyDescent="0.55000000000000004">
      <c r="A394" t="s">
        <v>94</v>
      </c>
      <c r="B394" t="s">
        <v>173</v>
      </c>
      <c r="C394" t="s">
        <v>96</v>
      </c>
      <c r="D394" t="s">
        <v>174</v>
      </c>
      <c r="E394" t="s">
        <v>175</v>
      </c>
      <c r="F394" t="s">
        <v>118</v>
      </c>
      <c r="G394">
        <v>24241</v>
      </c>
      <c r="H394" t="s">
        <v>185</v>
      </c>
      <c r="I394">
        <v>1</v>
      </c>
      <c r="J394" t="s">
        <v>115</v>
      </c>
      <c r="K394" s="19">
        <v>0.25</v>
      </c>
      <c r="L394" s="19">
        <v>0.58333333333333337</v>
      </c>
      <c r="M394">
        <v>8</v>
      </c>
      <c r="N394">
        <v>394.99</v>
      </c>
      <c r="O394">
        <v>60</v>
      </c>
      <c r="P394">
        <v>76</v>
      </c>
      <c r="Q394" t="s">
        <v>99</v>
      </c>
      <c r="R394">
        <v>30</v>
      </c>
      <c r="S394" s="19">
        <v>0.45833333333333331</v>
      </c>
      <c r="T394">
        <v>0</v>
      </c>
      <c r="U394" s="19">
        <v>0</v>
      </c>
      <c r="V394" t="s">
        <v>99</v>
      </c>
      <c r="W394">
        <v>7.5</v>
      </c>
      <c r="X394" t="s">
        <v>102</v>
      </c>
      <c r="Y394" t="b">
        <v>0</v>
      </c>
    </row>
    <row r="395" spans="1:25" x14ac:dyDescent="0.55000000000000004">
      <c r="A395" t="s">
        <v>94</v>
      </c>
      <c r="B395" t="s">
        <v>173</v>
      </c>
      <c r="C395" t="s">
        <v>96</v>
      </c>
      <c r="D395" t="s">
        <v>174</v>
      </c>
      <c r="E395" t="s">
        <v>175</v>
      </c>
      <c r="F395" t="s">
        <v>118</v>
      </c>
      <c r="G395">
        <v>24241</v>
      </c>
      <c r="H395" t="s">
        <v>185</v>
      </c>
      <c r="I395">
        <v>1</v>
      </c>
      <c r="J395" t="s">
        <v>116</v>
      </c>
      <c r="K395" s="19">
        <v>0.25</v>
      </c>
      <c r="L395" s="19">
        <v>0.58333333333333337</v>
      </c>
      <c r="M395">
        <v>8</v>
      </c>
      <c r="N395">
        <v>460.82</v>
      </c>
      <c r="O395">
        <v>60</v>
      </c>
      <c r="P395">
        <v>76</v>
      </c>
      <c r="Q395" t="s">
        <v>99</v>
      </c>
      <c r="R395">
        <v>30</v>
      </c>
      <c r="S395" s="19">
        <v>0.45833333333333331</v>
      </c>
      <c r="T395">
        <v>0</v>
      </c>
      <c r="U395" s="19">
        <v>0</v>
      </c>
      <c r="V395" t="s">
        <v>99</v>
      </c>
      <c r="W395">
        <v>7.5</v>
      </c>
      <c r="X395" t="s">
        <v>102</v>
      </c>
      <c r="Y395" t="b">
        <v>0</v>
      </c>
    </row>
    <row r="396" spans="1:25" x14ac:dyDescent="0.55000000000000004">
      <c r="A396" t="s">
        <v>94</v>
      </c>
      <c r="B396" t="s">
        <v>173</v>
      </c>
      <c r="C396" t="s">
        <v>96</v>
      </c>
      <c r="D396" t="s">
        <v>174</v>
      </c>
      <c r="E396" t="s">
        <v>175</v>
      </c>
      <c r="F396" t="s">
        <v>118</v>
      </c>
      <c r="G396">
        <v>24241</v>
      </c>
      <c r="H396" t="s">
        <v>185</v>
      </c>
      <c r="I396">
        <v>2</v>
      </c>
      <c r="J396" t="s">
        <v>107</v>
      </c>
      <c r="K396" s="19">
        <v>0.25</v>
      </c>
      <c r="L396" s="19">
        <v>0.58333333333333337</v>
      </c>
      <c r="M396">
        <v>8</v>
      </c>
      <c r="N396">
        <v>263.32</v>
      </c>
      <c r="O396">
        <v>60</v>
      </c>
      <c r="P396">
        <v>76</v>
      </c>
      <c r="Q396" t="s">
        <v>99</v>
      </c>
      <c r="R396">
        <v>30</v>
      </c>
      <c r="S396" s="19">
        <v>0.45833333333333331</v>
      </c>
      <c r="T396">
        <v>0</v>
      </c>
      <c r="U396" s="19">
        <v>0</v>
      </c>
      <c r="V396" t="s">
        <v>99</v>
      </c>
      <c r="W396">
        <v>7.5</v>
      </c>
      <c r="X396" t="s">
        <v>102</v>
      </c>
      <c r="Y396" t="b">
        <v>0</v>
      </c>
    </row>
    <row r="397" spans="1:25" x14ac:dyDescent="0.55000000000000004">
      <c r="A397" t="s">
        <v>94</v>
      </c>
      <c r="B397" t="s">
        <v>173</v>
      </c>
      <c r="C397" t="s">
        <v>96</v>
      </c>
      <c r="D397" t="s">
        <v>174</v>
      </c>
      <c r="E397" t="s">
        <v>175</v>
      </c>
      <c r="F397" t="s">
        <v>118</v>
      </c>
      <c r="G397">
        <v>24336</v>
      </c>
      <c r="H397" t="s">
        <v>186</v>
      </c>
      <c r="I397">
        <v>1</v>
      </c>
      <c r="J397" t="s">
        <v>115</v>
      </c>
      <c r="K397" s="19">
        <v>0.25</v>
      </c>
      <c r="L397" s="19">
        <v>0.60416666666666663</v>
      </c>
      <c r="M397">
        <v>8.5</v>
      </c>
      <c r="N397">
        <v>0</v>
      </c>
      <c r="O397">
        <v>16</v>
      </c>
      <c r="P397">
        <v>76</v>
      </c>
      <c r="Q397" t="s">
        <v>99</v>
      </c>
      <c r="R397">
        <v>30</v>
      </c>
      <c r="S397" s="19">
        <v>0.4375</v>
      </c>
      <c r="T397">
        <v>0</v>
      </c>
      <c r="U397" s="19">
        <v>0.54166666666666663</v>
      </c>
      <c r="V397" t="s">
        <v>99</v>
      </c>
      <c r="W397">
        <v>8</v>
      </c>
      <c r="X397" t="s">
        <v>102</v>
      </c>
      <c r="Y397" t="b">
        <v>0</v>
      </c>
    </row>
    <row r="398" spans="1:25" x14ac:dyDescent="0.55000000000000004">
      <c r="A398" t="s">
        <v>94</v>
      </c>
      <c r="B398" t="s">
        <v>173</v>
      </c>
      <c r="C398" t="s">
        <v>96</v>
      </c>
      <c r="D398" t="s">
        <v>174</v>
      </c>
      <c r="E398" t="s">
        <v>175</v>
      </c>
      <c r="F398" t="s">
        <v>118</v>
      </c>
      <c r="G398">
        <v>24479</v>
      </c>
      <c r="H398" t="s">
        <v>187</v>
      </c>
      <c r="I398">
        <v>1</v>
      </c>
      <c r="J398" t="s">
        <v>104</v>
      </c>
      <c r="K398" s="19">
        <v>0.25</v>
      </c>
      <c r="L398" s="19">
        <v>0.58333333333333337</v>
      </c>
      <c r="M398">
        <v>8</v>
      </c>
      <c r="N398">
        <v>263.32</v>
      </c>
      <c r="O398">
        <v>67.5</v>
      </c>
      <c r="P398">
        <v>76</v>
      </c>
      <c r="Q398" t="s">
        <v>99</v>
      </c>
      <c r="R398">
        <v>30</v>
      </c>
      <c r="S398" s="19">
        <v>0.45833333333333331</v>
      </c>
      <c r="T398">
        <v>0</v>
      </c>
      <c r="U398" s="19">
        <v>0.54166666666666663</v>
      </c>
      <c r="V398" t="s">
        <v>99</v>
      </c>
      <c r="W398">
        <v>7.5</v>
      </c>
      <c r="X398" t="s">
        <v>102</v>
      </c>
      <c r="Y398" t="b">
        <v>0</v>
      </c>
    </row>
    <row r="399" spans="1:25" x14ac:dyDescent="0.55000000000000004">
      <c r="A399" t="s">
        <v>94</v>
      </c>
      <c r="B399" t="s">
        <v>173</v>
      </c>
      <c r="C399" t="s">
        <v>96</v>
      </c>
      <c r="D399" t="s">
        <v>174</v>
      </c>
      <c r="E399" t="s">
        <v>175</v>
      </c>
      <c r="F399" t="s">
        <v>118</v>
      </c>
      <c r="G399">
        <v>24479</v>
      </c>
      <c r="H399" t="s">
        <v>187</v>
      </c>
      <c r="I399">
        <v>1</v>
      </c>
      <c r="J399" t="s">
        <v>105</v>
      </c>
      <c r="K399" s="19">
        <v>0.25</v>
      </c>
      <c r="L399" s="19">
        <v>0.58333333333333337</v>
      </c>
      <c r="M399">
        <v>8</v>
      </c>
      <c r="N399">
        <v>263.32</v>
      </c>
      <c r="O399">
        <v>67.5</v>
      </c>
      <c r="P399">
        <v>76</v>
      </c>
      <c r="Q399" t="s">
        <v>99</v>
      </c>
      <c r="R399">
        <v>30</v>
      </c>
      <c r="S399" s="19">
        <v>0.45833333333333331</v>
      </c>
      <c r="T399">
        <v>0</v>
      </c>
      <c r="U399" s="19">
        <v>0.54166666666666663</v>
      </c>
      <c r="V399" t="s">
        <v>99</v>
      </c>
      <c r="W399">
        <v>7.5</v>
      </c>
      <c r="X399" t="s">
        <v>102</v>
      </c>
      <c r="Y399" t="b">
        <v>0</v>
      </c>
    </row>
    <row r="400" spans="1:25" x14ac:dyDescent="0.55000000000000004">
      <c r="A400" t="s">
        <v>94</v>
      </c>
      <c r="B400" t="s">
        <v>173</v>
      </c>
      <c r="C400" t="s">
        <v>96</v>
      </c>
      <c r="D400" t="s">
        <v>174</v>
      </c>
      <c r="E400" t="s">
        <v>175</v>
      </c>
      <c r="F400" t="s">
        <v>118</v>
      </c>
      <c r="G400">
        <v>24479</v>
      </c>
      <c r="H400" t="s">
        <v>187</v>
      </c>
      <c r="I400">
        <v>2</v>
      </c>
      <c r="J400" t="s">
        <v>105</v>
      </c>
      <c r="K400" s="19">
        <v>0.25</v>
      </c>
      <c r="L400" s="19">
        <v>0.58333333333333337</v>
      </c>
      <c r="M400">
        <v>8</v>
      </c>
      <c r="N400">
        <v>263.32</v>
      </c>
      <c r="O400">
        <v>67.5</v>
      </c>
      <c r="P400">
        <v>76</v>
      </c>
      <c r="Q400" t="s">
        <v>99</v>
      </c>
      <c r="R400">
        <v>30</v>
      </c>
      <c r="S400" s="19">
        <v>0.45833333333333331</v>
      </c>
      <c r="T400">
        <v>0</v>
      </c>
      <c r="U400" s="19">
        <v>0.54166666666666663</v>
      </c>
      <c r="V400" t="s">
        <v>99</v>
      </c>
      <c r="W400">
        <v>7.5</v>
      </c>
      <c r="X400" t="s">
        <v>102</v>
      </c>
      <c r="Y400" t="b">
        <v>0</v>
      </c>
    </row>
    <row r="401" spans="1:25" x14ac:dyDescent="0.55000000000000004">
      <c r="A401" t="s">
        <v>94</v>
      </c>
      <c r="B401" t="s">
        <v>173</v>
      </c>
      <c r="C401" t="s">
        <v>96</v>
      </c>
      <c r="D401" t="s">
        <v>174</v>
      </c>
      <c r="E401" t="s">
        <v>175</v>
      </c>
      <c r="F401" t="s">
        <v>118</v>
      </c>
      <c r="G401">
        <v>24880</v>
      </c>
      <c r="H401" t="s">
        <v>188</v>
      </c>
      <c r="I401">
        <v>1</v>
      </c>
      <c r="J401" t="s">
        <v>101</v>
      </c>
      <c r="K401" s="19">
        <v>0.25</v>
      </c>
      <c r="L401" s="19">
        <v>0.58333333333333337</v>
      </c>
      <c r="M401">
        <v>8</v>
      </c>
      <c r="N401">
        <v>263.32</v>
      </c>
      <c r="O401">
        <v>22.5</v>
      </c>
      <c r="P401">
        <v>76</v>
      </c>
      <c r="Q401" t="s">
        <v>99</v>
      </c>
      <c r="R401">
        <v>30</v>
      </c>
      <c r="S401" s="19">
        <v>0.45833333333333331</v>
      </c>
      <c r="T401">
        <v>0</v>
      </c>
      <c r="U401" s="19">
        <v>0.54166666666666663</v>
      </c>
      <c r="V401" t="s">
        <v>99</v>
      </c>
      <c r="W401">
        <v>7.5</v>
      </c>
      <c r="X401" t="s">
        <v>102</v>
      </c>
      <c r="Y401" t="b">
        <v>0</v>
      </c>
    </row>
    <row r="402" spans="1:25" x14ac:dyDescent="0.55000000000000004">
      <c r="A402" t="s">
        <v>94</v>
      </c>
      <c r="B402" t="s">
        <v>173</v>
      </c>
      <c r="C402" t="s">
        <v>96</v>
      </c>
      <c r="D402" t="s">
        <v>174</v>
      </c>
      <c r="E402" t="s">
        <v>175</v>
      </c>
      <c r="F402" t="s">
        <v>118</v>
      </c>
      <c r="G402">
        <v>24900</v>
      </c>
      <c r="H402" t="s">
        <v>189</v>
      </c>
      <c r="I402">
        <v>1</v>
      </c>
      <c r="J402" t="s">
        <v>104</v>
      </c>
      <c r="K402" s="19">
        <v>0.25</v>
      </c>
      <c r="L402" s="19">
        <v>0.58333333333333337</v>
      </c>
      <c r="M402">
        <v>8</v>
      </c>
      <c r="N402">
        <v>0</v>
      </c>
      <c r="O402">
        <v>30</v>
      </c>
      <c r="P402">
        <v>76</v>
      </c>
      <c r="Q402" t="s">
        <v>99</v>
      </c>
      <c r="R402">
        <v>30</v>
      </c>
      <c r="S402" s="19">
        <v>0.45833333333333331</v>
      </c>
      <c r="T402">
        <v>0</v>
      </c>
      <c r="U402" s="19">
        <v>0.54166666666666663</v>
      </c>
      <c r="V402" t="s">
        <v>99</v>
      </c>
      <c r="W402">
        <v>7.5</v>
      </c>
      <c r="X402" t="s">
        <v>102</v>
      </c>
      <c r="Y402" t="b">
        <v>0</v>
      </c>
    </row>
    <row r="403" spans="1:25" x14ac:dyDescent="0.55000000000000004">
      <c r="A403" t="s">
        <v>94</v>
      </c>
      <c r="B403" t="s">
        <v>173</v>
      </c>
      <c r="C403" t="s">
        <v>96</v>
      </c>
      <c r="D403" t="s">
        <v>174</v>
      </c>
      <c r="E403" t="s">
        <v>175</v>
      </c>
      <c r="F403" t="s">
        <v>118</v>
      </c>
      <c r="G403">
        <v>24900</v>
      </c>
      <c r="H403" t="s">
        <v>189</v>
      </c>
      <c r="I403">
        <v>1</v>
      </c>
      <c r="J403" t="s">
        <v>105</v>
      </c>
      <c r="K403" s="19">
        <v>0.25</v>
      </c>
      <c r="L403" s="19">
        <v>0.58333333333333337</v>
      </c>
      <c r="M403">
        <v>8</v>
      </c>
      <c r="N403">
        <v>0</v>
      </c>
      <c r="O403">
        <v>30</v>
      </c>
      <c r="P403">
        <v>76</v>
      </c>
      <c r="Q403" t="s">
        <v>99</v>
      </c>
      <c r="R403">
        <v>30</v>
      </c>
      <c r="S403" s="19">
        <v>0.45833333333333331</v>
      </c>
      <c r="T403">
        <v>0</v>
      </c>
      <c r="U403" s="19">
        <v>0.54166666666666663</v>
      </c>
      <c r="V403" t="s">
        <v>99</v>
      </c>
      <c r="W403">
        <v>7.5</v>
      </c>
      <c r="X403" t="s">
        <v>102</v>
      </c>
      <c r="Y403" t="b">
        <v>0</v>
      </c>
    </row>
    <row r="404" spans="1:25" x14ac:dyDescent="0.55000000000000004">
      <c r="A404" t="s">
        <v>94</v>
      </c>
      <c r="B404" t="s">
        <v>173</v>
      </c>
      <c r="C404" t="s">
        <v>96</v>
      </c>
      <c r="D404" t="s">
        <v>174</v>
      </c>
      <c r="E404" t="s">
        <v>175</v>
      </c>
      <c r="F404" t="s">
        <v>118</v>
      </c>
      <c r="G404">
        <v>24900</v>
      </c>
      <c r="H404" t="s">
        <v>189</v>
      </c>
      <c r="I404">
        <v>2</v>
      </c>
      <c r="J404" t="s">
        <v>104</v>
      </c>
      <c r="K404" s="19">
        <v>0.25</v>
      </c>
      <c r="L404" s="19">
        <v>0.58333333333333337</v>
      </c>
      <c r="M404">
        <v>8</v>
      </c>
      <c r="N404">
        <v>0</v>
      </c>
      <c r="O404">
        <v>30</v>
      </c>
      <c r="P404">
        <v>76</v>
      </c>
      <c r="Q404" t="s">
        <v>99</v>
      </c>
      <c r="R404">
        <v>30</v>
      </c>
      <c r="S404" s="19">
        <v>0.45833333333333331</v>
      </c>
      <c r="T404">
        <v>0</v>
      </c>
      <c r="U404" s="19">
        <v>0.54166666666666663</v>
      </c>
      <c r="V404" t="s">
        <v>99</v>
      </c>
      <c r="W404">
        <v>7.5</v>
      </c>
      <c r="X404" t="s">
        <v>102</v>
      </c>
      <c r="Y404" t="b">
        <v>0</v>
      </c>
    </row>
    <row r="405" spans="1:25" x14ac:dyDescent="0.55000000000000004">
      <c r="A405" t="s">
        <v>94</v>
      </c>
      <c r="B405" t="s">
        <v>173</v>
      </c>
      <c r="C405" t="s">
        <v>96</v>
      </c>
      <c r="D405" t="s">
        <v>174</v>
      </c>
      <c r="E405" t="s">
        <v>175</v>
      </c>
      <c r="F405" t="s">
        <v>118</v>
      </c>
      <c r="G405">
        <v>24900</v>
      </c>
      <c r="H405" t="s">
        <v>189</v>
      </c>
      <c r="I405">
        <v>2</v>
      </c>
      <c r="J405" t="s">
        <v>105</v>
      </c>
      <c r="K405" s="19">
        <v>0.25</v>
      </c>
      <c r="L405" s="19">
        <v>0.58333333333333337</v>
      </c>
      <c r="M405">
        <v>8</v>
      </c>
      <c r="N405">
        <v>0</v>
      </c>
      <c r="O405">
        <v>30</v>
      </c>
      <c r="P405">
        <v>76</v>
      </c>
      <c r="Q405" t="s">
        <v>99</v>
      </c>
      <c r="R405">
        <v>30</v>
      </c>
      <c r="S405" s="19">
        <v>0.4375</v>
      </c>
      <c r="T405">
        <v>0</v>
      </c>
      <c r="U405" s="19">
        <v>0</v>
      </c>
      <c r="V405" t="s">
        <v>99</v>
      </c>
      <c r="W405">
        <v>7.5</v>
      </c>
      <c r="X405" t="s">
        <v>102</v>
      </c>
      <c r="Y405" t="b">
        <v>0</v>
      </c>
    </row>
    <row r="406" spans="1:25" x14ac:dyDescent="0.55000000000000004">
      <c r="A406" t="s">
        <v>94</v>
      </c>
      <c r="B406" t="s">
        <v>173</v>
      </c>
      <c r="C406" t="s">
        <v>96</v>
      </c>
      <c r="D406" t="s">
        <v>174</v>
      </c>
      <c r="E406" t="s">
        <v>175</v>
      </c>
      <c r="F406" t="s">
        <v>118</v>
      </c>
      <c r="G406">
        <v>25209</v>
      </c>
      <c r="H406" t="s">
        <v>190</v>
      </c>
      <c r="I406">
        <v>2</v>
      </c>
      <c r="J406" t="s">
        <v>116</v>
      </c>
      <c r="K406" s="19">
        <v>0.25</v>
      </c>
      <c r="L406" s="19">
        <v>0.58333333333333337</v>
      </c>
      <c r="M406">
        <v>8</v>
      </c>
      <c r="N406">
        <v>460.82</v>
      </c>
      <c r="O406">
        <v>37.5</v>
      </c>
      <c r="P406">
        <v>76</v>
      </c>
      <c r="Q406" t="s">
        <v>99</v>
      </c>
      <c r="R406">
        <v>30</v>
      </c>
      <c r="S406" s="19">
        <v>0.45833333333333331</v>
      </c>
      <c r="T406">
        <v>0</v>
      </c>
      <c r="U406" s="19">
        <v>0.54166666666666663</v>
      </c>
      <c r="V406" t="s">
        <v>99</v>
      </c>
      <c r="W406">
        <v>7.5</v>
      </c>
      <c r="X406" t="s">
        <v>102</v>
      </c>
      <c r="Y406" t="b">
        <v>0</v>
      </c>
    </row>
    <row r="407" spans="1:25" x14ac:dyDescent="0.55000000000000004">
      <c r="A407" t="s">
        <v>94</v>
      </c>
      <c r="B407" t="s">
        <v>173</v>
      </c>
      <c r="C407" t="s">
        <v>96</v>
      </c>
      <c r="D407" t="s">
        <v>174</v>
      </c>
      <c r="E407" t="s">
        <v>175</v>
      </c>
      <c r="F407" t="s">
        <v>118</v>
      </c>
      <c r="G407">
        <v>26072</v>
      </c>
      <c r="H407" t="s">
        <v>191</v>
      </c>
      <c r="I407">
        <v>1</v>
      </c>
      <c r="J407" t="s">
        <v>115</v>
      </c>
      <c r="K407" s="19">
        <v>0.25</v>
      </c>
      <c r="L407" s="19">
        <v>0.58333333333333337</v>
      </c>
      <c r="M407">
        <v>8</v>
      </c>
      <c r="N407">
        <v>0</v>
      </c>
      <c r="O407">
        <v>45</v>
      </c>
      <c r="P407">
        <v>76</v>
      </c>
      <c r="Q407" t="s">
        <v>99</v>
      </c>
      <c r="R407">
        <v>30</v>
      </c>
      <c r="S407" s="19">
        <v>0.45833333333333331</v>
      </c>
      <c r="T407">
        <v>0</v>
      </c>
      <c r="U407" s="19">
        <v>0.54166666666666663</v>
      </c>
      <c r="V407" t="s">
        <v>99</v>
      </c>
      <c r="W407">
        <v>7.5</v>
      </c>
      <c r="X407" t="s">
        <v>102</v>
      </c>
      <c r="Y407" t="b">
        <v>0</v>
      </c>
    </row>
    <row r="408" spans="1:25" x14ac:dyDescent="0.55000000000000004">
      <c r="A408" t="s">
        <v>94</v>
      </c>
      <c r="B408" t="s">
        <v>173</v>
      </c>
      <c r="C408" t="s">
        <v>96</v>
      </c>
      <c r="D408" t="s">
        <v>174</v>
      </c>
      <c r="E408" t="s">
        <v>175</v>
      </c>
      <c r="F408" t="s">
        <v>118</v>
      </c>
      <c r="G408">
        <v>26072</v>
      </c>
      <c r="H408" t="s">
        <v>191</v>
      </c>
      <c r="I408">
        <v>2</v>
      </c>
      <c r="J408" t="s">
        <v>116</v>
      </c>
      <c r="K408" s="19">
        <v>0.25</v>
      </c>
      <c r="L408" s="19">
        <v>0.58333333333333337</v>
      </c>
      <c r="M408">
        <v>8</v>
      </c>
      <c r="N408">
        <v>0</v>
      </c>
      <c r="O408">
        <v>45</v>
      </c>
      <c r="P408">
        <v>76</v>
      </c>
      <c r="Q408" t="s">
        <v>99</v>
      </c>
      <c r="R408">
        <v>30</v>
      </c>
      <c r="S408" s="19">
        <v>0.45833333333333331</v>
      </c>
      <c r="T408">
        <v>0</v>
      </c>
      <c r="U408" s="19">
        <v>0.54166666666666663</v>
      </c>
      <c r="V408" t="s">
        <v>99</v>
      </c>
      <c r="W408">
        <v>7.5</v>
      </c>
      <c r="X408" t="s">
        <v>102</v>
      </c>
      <c r="Y408" t="b">
        <v>0</v>
      </c>
    </row>
    <row r="409" spans="1:25" x14ac:dyDescent="0.55000000000000004">
      <c r="A409" t="s">
        <v>94</v>
      </c>
      <c r="B409" t="s">
        <v>173</v>
      </c>
      <c r="C409" t="s">
        <v>96</v>
      </c>
      <c r="D409" t="s">
        <v>174</v>
      </c>
      <c r="E409" t="s">
        <v>175</v>
      </c>
      <c r="F409" t="s">
        <v>118</v>
      </c>
      <c r="G409">
        <v>26320</v>
      </c>
      <c r="H409" t="s">
        <v>192</v>
      </c>
      <c r="I409">
        <v>2</v>
      </c>
      <c r="J409" t="s">
        <v>115</v>
      </c>
      <c r="K409" s="19">
        <v>0.25</v>
      </c>
      <c r="L409" s="19">
        <v>0.58333333333333337</v>
      </c>
      <c r="M409">
        <v>8</v>
      </c>
      <c r="N409">
        <v>394.99</v>
      </c>
      <c r="O409">
        <v>0</v>
      </c>
      <c r="P409">
        <v>76</v>
      </c>
      <c r="Q409" t="s">
        <v>99</v>
      </c>
      <c r="R409">
        <v>30</v>
      </c>
      <c r="S409" s="19">
        <v>0.45833333333333331</v>
      </c>
      <c r="T409">
        <v>0</v>
      </c>
      <c r="U409" s="19">
        <v>0.54166666666666663</v>
      </c>
      <c r="V409" t="s">
        <v>99</v>
      </c>
      <c r="W409">
        <v>7.5</v>
      </c>
      <c r="X409" t="s">
        <v>102</v>
      </c>
      <c r="Y409" t="b">
        <v>0</v>
      </c>
    </row>
    <row r="410" spans="1:25" x14ac:dyDescent="0.55000000000000004">
      <c r="A410" t="s">
        <v>94</v>
      </c>
      <c r="B410" t="s">
        <v>173</v>
      </c>
      <c r="C410" t="s">
        <v>96</v>
      </c>
      <c r="D410" t="s">
        <v>174</v>
      </c>
      <c r="E410" t="s">
        <v>175</v>
      </c>
      <c r="F410" t="s">
        <v>118</v>
      </c>
      <c r="G410">
        <v>26407</v>
      </c>
      <c r="H410" t="s">
        <v>193</v>
      </c>
      <c r="I410">
        <v>2</v>
      </c>
      <c r="J410" t="s">
        <v>115</v>
      </c>
      <c r="K410" s="19">
        <v>0.25</v>
      </c>
      <c r="L410" s="19">
        <v>0.58333333333333337</v>
      </c>
      <c r="M410">
        <v>8</v>
      </c>
      <c r="N410">
        <v>394.99</v>
      </c>
      <c r="O410">
        <v>45</v>
      </c>
      <c r="P410">
        <v>76</v>
      </c>
      <c r="Q410" t="s">
        <v>99</v>
      </c>
      <c r="R410">
        <v>30</v>
      </c>
      <c r="S410" s="19">
        <v>0.45833333333333331</v>
      </c>
      <c r="T410">
        <v>0</v>
      </c>
      <c r="U410" s="19">
        <v>0.54166666666666663</v>
      </c>
      <c r="V410" t="s">
        <v>99</v>
      </c>
      <c r="W410">
        <v>7.5</v>
      </c>
      <c r="X410" t="s">
        <v>102</v>
      </c>
      <c r="Y410" t="b">
        <v>0</v>
      </c>
    </row>
    <row r="411" spans="1:25" x14ac:dyDescent="0.55000000000000004">
      <c r="A411" t="s">
        <v>94</v>
      </c>
      <c r="B411" t="s">
        <v>173</v>
      </c>
      <c r="C411" t="s">
        <v>96</v>
      </c>
      <c r="D411" t="s">
        <v>174</v>
      </c>
      <c r="E411" t="s">
        <v>175</v>
      </c>
      <c r="F411" t="s">
        <v>118</v>
      </c>
      <c r="G411">
        <v>26407</v>
      </c>
      <c r="H411" t="s">
        <v>193</v>
      </c>
      <c r="I411">
        <v>2</v>
      </c>
      <c r="J411" t="s">
        <v>116</v>
      </c>
      <c r="K411" s="19">
        <v>0.25</v>
      </c>
      <c r="L411" s="19">
        <v>0.58333333333333337</v>
      </c>
      <c r="M411">
        <v>8</v>
      </c>
      <c r="N411">
        <v>460.82</v>
      </c>
      <c r="O411">
        <v>45</v>
      </c>
      <c r="P411">
        <v>76</v>
      </c>
      <c r="Q411" t="s">
        <v>99</v>
      </c>
      <c r="R411">
        <v>30</v>
      </c>
      <c r="S411" s="19">
        <v>0.45833333333333331</v>
      </c>
      <c r="T411">
        <v>0</v>
      </c>
      <c r="U411" s="19">
        <v>0.54166666666666663</v>
      </c>
      <c r="V411" t="s">
        <v>99</v>
      </c>
      <c r="W411">
        <v>7.5</v>
      </c>
      <c r="X411" t="s">
        <v>102</v>
      </c>
      <c r="Y411" t="b">
        <v>0</v>
      </c>
    </row>
    <row r="412" spans="1:25" x14ac:dyDescent="0.55000000000000004">
      <c r="A412" t="s">
        <v>94</v>
      </c>
      <c r="B412" t="s">
        <v>173</v>
      </c>
      <c r="C412" t="s">
        <v>96</v>
      </c>
      <c r="D412" t="s">
        <v>174</v>
      </c>
      <c r="E412" t="s">
        <v>175</v>
      </c>
      <c r="F412" t="s">
        <v>135</v>
      </c>
      <c r="H412" t="s">
        <v>99</v>
      </c>
      <c r="I412">
        <v>1</v>
      </c>
      <c r="J412" t="s">
        <v>101</v>
      </c>
      <c r="K412" s="19">
        <v>0.25</v>
      </c>
      <c r="L412" s="19">
        <v>0.58333333333333337</v>
      </c>
      <c r="M412">
        <v>8</v>
      </c>
      <c r="N412">
        <v>258.14999999999998</v>
      </c>
      <c r="O412">
        <v>0</v>
      </c>
      <c r="P412">
        <v>0</v>
      </c>
      <c r="Q412" t="s">
        <v>99</v>
      </c>
      <c r="R412">
        <v>30</v>
      </c>
      <c r="S412" s="19">
        <v>0.4375</v>
      </c>
      <c r="T412">
        <v>0</v>
      </c>
      <c r="U412" s="19">
        <v>0</v>
      </c>
      <c r="V412" t="s">
        <v>99</v>
      </c>
      <c r="W412">
        <v>7.5</v>
      </c>
      <c r="X412" t="s">
        <v>102</v>
      </c>
      <c r="Y412" t="b">
        <v>0</v>
      </c>
    </row>
    <row r="413" spans="1:25" x14ac:dyDescent="0.55000000000000004">
      <c r="A413" t="s">
        <v>94</v>
      </c>
      <c r="B413" t="s">
        <v>173</v>
      </c>
      <c r="C413" t="s">
        <v>96</v>
      </c>
      <c r="D413" t="s">
        <v>174</v>
      </c>
      <c r="E413" t="s">
        <v>175</v>
      </c>
      <c r="F413" t="s">
        <v>135</v>
      </c>
      <c r="H413" t="s">
        <v>99</v>
      </c>
      <c r="I413">
        <v>2</v>
      </c>
      <c r="J413" t="s">
        <v>107</v>
      </c>
      <c r="K413" s="19">
        <v>0.25</v>
      </c>
      <c r="L413" s="19">
        <v>0.58333333333333337</v>
      </c>
      <c r="M413">
        <v>8</v>
      </c>
      <c r="N413">
        <v>250.13</v>
      </c>
      <c r="O413">
        <v>0</v>
      </c>
      <c r="P413">
        <v>0</v>
      </c>
      <c r="Q413" t="s">
        <v>99</v>
      </c>
      <c r="R413">
        <v>30</v>
      </c>
      <c r="S413" s="19">
        <v>0.45833333333333331</v>
      </c>
      <c r="T413">
        <v>0</v>
      </c>
      <c r="U413" s="19">
        <v>0.54166666666666663</v>
      </c>
      <c r="V413" t="s">
        <v>99</v>
      </c>
      <c r="W413">
        <v>7.5</v>
      </c>
      <c r="X413" t="s">
        <v>102</v>
      </c>
      <c r="Y413" t="b">
        <v>0</v>
      </c>
    </row>
    <row r="414" spans="1:25" x14ac:dyDescent="0.55000000000000004">
      <c r="A414" t="s">
        <v>94</v>
      </c>
      <c r="B414" t="s">
        <v>173</v>
      </c>
      <c r="C414" t="s">
        <v>96</v>
      </c>
      <c r="D414" t="s">
        <v>174</v>
      </c>
      <c r="E414" t="s">
        <v>175</v>
      </c>
      <c r="F414" t="s">
        <v>135</v>
      </c>
      <c r="H414" t="s">
        <v>99</v>
      </c>
      <c r="I414">
        <v>2</v>
      </c>
      <c r="J414" t="s">
        <v>115</v>
      </c>
      <c r="K414" s="19">
        <v>0.25</v>
      </c>
      <c r="L414" s="19">
        <v>0.58333333333333337</v>
      </c>
      <c r="M414">
        <v>8</v>
      </c>
      <c r="N414">
        <v>0</v>
      </c>
      <c r="O414">
        <v>0</v>
      </c>
      <c r="P414">
        <v>0</v>
      </c>
      <c r="Q414" t="s">
        <v>99</v>
      </c>
      <c r="R414">
        <v>30</v>
      </c>
      <c r="S414" s="19">
        <v>0.4375</v>
      </c>
      <c r="T414">
        <v>0</v>
      </c>
      <c r="U414" s="19">
        <v>0</v>
      </c>
      <c r="V414" t="s">
        <v>99</v>
      </c>
      <c r="W414">
        <v>7.5</v>
      </c>
      <c r="X414" t="s">
        <v>102</v>
      </c>
      <c r="Y414" t="b">
        <v>0</v>
      </c>
    </row>
    <row r="415" spans="1:25" x14ac:dyDescent="0.55000000000000004">
      <c r="A415" t="s">
        <v>94</v>
      </c>
      <c r="B415" t="s">
        <v>173</v>
      </c>
      <c r="C415" t="s">
        <v>96</v>
      </c>
      <c r="D415" t="s">
        <v>174</v>
      </c>
      <c r="E415" t="s">
        <v>175</v>
      </c>
      <c r="F415" t="s">
        <v>135</v>
      </c>
      <c r="G415">
        <v>18462</v>
      </c>
      <c r="H415" t="s">
        <v>177</v>
      </c>
      <c r="I415">
        <v>1</v>
      </c>
      <c r="J415" t="s">
        <v>101</v>
      </c>
      <c r="K415" s="19">
        <v>0.25</v>
      </c>
      <c r="L415" s="19">
        <v>0.58333333333333337</v>
      </c>
      <c r="M415">
        <v>8</v>
      </c>
      <c r="N415">
        <v>0</v>
      </c>
      <c r="O415">
        <v>60</v>
      </c>
      <c r="P415">
        <v>76</v>
      </c>
      <c r="Q415" t="s">
        <v>99</v>
      </c>
      <c r="R415">
        <v>30</v>
      </c>
      <c r="S415" s="19">
        <v>0.4375</v>
      </c>
      <c r="T415">
        <v>0</v>
      </c>
      <c r="U415" s="19">
        <v>0</v>
      </c>
      <c r="V415" t="s">
        <v>99</v>
      </c>
      <c r="W415">
        <v>7.5</v>
      </c>
      <c r="X415" t="s">
        <v>102</v>
      </c>
      <c r="Y415" t="b">
        <v>0</v>
      </c>
    </row>
    <row r="416" spans="1:25" x14ac:dyDescent="0.55000000000000004">
      <c r="A416" t="s">
        <v>94</v>
      </c>
      <c r="B416" t="s">
        <v>173</v>
      </c>
      <c r="C416" t="s">
        <v>96</v>
      </c>
      <c r="D416" t="s">
        <v>174</v>
      </c>
      <c r="E416" t="s">
        <v>175</v>
      </c>
      <c r="F416" t="s">
        <v>135</v>
      </c>
      <c r="G416">
        <v>18462</v>
      </c>
      <c r="H416" t="s">
        <v>177</v>
      </c>
      <c r="I416">
        <v>1</v>
      </c>
      <c r="J416" t="s">
        <v>103</v>
      </c>
      <c r="K416" s="19">
        <v>0.25</v>
      </c>
      <c r="L416" s="19">
        <v>0.58333333333333337</v>
      </c>
      <c r="M416">
        <v>8</v>
      </c>
      <c r="N416">
        <v>0</v>
      </c>
      <c r="O416">
        <v>60</v>
      </c>
      <c r="P416">
        <v>76</v>
      </c>
      <c r="Q416" t="s">
        <v>99</v>
      </c>
      <c r="R416">
        <v>30</v>
      </c>
      <c r="S416" s="19">
        <v>0.4375</v>
      </c>
      <c r="T416">
        <v>0</v>
      </c>
      <c r="U416" s="19">
        <v>0</v>
      </c>
      <c r="V416" t="s">
        <v>99</v>
      </c>
      <c r="W416">
        <v>7.5</v>
      </c>
      <c r="X416" t="s">
        <v>102</v>
      </c>
      <c r="Y416" t="b">
        <v>0</v>
      </c>
    </row>
    <row r="417" spans="1:25" x14ac:dyDescent="0.55000000000000004">
      <c r="A417" t="s">
        <v>94</v>
      </c>
      <c r="B417" t="s">
        <v>173</v>
      </c>
      <c r="C417" t="s">
        <v>96</v>
      </c>
      <c r="D417" t="s">
        <v>174</v>
      </c>
      <c r="E417" t="s">
        <v>175</v>
      </c>
      <c r="F417" t="s">
        <v>135</v>
      </c>
      <c r="G417">
        <v>18462</v>
      </c>
      <c r="H417" t="s">
        <v>177</v>
      </c>
      <c r="I417">
        <v>2</v>
      </c>
      <c r="J417" t="s">
        <v>103</v>
      </c>
      <c r="K417" s="19">
        <v>0.25</v>
      </c>
      <c r="L417" s="19">
        <v>0.58333333333333337</v>
      </c>
      <c r="M417">
        <v>8</v>
      </c>
      <c r="N417">
        <v>0</v>
      </c>
      <c r="O417">
        <v>60</v>
      </c>
      <c r="P417">
        <v>76</v>
      </c>
      <c r="Q417" t="s">
        <v>99</v>
      </c>
      <c r="R417">
        <v>30</v>
      </c>
      <c r="S417" s="19">
        <v>0.4375</v>
      </c>
      <c r="T417">
        <v>0</v>
      </c>
      <c r="U417" s="19">
        <v>0</v>
      </c>
      <c r="V417" t="s">
        <v>99</v>
      </c>
      <c r="W417">
        <v>7.5</v>
      </c>
      <c r="X417" t="s">
        <v>102</v>
      </c>
      <c r="Y417" t="b">
        <v>0</v>
      </c>
    </row>
    <row r="418" spans="1:25" x14ac:dyDescent="0.55000000000000004">
      <c r="A418" t="s">
        <v>94</v>
      </c>
      <c r="B418" t="s">
        <v>173</v>
      </c>
      <c r="C418" t="s">
        <v>96</v>
      </c>
      <c r="D418" t="s">
        <v>174</v>
      </c>
      <c r="E418" t="s">
        <v>175</v>
      </c>
      <c r="F418" t="s">
        <v>135</v>
      </c>
      <c r="G418">
        <v>18462</v>
      </c>
      <c r="H418" t="s">
        <v>177</v>
      </c>
      <c r="I418">
        <v>2</v>
      </c>
      <c r="J418" t="s">
        <v>104</v>
      </c>
      <c r="K418" s="19">
        <v>0.25</v>
      </c>
      <c r="L418" s="19">
        <v>0.58333333333333337</v>
      </c>
      <c r="M418">
        <v>8</v>
      </c>
      <c r="N418">
        <v>0</v>
      </c>
      <c r="O418">
        <v>60</v>
      </c>
      <c r="P418">
        <v>76</v>
      </c>
      <c r="Q418" t="s">
        <v>99</v>
      </c>
      <c r="R418">
        <v>30</v>
      </c>
      <c r="S418" s="19">
        <v>0.4375</v>
      </c>
      <c r="T418">
        <v>0</v>
      </c>
      <c r="U418" s="19">
        <v>0</v>
      </c>
      <c r="V418" t="s">
        <v>99</v>
      </c>
      <c r="W418">
        <v>7.5</v>
      </c>
      <c r="X418" t="s">
        <v>102</v>
      </c>
      <c r="Y418" t="b">
        <v>0</v>
      </c>
    </row>
    <row r="419" spans="1:25" x14ac:dyDescent="0.55000000000000004">
      <c r="A419" t="s">
        <v>94</v>
      </c>
      <c r="B419" t="s">
        <v>173</v>
      </c>
      <c r="C419" t="s">
        <v>96</v>
      </c>
      <c r="D419" t="s">
        <v>174</v>
      </c>
      <c r="E419" t="s">
        <v>175</v>
      </c>
      <c r="F419" t="s">
        <v>135</v>
      </c>
      <c r="G419">
        <v>20863</v>
      </c>
      <c r="H419" t="s">
        <v>178</v>
      </c>
      <c r="I419">
        <v>1</v>
      </c>
      <c r="J419" t="s">
        <v>115</v>
      </c>
      <c r="K419" s="19">
        <v>0.25</v>
      </c>
      <c r="L419" s="19">
        <v>0.58333333333333337</v>
      </c>
      <c r="M419">
        <v>8</v>
      </c>
      <c r="N419">
        <v>0</v>
      </c>
      <c r="O419">
        <v>75</v>
      </c>
      <c r="P419">
        <v>76</v>
      </c>
      <c r="Q419" t="s">
        <v>99</v>
      </c>
      <c r="R419">
        <v>30</v>
      </c>
      <c r="S419" s="19">
        <v>0.4375</v>
      </c>
      <c r="T419">
        <v>0</v>
      </c>
      <c r="U419" s="19">
        <v>0</v>
      </c>
      <c r="V419" t="s">
        <v>99</v>
      </c>
      <c r="W419">
        <v>7.5</v>
      </c>
      <c r="X419" t="s">
        <v>102</v>
      </c>
      <c r="Y419" t="b">
        <v>0</v>
      </c>
    </row>
    <row r="420" spans="1:25" x14ac:dyDescent="0.55000000000000004">
      <c r="A420" t="s">
        <v>94</v>
      </c>
      <c r="B420" t="s">
        <v>173</v>
      </c>
      <c r="C420" t="s">
        <v>96</v>
      </c>
      <c r="D420" t="s">
        <v>174</v>
      </c>
      <c r="E420" t="s">
        <v>175</v>
      </c>
      <c r="F420" t="s">
        <v>135</v>
      </c>
      <c r="G420">
        <v>20863</v>
      </c>
      <c r="H420" t="s">
        <v>178</v>
      </c>
      <c r="I420">
        <v>1</v>
      </c>
      <c r="J420" t="s">
        <v>116</v>
      </c>
      <c r="K420" s="19">
        <v>0.25</v>
      </c>
      <c r="L420" s="19">
        <v>0.58333333333333337</v>
      </c>
      <c r="M420">
        <v>8</v>
      </c>
      <c r="N420">
        <v>0</v>
      </c>
      <c r="O420">
        <v>75</v>
      </c>
      <c r="P420">
        <v>76</v>
      </c>
      <c r="Q420" t="s">
        <v>99</v>
      </c>
      <c r="R420">
        <v>30</v>
      </c>
      <c r="S420" s="19">
        <v>0.4375</v>
      </c>
      <c r="T420">
        <v>0</v>
      </c>
      <c r="U420" s="19">
        <v>0</v>
      </c>
      <c r="V420" t="s">
        <v>99</v>
      </c>
      <c r="W420">
        <v>7.5</v>
      </c>
      <c r="X420" t="s">
        <v>102</v>
      </c>
      <c r="Y420" t="b">
        <v>0</v>
      </c>
    </row>
    <row r="421" spans="1:25" x14ac:dyDescent="0.55000000000000004">
      <c r="A421" t="s">
        <v>94</v>
      </c>
      <c r="B421" t="s">
        <v>173</v>
      </c>
      <c r="C421" t="s">
        <v>96</v>
      </c>
      <c r="D421" t="s">
        <v>174</v>
      </c>
      <c r="E421" t="s">
        <v>175</v>
      </c>
      <c r="F421" t="s">
        <v>135</v>
      </c>
      <c r="G421">
        <v>20863</v>
      </c>
      <c r="H421" t="s">
        <v>178</v>
      </c>
      <c r="I421">
        <v>1</v>
      </c>
      <c r="J421" t="s">
        <v>104</v>
      </c>
      <c r="K421" s="19">
        <v>0.25</v>
      </c>
      <c r="L421" s="19">
        <v>0.58333333333333337</v>
      </c>
      <c r="M421">
        <v>8</v>
      </c>
      <c r="N421">
        <v>0</v>
      </c>
      <c r="O421">
        <v>75</v>
      </c>
      <c r="P421">
        <v>76</v>
      </c>
      <c r="Q421" t="s">
        <v>99</v>
      </c>
      <c r="R421">
        <v>30</v>
      </c>
      <c r="S421" s="19">
        <v>0.4375</v>
      </c>
      <c r="T421">
        <v>0</v>
      </c>
      <c r="U421" s="19">
        <v>0</v>
      </c>
      <c r="V421" t="s">
        <v>99</v>
      </c>
      <c r="W421">
        <v>7.5</v>
      </c>
      <c r="X421" t="s">
        <v>102</v>
      </c>
      <c r="Y421" t="b">
        <v>0</v>
      </c>
    </row>
    <row r="422" spans="1:25" x14ac:dyDescent="0.55000000000000004">
      <c r="A422" t="s">
        <v>94</v>
      </c>
      <c r="B422" t="s">
        <v>173</v>
      </c>
      <c r="C422" t="s">
        <v>96</v>
      </c>
      <c r="D422" t="s">
        <v>174</v>
      </c>
      <c r="E422" t="s">
        <v>175</v>
      </c>
      <c r="F422" t="s">
        <v>135</v>
      </c>
      <c r="G422">
        <v>20863</v>
      </c>
      <c r="H422" t="s">
        <v>178</v>
      </c>
      <c r="I422">
        <v>2</v>
      </c>
      <c r="J422" t="s">
        <v>115</v>
      </c>
      <c r="K422" s="19">
        <v>0.25</v>
      </c>
      <c r="L422" s="19">
        <v>0.58333333333333337</v>
      </c>
      <c r="M422">
        <v>8</v>
      </c>
      <c r="N422">
        <v>0</v>
      </c>
      <c r="O422">
        <v>75</v>
      </c>
      <c r="P422">
        <v>76</v>
      </c>
      <c r="Q422" t="s">
        <v>99</v>
      </c>
      <c r="R422">
        <v>30</v>
      </c>
      <c r="S422" s="19">
        <v>0.4375</v>
      </c>
      <c r="T422">
        <v>0</v>
      </c>
      <c r="U422" s="19">
        <v>0</v>
      </c>
      <c r="V422" t="s">
        <v>99</v>
      </c>
      <c r="W422">
        <v>7.5</v>
      </c>
      <c r="X422" t="s">
        <v>102</v>
      </c>
      <c r="Y422" t="b">
        <v>0</v>
      </c>
    </row>
    <row r="423" spans="1:25" x14ac:dyDescent="0.55000000000000004">
      <c r="A423" t="s">
        <v>94</v>
      </c>
      <c r="B423" t="s">
        <v>173</v>
      </c>
      <c r="C423" t="s">
        <v>96</v>
      </c>
      <c r="D423" t="s">
        <v>174</v>
      </c>
      <c r="E423" t="s">
        <v>175</v>
      </c>
      <c r="F423" t="s">
        <v>135</v>
      </c>
      <c r="G423">
        <v>20863</v>
      </c>
      <c r="H423" t="s">
        <v>178</v>
      </c>
      <c r="I423">
        <v>2</v>
      </c>
      <c r="J423" t="s">
        <v>105</v>
      </c>
      <c r="K423" s="19">
        <v>0.25</v>
      </c>
      <c r="L423" s="19">
        <v>0.58333333333333337</v>
      </c>
      <c r="M423">
        <v>8</v>
      </c>
      <c r="N423">
        <v>0</v>
      </c>
      <c r="O423">
        <v>75</v>
      </c>
      <c r="P423">
        <v>76</v>
      </c>
      <c r="Q423" t="s">
        <v>99</v>
      </c>
      <c r="R423">
        <v>30</v>
      </c>
      <c r="S423" s="19">
        <v>0.45833333333333331</v>
      </c>
      <c r="T423">
        <v>0</v>
      </c>
      <c r="U423" s="19">
        <v>0</v>
      </c>
      <c r="V423" t="s">
        <v>99</v>
      </c>
      <c r="W423">
        <v>7.5</v>
      </c>
      <c r="X423" t="s">
        <v>102</v>
      </c>
      <c r="Y423" t="b">
        <v>0</v>
      </c>
    </row>
    <row r="424" spans="1:25" x14ac:dyDescent="0.55000000000000004">
      <c r="A424" t="s">
        <v>94</v>
      </c>
      <c r="B424" t="s">
        <v>173</v>
      </c>
      <c r="C424" t="s">
        <v>96</v>
      </c>
      <c r="D424" t="s">
        <v>174</v>
      </c>
      <c r="E424" t="s">
        <v>175</v>
      </c>
      <c r="F424" t="s">
        <v>135</v>
      </c>
      <c r="G424">
        <v>22350</v>
      </c>
      <c r="H424" t="s">
        <v>194</v>
      </c>
      <c r="I424">
        <v>1</v>
      </c>
      <c r="J424" t="s">
        <v>101</v>
      </c>
      <c r="K424" s="19">
        <v>0.25</v>
      </c>
      <c r="L424" s="19">
        <v>0.58333333333333337</v>
      </c>
      <c r="M424">
        <v>8</v>
      </c>
      <c r="N424">
        <v>263.32</v>
      </c>
      <c r="O424">
        <v>67.5</v>
      </c>
      <c r="P424">
        <v>76</v>
      </c>
      <c r="Q424" t="s">
        <v>99</v>
      </c>
      <c r="R424">
        <v>30</v>
      </c>
      <c r="S424" s="19">
        <v>0.45833333333333331</v>
      </c>
      <c r="T424">
        <v>0</v>
      </c>
      <c r="U424" s="19">
        <v>0.54166666666666663</v>
      </c>
      <c r="V424" t="s">
        <v>99</v>
      </c>
      <c r="W424">
        <v>7.5</v>
      </c>
      <c r="X424" t="s">
        <v>102</v>
      </c>
      <c r="Y424" t="b">
        <v>0</v>
      </c>
    </row>
    <row r="425" spans="1:25" x14ac:dyDescent="0.55000000000000004">
      <c r="A425" t="s">
        <v>94</v>
      </c>
      <c r="B425" t="s">
        <v>173</v>
      </c>
      <c r="C425" t="s">
        <v>96</v>
      </c>
      <c r="D425" t="s">
        <v>174</v>
      </c>
      <c r="E425" t="s">
        <v>175</v>
      </c>
      <c r="F425" t="s">
        <v>135</v>
      </c>
      <c r="G425">
        <v>22350</v>
      </c>
      <c r="H425" t="s">
        <v>194</v>
      </c>
      <c r="I425">
        <v>1</v>
      </c>
      <c r="J425" t="s">
        <v>116</v>
      </c>
      <c r="K425" s="19">
        <v>0.25</v>
      </c>
      <c r="L425" s="19">
        <v>0.58333333333333337</v>
      </c>
      <c r="M425">
        <v>8</v>
      </c>
      <c r="N425">
        <v>460.82</v>
      </c>
      <c r="O425">
        <v>67.5</v>
      </c>
      <c r="P425">
        <v>76</v>
      </c>
      <c r="Q425" t="s">
        <v>99</v>
      </c>
      <c r="R425">
        <v>30</v>
      </c>
      <c r="S425" s="19">
        <v>0.45833333333333331</v>
      </c>
      <c r="T425">
        <v>0</v>
      </c>
      <c r="U425" s="19">
        <v>0</v>
      </c>
      <c r="V425" t="s">
        <v>99</v>
      </c>
      <c r="W425">
        <v>7.5</v>
      </c>
      <c r="X425" t="s">
        <v>102</v>
      </c>
      <c r="Y425" t="b">
        <v>0</v>
      </c>
    </row>
    <row r="426" spans="1:25" x14ac:dyDescent="0.55000000000000004">
      <c r="A426" t="s">
        <v>94</v>
      </c>
      <c r="B426" t="s">
        <v>173</v>
      </c>
      <c r="C426" t="s">
        <v>96</v>
      </c>
      <c r="D426" t="s">
        <v>174</v>
      </c>
      <c r="E426" t="s">
        <v>175</v>
      </c>
      <c r="F426" t="s">
        <v>135</v>
      </c>
      <c r="G426">
        <v>22350</v>
      </c>
      <c r="H426" t="s">
        <v>194</v>
      </c>
      <c r="I426">
        <v>1</v>
      </c>
      <c r="J426" t="s">
        <v>104</v>
      </c>
      <c r="K426" s="19">
        <v>0.25</v>
      </c>
      <c r="L426" s="19">
        <v>0.58333333333333337</v>
      </c>
      <c r="M426">
        <v>8</v>
      </c>
      <c r="N426">
        <v>263.32</v>
      </c>
      <c r="O426">
        <v>67.5</v>
      </c>
      <c r="P426">
        <v>76</v>
      </c>
      <c r="Q426" t="s">
        <v>99</v>
      </c>
      <c r="R426">
        <v>30</v>
      </c>
      <c r="S426" s="19">
        <v>0.45833333333333331</v>
      </c>
      <c r="T426">
        <v>0</v>
      </c>
      <c r="U426" s="19">
        <v>0.54166666666666663</v>
      </c>
      <c r="V426" t="s">
        <v>99</v>
      </c>
      <c r="W426">
        <v>7.5</v>
      </c>
      <c r="X426" t="s">
        <v>102</v>
      </c>
      <c r="Y426" t="b">
        <v>0</v>
      </c>
    </row>
    <row r="427" spans="1:25" x14ac:dyDescent="0.55000000000000004">
      <c r="A427" t="s">
        <v>94</v>
      </c>
      <c r="B427" t="s">
        <v>173</v>
      </c>
      <c r="C427" t="s">
        <v>96</v>
      </c>
      <c r="D427" t="s">
        <v>174</v>
      </c>
      <c r="E427" t="s">
        <v>175</v>
      </c>
      <c r="F427" t="s">
        <v>135</v>
      </c>
      <c r="G427">
        <v>22350</v>
      </c>
      <c r="H427" t="s">
        <v>194</v>
      </c>
      <c r="I427">
        <v>1</v>
      </c>
      <c r="J427" t="s">
        <v>105</v>
      </c>
      <c r="K427" s="19">
        <v>0.25</v>
      </c>
      <c r="L427" s="19">
        <v>0.58333333333333337</v>
      </c>
      <c r="M427">
        <v>8</v>
      </c>
      <c r="N427">
        <v>263.32</v>
      </c>
      <c r="O427">
        <v>67.5</v>
      </c>
      <c r="P427">
        <v>76</v>
      </c>
      <c r="Q427" t="s">
        <v>99</v>
      </c>
      <c r="R427">
        <v>30</v>
      </c>
      <c r="S427" s="19">
        <v>0.45833333333333331</v>
      </c>
      <c r="T427">
        <v>0</v>
      </c>
      <c r="U427" s="19">
        <v>0.54166666666666663</v>
      </c>
      <c r="V427" t="s">
        <v>99</v>
      </c>
      <c r="W427">
        <v>7.5</v>
      </c>
      <c r="X427" t="s">
        <v>102</v>
      </c>
      <c r="Y427" t="b">
        <v>0</v>
      </c>
    </row>
    <row r="428" spans="1:25" x14ac:dyDescent="0.55000000000000004">
      <c r="A428" t="s">
        <v>94</v>
      </c>
      <c r="B428" t="s">
        <v>173</v>
      </c>
      <c r="C428" t="s">
        <v>96</v>
      </c>
      <c r="D428" t="s">
        <v>174</v>
      </c>
      <c r="E428" t="s">
        <v>175</v>
      </c>
      <c r="F428" t="s">
        <v>135</v>
      </c>
      <c r="G428">
        <v>23245</v>
      </c>
      <c r="H428" t="s">
        <v>182</v>
      </c>
      <c r="I428">
        <v>1</v>
      </c>
      <c r="J428" t="s">
        <v>115</v>
      </c>
      <c r="K428" s="19">
        <v>0.25</v>
      </c>
      <c r="L428" s="19">
        <v>0.58333333333333337</v>
      </c>
      <c r="M428">
        <v>8</v>
      </c>
      <c r="N428">
        <v>394.99</v>
      </c>
      <c r="O428">
        <v>52.5</v>
      </c>
      <c r="P428">
        <v>76</v>
      </c>
      <c r="Q428" t="s">
        <v>99</v>
      </c>
      <c r="R428">
        <v>30</v>
      </c>
      <c r="S428" s="19">
        <v>0.45833333333333331</v>
      </c>
      <c r="T428">
        <v>0</v>
      </c>
      <c r="U428" s="19">
        <v>0.54166666666666663</v>
      </c>
      <c r="V428" t="s">
        <v>99</v>
      </c>
      <c r="W428">
        <v>7.5</v>
      </c>
      <c r="X428" t="s">
        <v>102</v>
      </c>
      <c r="Y428" t="b">
        <v>0</v>
      </c>
    </row>
    <row r="429" spans="1:25" x14ac:dyDescent="0.55000000000000004">
      <c r="A429" t="s">
        <v>94</v>
      </c>
      <c r="B429" t="s">
        <v>173</v>
      </c>
      <c r="C429" t="s">
        <v>96</v>
      </c>
      <c r="D429" t="s">
        <v>174</v>
      </c>
      <c r="E429" t="s">
        <v>175</v>
      </c>
      <c r="F429" t="s">
        <v>135</v>
      </c>
      <c r="G429">
        <v>23266</v>
      </c>
      <c r="H429" t="s">
        <v>195</v>
      </c>
      <c r="I429">
        <v>1</v>
      </c>
      <c r="J429" t="s">
        <v>107</v>
      </c>
      <c r="K429" s="19">
        <v>0.25</v>
      </c>
      <c r="L429" s="19">
        <v>0.58333333333333337</v>
      </c>
      <c r="M429">
        <v>8</v>
      </c>
      <c r="N429">
        <v>0</v>
      </c>
      <c r="O429">
        <v>30</v>
      </c>
      <c r="P429">
        <v>76</v>
      </c>
      <c r="Q429" t="s">
        <v>99</v>
      </c>
      <c r="R429">
        <v>30</v>
      </c>
      <c r="S429" s="19">
        <v>0.45833333333333331</v>
      </c>
      <c r="T429">
        <v>0</v>
      </c>
      <c r="U429" s="19">
        <v>0.54166666666666663</v>
      </c>
      <c r="V429" t="s">
        <v>99</v>
      </c>
      <c r="W429">
        <v>7.5</v>
      </c>
      <c r="X429" t="s">
        <v>102</v>
      </c>
      <c r="Y429" t="b">
        <v>0</v>
      </c>
    </row>
    <row r="430" spans="1:25" x14ac:dyDescent="0.55000000000000004">
      <c r="A430" t="s">
        <v>94</v>
      </c>
      <c r="B430" t="s">
        <v>173</v>
      </c>
      <c r="C430" t="s">
        <v>96</v>
      </c>
      <c r="D430" t="s">
        <v>174</v>
      </c>
      <c r="E430" t="s">
        <v>175</v>
      </c>
      <c r="F430" t="s">
        <v>135</v>
      </c>
      <c r="G430">
        <v>23266</v>
      </c>
      <c r="H430" t="s">
        <v>195</v>
      </c>
      <c r="I430">
        <v>2</v>
      </c>
      <c r="J430" t="s">
        <v>107</v>
      </c>
      <c r="K430" s="19">
        <v>0.25</v>
      </c>
      <c r="L430" s="19">
        <v>0.58333333333333337</v>
      </c>
      <c r="M430">
        <v>8</v>
      </c>
      <c r="N430">
        <v>0</v>
      </c>
      <c r="O430">
        <v>30</v>
      </c>
      <c r="P430">
        <v>76</v>
      </c>
      <c r="Q430" t="s">
        <v>99</v>
      </c>
      <c r="R430">
        <v>30</v>
      </c>
      <c r="S430" s="19">
        <v>0.45833333333333331</v>
      </c>
      <c r="T430">
        <v>0</v>
      </c>
      <c r="U430" s="19">
        <v>0.54166666666666663</v>
      </c>
      <c r="V430" t="s">
        <v>99</v>
      </c>
      <c r="W430">
        <v>7.5</v>
      </c>
      <c r="X430" t="s">
        <v>102</v>
      </c>
      <c r="Y430" t="b">
        <v>0</v>
      </c>
    </row>
    <row r="431" spans="1:25" x14ac:dyDescent="0.55000000000000004">
      <c r="A431" t="s">
        <v>94</v>
      </c>
      <c r="B431" t="s">
        <v>173</v>
      </c>
      <c r="C431" t="s">
        <v>96</v>
      </c>
      <c r="D431" t="s">
        <v>174</v>
      </c>
      <c r="E431" t="s">
        <v>175</v>
      </c>
      <c r="F431" t="s">
        <v>135</v>
      </c>
      <c r="G431">
        <v>23266</v>
      </c>
      <c r="H431" t="s">
        <v>195</v>
      </c>
      <c r="I431">
        <v>2</v>
      </c>
      <c r="J431" t="s">
        <v>105</v>
      </c>
      <c r="K431" s="19">
        <v>0.25</v>
      </c>
      <c r="L431" s="19">
        <v>0.58333333333333337</v>
      </c>
      <c r="M431">
        <v>8</v>
      </c>
      <c r="N431">
        <v>0</v>
      </c>
      <c r="O431">
        <v>30</v>
      </c>
      <c r="P431">
        <v>76</v>
      </c>
      <c r="Q431" t="s">
        <v>99</v>
      </c>
      <c r="R431">
        <v>30</v>
      </c>
      <c r="S431" s="19">
        <v>0.45833333333333331</v>
      </c>
      <c r="T431">
        <v>0</v>
      </c>
      <c r="U431" s="19">
        <v>0.54166666666666663</v>
      </c>
      <c r="V431" t="s">
        <v>99</v>
      </c>
      <c r="W431">
        <v>7.5</v>
      </c>
      <c r="X431" t="s">
        <v>102</v>
      </c>
      <c r="Y431" t="b">
        <v>0</v>
      </c>
    </row>
    <row r="432" spans="1:25" x14ac:dyDescent="0.55000000000000004">
      <c r="A432" t="s">
        <v>94</v>
      </c>
      <c r="B432" t="s">
        <v>173</v>
      </c>
      <c r="C432" t="s">
        <v>96</v>
      </c>
      <c r="D432" t="s">
        <v>174</v>
      </c>
      <c r="E432" t="s">
        <v>175</v>
      </c>
      <c r="F432" t="s">
        <v>135</v>
      </c>
      <c r="G432">
        <v>23484</v>
      </c>
      <c r="H432" t="s">
        <v>183</v>
      </c>
      <c r="I432">
        <v>1</v>
      </c>
      <c r="J432" t="s">
        <v>105</v>
      </c>
      <c r="K432" s="19">
        <v>0.25</v>
      </c>
      <c r="L432" s="19">
        <v>0.58333333333333337</v>
      </c>
      <c r="M432">
        <v>8</v>
      </c>
      <c r="N432">
        <v>263.32</v>
      </c>
      <c r="O432">
        <v>52.5</v>
      </c>
      <c r="P432">
        <v>76</v>
      </c>
      <c r="Q432" t="s">
        <v>99</v>
      </c>
      <c r="R432">
        <v>30</v>
      </c>
      <c r="S432" s="19">
        <v>0.45833333333333331</v>
      </c>
      <c r="T432">
        <v>0</v>
      </c>
      <c r="U432" s="19">
        <v>0.54166666666666663</v>
      </c>
      <c r="V432" t="s">
        <v>99</v>
      </c>
      <c r="W432">
        <v>7.5</v>
      </c>
      <c r="X432" t="s">
        <v>102</v>
      </c>
      <c r="Y432" t="b">
        <v>0</v>
      </c>
    </row>
    <row r="433" spans="1:25" x14ac:dyDescent="0.55000000000000004">
      <c r="A433" t="s">
        <v>94</v>
      </c>
      <c r="B433" t="s">
        <v>173</v>
      </c>
      <c r="C433" t="s">
        <v>96</v>
      </c>
      <c r="D433" t="s">
        <v>174</v>
      </c>
      <c r="E433" t="s">
        <v>175</v>
      </c>
      <c r="F433" t="s">
        <v>135</v>
      </c>
      <c r="G433">
        <v>23484</v>
      </c>
      <c r="H433" t="s">
        <v>183</v>
      </c>
      <c r="I433">
        <v>2</v>
      </c>
      <c r="J433" t="s">
        <v>101</v>
      </c>
      <c r="K433" s="19">
        <v>0.25</v>
      </c>
      <c r="L433" s="19">
        <v>0.58333333333333337</v>
      </c>
      <c r="M433">
        <v>8</v>
      </c>
      <c r="N433">
        <v>263.32</v>
      </c>
      <c r="O433">
        <v>52.5</v>
      </c>
      <c r="P433">
        <v>76</v>
      </c>
      <c r="Q433" t="s">
        <v>99</v>
      </c>
      <c r="R433">
        <v>30</v>
      </c>
      <c r="S433" s="19">
        <v>0.45833333333333331</v>
      </c>
      <c r="T433">
        <v>0</v>
      </c>
      <c r="U433" s="19">
        <v>0</v>
      </c>
      <c r="V433" t="s">
        <v>99</v>
      </c>
      <c r="W433">
        <v>7.5</v>
      </c>
      <c r="X433" t="s">
        <v>102</v>
      </c>
      <c r="Y433" t="b">
        <v>0</v>
      </c>
    </row>
    <row r="434" spans="1:25" x14ac:dyDescent="0.55000000000000004">
      <c r="A434" t="s">
        <v>94</v>
      </c>
      <c r="B434" t="s">
        <v>173</v>
      </c>
      <c r="C434" t="s">
        <v>96</v>
      </c>
      <c r="D434" t="s">
        <v>174</v>
      </c>
      <c r="E434" t="s">
        <v>175</v>
      </c>
      <c r="F434" t="s">
        <v>135</v>
      </c>
      <c r="G434">
        <v>23484</v>
      </c>
      <c r="H434" t="s">
        <v>183</v>
      </c>
      <c r="I434">
        <v>2</v>
      </c>
      <c r="J434" t="s">
        <v>116</v>
      </c>
      <c r="K434" s="19">
        <v>0.25</v>
      </c>
      <c r="L434" s="19">
        <v>0.58333333333333337</v>
      </c>
      <c r="M434">
        <v>8</v>
      </c>
      <c r="N434">
        <v>460.82</v>
      </c>
      <c r="O434">
        <v>52.5</v>
      </c>
      <c r="P434">
        <v>76</v>
      </c>
      <c r="Q434" t="s">
        <v>99</v>
      </c>
      <c r="R434">
        <v>30</v>
      </c>
      <c r="S434" s="19">
        <v>0.4375</v>
      </c>
      <c r="T434">
        <v>0</v>
      </c>
      <c r="U434" s="19">
        <v>0</v>
      </c>
      <c r="V434" t="s">
        <v>99</v>
      </c>
      <c r="W434">
        <v>7.5</v>
      </c>
      <c r="X434" t="s">
        <v>102</v>
      </c>
      <c r="Y434" t="b">
        <v>0</v>
      </c>
    </row>
    <row r="435" spans="1:25" x14ac:dyDescent="0.55000000000000004">
      <c r="A435" t="s">
        <v>94</v>
      </c>
      <c r="B435" t="s">
        <v>173</v>
      </c>
      <c r="C435" t="s">
        <v>96</v>
      </c>
      <c r="D435" t="s">
        <v>174</v>
      </c>
      <c r="E435" t="s">
        <v>175</v>
      </c>
      <c r="F435" t="s">
        <v>135</v>
      </c>
      <c r="G435">
        <v>23520</v>
      </c>
      <c r="H435" t="s">
        <v>184</v>
      </c>
      <c r="I435">
        <v>1</v>
      </c>
      <c r="J435" t="s">
        <v>103</v>
      </c>
      <c r="K435" s="19">
        <v>0.25</v>
      </c>
      <c r="L435" s="19">
        <v>0.58333333333333337</v>
      </c>
      <c r="M435">
        <v>8</v>
      </c>
      <c r="N435">
        <v>263.32</v>
      </c>
      <c r="O435">
        <v>67.5</v>
      </c>
      <c r="P435">
        <v>76</v>
      </c>
      <c r="Q435" t="s">
        <v>99</v>
      </c>
      <c r="R435">
        <v>30</v>
      </c>
      <c r="S435" s="19">
        <v>0.45833333333333331</v>
      </c>
      <c r="T435">
        <v>0</v>
      </c>
      <c r="U435" s="19">
        <v>0.54166666666666663</v>
      </c>
      <c r="V435" t="s">
        <v>99</v>
      </c>
      <c r="W435">
        <v>7.5</v>
      </c>
      <c r="X435" t="s">
        <v>102</v>
      </c>
      <c r="Y435" t="b">
        <v>0</v>
      </c>
    </row>
    <row r="436" spans="1:25" x14ac:dyDescent="0.55000000000000004">
      <c r="A436" t="s">
        <v>94</v>
      </c>
      <c r="B436" t="s">
        <v>173</v>
      </c>
      <c r="C436" t="s">
        <v>96</v>
      </c>
      <c r="D436" t="s">
        <v>174</v>
      </c>
      <c r="E436" t="s">
        <v>175</v>
      </c>
      <c r="F436" t="s">
        <v>135</v>
      </c>
      <c r="G436">
        <v>23520</v>
      </c>
      <c r="H436" t="s">
        <v>184</v>
      </c>
      <c r="I436">
        <v>2</v>
      </c>
      <c r="J436" t="s">
        <v>105</v>
      </c>
      <c r="K436" s="19">
        <v>0.25</v>
      </c>
      <c r="L436" s="19">
        <v>0.58333333333333337</v>
      </c>
      <c r="M436">
        <v>8</v>
      </c>
      <c r="N436">
        <v>263.32</v>
      </c>
      <c r="O436">
        <v>67.5</v>
      </c>
      <c r="P436">
        <v>76</v>
      </c>
      <c r="Q436" t="s">
        <v>99</v>
      </c>
      <c r="R436">
        <v>30</v>
      </c>
      <c r="S436" s="19">
        <v>0.45833333333333331</v>
      </c>
      <c r="T436">
        <v>0</v>
      </c>
      <c r="U436" s="19">
        <v>0.54166666666666663</v>
      </c>
      <c r="V436" t="s">
        <v>99</v>
      </c>
      <c r="W436">
        <v>7.5</v>
      </c>
      <c r="X436" t="s">
        <v>102</v>
      </c>
      <c r="Y436" t="b">
        <v>0</v>
      </c>
    </row>
    <row r="437" spans="1:25" x14ac:dyDescent="0.55000000000000004">
      <c r="A437" t="s">
        <v>94</v>
      </c>
      <c r="B437" t="s">
        <v>173</v>
      </c>
      <c r="C437" t="s">
        <v>96</v>
      </c>
      <c r="D437" t="s">
        <v>174</v>
      </c>
      <c r="E437" t="s">
        <v>175</v>
      </c>
      <c r="F437" t="s">
        <v>135</v>
      </c>
      <c r="G437">
        <v>23964</v>
      </c>
      <c r="H437" t="s">
        <v>109</v>
      </c>
      <c r="I437">
        <v>1</v>
      </c>
      <c r="J437" t="s">
        <v>116</v>
      </c>
      <c r="K437" s="19">
        <v>0.25</v>
      </c>
      <c r="L437" s="19">
        <v>0.58333333333333337</v>
      </c>
      <c r="M437">
        <v>8</v>
      </c>
      <c r="N437">
        <v>466.2</v>
      </c>
      <c r="O437">
        <v>52.5</v>
      </c>
      <c r="P437">
        <v>76</v>
      </c>
      <c r="Q437" t="s">
        <v>99</v>
      </c>
      <c r="R437">
        <v>30</v>
      </c>
      <c r="S437" s="19">
        <v>0.4375</v>
      </c>
      <c r="T437">
        <v>0</v>
      </c>
      <c r="U437" s="19">
        <v>0</v>
      </c>
      <c r="V437" t="s">
        <v>99</v>
      </c>
      <c r="W437">
        <v>7.5</v>
      </c>
      <c r="X437" t="s">
        <v>102</v>
      </c>
      <c r="Y437" t="b">
        <v>0</v>
      </c>
    </row>
    <row r="438" spans="1:25" x14ac:dyDescent="0.55000000000000004">
      <c r="A438" t="s">
        <v>94</v>
      </c>
      <c r="B438" t="s">
        <v>173</v>
      </c>
      <c r="C438" t="s">
        <v>96</v>
      </c>
      <c r="D438" t="s">
        <v>174</v>
      </c>
      <c r="E438" t="s">
        <v>175</v>
      </c>
      <c r="F438" t="s">
        <v>135</v>
      </c>
      <c r="G438">
        <v>24192</v>
      </c>
      <c r="H438" t="s">
        <v>196</v>
      </c>
      <c r="I438">
        <v>1</v>
      </c>
      <c r="J438" t="s">
        <v>104</v>
      </c>
      <c r="K438" s="19">
        <v>0.25</v>
      </c>
      <c r="L438" s="19">
        <v>0.58333333333333337</v>
      </c>
      <c r="M438">
        <v>8</v>
      </c>
      <c r="N438">
        <v>263.32</v>
      </c>
      <c r="O438">
        <v>76</v>
      </c>
      <c r="P438">
        <v>76</v>
      </c>
      <c r="Q438" t="s">
        <v>99</v>
      </c>
      <c r="R438">
        <v>30</v>
      </c>
      <c r="S438" s="19">
        <v>0.45833333333333331</v>
      </c>
      <c r="T438">
        <v>0</v>
      </c>
      <c r="U438" s="19">
        <v>0.54166666666666663</v>
      </c>
      <c r="V438" t="s">
        <v>99</v>
      </c>
      <c r="W438">
        <v>7.5</v>
      </c>
      <c r="X438" t="s">
        <v>102</v>
      </c>
      <c r="Y438" t="b">
        <v>0</v>
      </c>
    </row>
    <row r="439" spans="1:25" x14ac:dyDescent="0.55000000000000004">
      <c r="A439" t="s">
        <v>94</v>
      </c>
      <c r="B439" t="s">
        <v>173</v>
      </c>
      <c r="C439" t="s">
        <v>96</v>
      </c>
      <c r="D439" t="s">
        <v>174</v>
      </c>
      <c r="E439" t="s">
        <v>175</v>
      </c>
      <c r="F439" t="s">
        <v>135</v>
      </c>
      <c r="G439">
        <v>24192</v>
      </c>
      <c r="H439" t="s">
        <v>196</v>
      </c>
      <c r="I439">
        <v>1</v>
      </c>
      <c r="J439" t="s">
        <v>105</v>
      </c>
      <c r="K439" s="19">
        <v>0.25</v>
      </c>
      <c r="L439" s="19">
        <v>0.58333333333333337</v>
      </c>
      <c r="M439">
        <v>8</v>
      </c>
      <c r="N439">
        <v>263.32</v>
      </c>
      <c r="O439">
        <v>76</v>
      </c>
      <c r="P439">
        <v>76</v>
      </c>
      <c r="Q439" t="s">
        <v>99</v>
      </c>
      <c r="R439">
        <v>30</v>
      </c>
      <c r="S439" s="19">
        <v>0.45833333333333331</v>
      </c>
      <c r="T439">
        <v>0</v>
      </c>
      <c r="U439" s="19">
        <v>0.54166666666666663</v>
      </c>
      <c r="V439" t="s">
        <v>99</v>
      </c>
      <c r="W439">
        <v>7.5</v>
      </c>
      <c r="X439" t="s">
        <v>102</v>
      </c>
      <c r="Y439" t="b">
        <v>0</v>
      </c>
    </row>
    <row r="440" spans="1:25" x14ac:dyDescent="0.55000000000000004">
      <c r="A440" t="s">
        <v>94</v>
      </c>
      <c r="B440" t="s">
        <v>173</v>
      </c>
      <c r="C440" t="s">
        <v>96</v>
      </c>
      <c r="D440" t="s">
        <v>174</v>
      </c>
      <c r="E440" t="s">
        <v>175</v>
      </c>
      <c r="F440" t="s">
        <v>135</v>
      </c>
      <c r="G440">
        <v>24192</v>
      </c>
      <c r="H440" t="s">
        <v>196</v>
      </c>
      <c r="I440">
        <v>2</v>
      </c>
      <c r="J440" t="s">
        <v>101</v>
      </c>
      <c r="K440" s="19">
        <v>0.25</v>
      </c>
      <c r="L440" s="19">
        <v>0.60416666666666663</v>
      </c>
      <c r="M440">
        <v>8.5</v>
      </c>
      <c r="N440">
        <v>280.88</v>
      </c>
      <c r="O440">
        <v>76</v>
      </c>
      <c r="P440">
        <v>76</v>
      </c>
      <c r="Q440" t="s">
        <v>99</v>
      </c>
      <c r="R440">
        <v>30</v>
      </c>
      <c r="S440" s="19">
        <v>0.45833333333333331</v>
      </c>
      <c r="T440">
        <v>0</v>
      </c>
      <c r="U440" s="19">
        <v>0.54166666666666663</v>
      </c>
      <c r="V440" t="s">
        <v>99</v>
      </c>
      <c r="W440">
        <v>8</v>
      </c>
      <c r="X440" t="s">
        <v>102</v>
      </c>
      <c r="Y440" t="b">
        <v>0</v>
      </c>
    </row>
    <row r="441" spans="1:25" x14ac:dyDescent="0.55000000000000004">
      <c r="A441" t="s">
        <v>94</v>
      </c>
      <c r="B441" t="s">
        <v>173</v>
      </c>
      <c r="C441" t="s">
        <v>96</v>
      </c>
      <c r="D441" t="s">
        <v>174</v>
      </c>
      <c r="E441" t="s">
        <v>175</v>
      </c>
      <c r="F441" t="s">
        <v>135</v>
      </c>
      <c r="G441">
        <v>24192</v>
      </c>
      <c r="H441" t="s">
        <v>196</v>
      </c>
      <c r="I441">
        <v>2</v>
      </c>
      <c r="J441" t="s">
        <v>103</v>
      </c>
      <c r="K441" s="19">
        <v>0.25</v>
      </c>
      <c r="L441" s="19">
        <v>0.58333333333333337</v>
      </c>
      <c r="M441">
        <v>8</v>
      </c>
      <c r="N441">
        <v>263.32</v>
      </c>
      <c r="O441">
        <v>76</v>
      </c>
      <c r="P441">
        <v>76</v>
      </c>
      <c r="Q441" t="s">
        <v>99</v>
      </c>
      <c r="R441">
        <v>30</v>
      </c>
      <c r="S441" s="19">
        <v>0.45833333333333331</v>
      </c>
      <c r="T441">
        <v>0</v>
      </c>
      <c r="U441" s="19">
        <v>0.54166666666666663</v>
      </c>
      <c r="V441" t="s">
        <v>99</v>
      </c>
      <c r="W441">
        <v>7.5</v>
      </c>
      <c r="X441" t="s">
        <v>102</v>
      </c>
      <c r="Y441" t="b">
        <v>0</v>
      </c>
    </row>
    <row r="442" spans="1:25" x14ac:dyDescent="0.55000000000000004">
      <c r="A442" t="s">
        <v>94</v>
      </c>
      <c r="B442" t="s">
        <v>173</v>
      </c>
      <c r="C442" t="s">
        <v>96</v>
      </c>
      <c r="D442" t="s">
        <v>174</v>
      </c>
      <c r="E442" t="s">
        <v>175</v>
      </c>
      <c r="F442" t="s">
        <v>135</v>
      </c>
      <c r="G442">
        <v>24479</v>
      </c>
      <c r="H442" t="s">
        <v>187</v>
      </c>
      <c r="I442">
        <v>1</v>
      </c>
      <c r="J442" t="s">
        <v>103</v>
      </c>
      <c r="K442" s="19">
        <v>0.25</v>
      </c>
      <c r="L442" s="19">
        <v>0.58333333333333337</v>
      </c>
      <c r="M442">
        <v>8</v>
      </c>
      <c r="N442">
        <v>263.32</v>
      </c>
      <c r="O442">
        <v>67.5</v>
      </c>
      <c r="P442">
        <v>76</v>
      </c>
      <c r="Q442" t="s">
        <v>99</v>
      </c>
      <c r="R442">
        <v>30</v>
      </c>
      <c r="S442" s="19">
        <v>0.45833333333333331</v>
      </c>
      <c r="T442">
        <v>0</v>
      </c>
      <c r="U442" s="19">
        <v>0.54166666666666663</v>
      </c>
      <c r="V442" t="s">
        <v>99</v>
      </c>
      <c r="W442">
        <v>7.5</v>
      </c>
      <c r="X442" t="s">
        <v>102</v>
      </c>
      <c r="Y442" t="b">
        <v>0</v>
      </c>
    </row>
    <row r="443" spans="1:25" x14ac:dyDescent="0.55000000000000004">
      <c r="A443" t="s">
        <v>94</v>
      </c>
      <c r="B443" t="s">
        <v>173</v>
      </c>
      <c r="C443" t="s">
        <v>96</v>
      </c>
      <c r="D443" t="s">
        <v>174</v>
      </c>
      <c r="E443" t="s">
        <v>175</v>
      </c>
      <c r="F443" t="s">
        <v>135</v>
      </c>
      <c r="G443">
        <v>24479</v>
      </c>
      <c r="H443" t="s">
        <v>187</v>
      </c>
      <c r="I443">
        <v>2</v>
      </c>
      <c r="J443" t="s">
        <v>104</v>
      </c>
      <c r="K443" s="19">
        <v>0.25</v>
      </c>
      <c r="L443" s="19">
        <v>0.58333333333333337</v>
      </c>
      <c r="M443">
        <v>8</v>
      </c>
      <c r="N443">
        <v>263.32</v>
      </c>
      <c r="O443">
        <v>67.5</v>
      </c>
      <c r="P443">
        <v>76</v>
      </c>
      <c r="Q443" t="s">
        <v>99</v>
      </c>
      <c r="R443">
        <v>30</v>
      </c>
      <c r="S443" s="19">
        <v>0.4375</v>
      </c>
      <c r="T443">
        <v>0</v>
      </c>
      <c r="U443" s="19">
        <v>0.54166666666666663</v>
      </c>
      <c r="V443" t="s">
        <v>99</v>
      </c>
      <c r="W443">
        <v>7.5</v>
      </c>
      <c r="X443" t="s">
        <v>102</v>
      </c>
      <c r="Y443" t="b">
        <v>0</v>
      </c>
    </row>
    <row r="444" spans="1:25" x14ac:dyDescent="0.55000000000000004">
      <c r="A444" t="s">
        <v>94</v>
      </c>
      <c r="B444" t="s">
        <v>173</v>
      </c>
      <c r="C444" t="s">
        <v>96</v>
      </c>
      <c r="D444" t="s">
        <v>174</v>
      </c>
      <c r="E444" t="s">
        <v>175</v>
      </c>
      <c r="F444" t="s">
        <v>135</v>
      </c>
      <c r="G444">
        <v>24880</v>
      </c>
      <c r="H444" t="s">
        <v>188</v>
      </c>
      <c r="I444">
        <v>1</v>
      </c>
      <c r="J444" t="s">
        <v>107</v>
      </c>
      <c r="K444" s="19">
        <v>0.25</v>
      </c>
      <c r="L444" s="19">
        <v>0.58333333333333337</v>
      </c>
      <c r="M444">
        <v>8</v>
      </c>
      <c r="N444">
        <v>263.32</v>
      </c>
      <c r="O444">
        <v>22.5</v>
      </c>
      <c r="P444">
        <v>76</v>
      </c>
      <c r="Q444" t="s">
        <v>99</v>
      </c>
      <c r="R444">
        <v>30</v>
      </c>
      <c r="S444" s="19">
        <v>0.45833333333333331</v>
      </c>
      <c r="T444">
        <v>0</v>
      </c>
      <c r="U444" s="19">
        <v>0.54166666666666663</v>
      </c>
      <c r="V444" t="s">
        <v>99</v>
      </c>
      <c r="W444">
        <v>7.5</v>
      </c>
      <c r="X444" t="s">
        <v>102</v>
      </c>
      <c r="Y444" t="b">
        <v>0</v>
      </c>
    </row>
    <row r="445" spans="1:25" x14ac:dyDescent="0.55000000000000004">
      <c r="A445" t="s">
        <v>94</v>
      </c>
      <c r="B445" t="s">
        <v>173</v>
      </c>
      <c r="C445" t="s">
        <v>96</v>
      </c>
      <c r="D445" t="s">
        <v>174</v>
      </c>
      <c r="E445" t="s">
        <v>175</v>
      </c>
      <c r="F445" t="s">
        <v>135</v>
      </c>
      <c r="G445">
        <v>24880</v>
      </c>
      <c r="H445" t="s">
        <v>188</v>
      </c>
      <c r="I445">
        <v>2</v>
      </c>
      <c r="J445" t="s">
        <v>107</v>
      </c>
      <c r="K445" s="19">
        <v>0.25</v>
      </c>
      <c r="L445" s="19">
        <v>0.58333333333333337</v>
      </c>
      <c r="M445">
        <v>8</v>
      </c>
      <c r="N445">
        <v>263.32</v>
      </c>
      <c r="O445">
        <v>22.5</v>
      </c>
      <c r="P445">
        <v>76</v>
      </c>
      <c r="Q445" t="s">
        <v>99</v>
      </c>
      <c r="R445">
        <v>30</v>
      </c>
      <c r="S445" s="19">
        <v>0.45833333333333331</v>
      </c>
      <c r="T445">
        <v>0</v>
      </c>
      <c r="U445" s="19">
        <v>0.54166666666666663</v>
      </c>
      <c r="V445" t="s">
        <v>99</v>
      </c>
      <c r="W445">
        <v>7.5</v>
      </c>
      <c r="X445" t="s">
        <v>102</v>
      </c>
      <c r="Y445" t="b">
        <v>0</v>
      </c>
    </row>
    <row r="446" spans="1:25" x14ac:dyDescent="0.55000000000000004">
      <c r="A446" t="s">
        <v>94</v>
      </c>
      <c r="B446" t="s">
        <v>173</v>
      </c>
      <c r="C446" t="s">
        <v>96</v>
      </c>
      <c r="D446" t="s">
        <v>174</v>
      </c>
      <c r="E446" t="s">
        <v>175</v>
      </c>
      <c r="F446" t="s">
        <v>135</v>
      </c>
      <c r="G446">
        <v>24880</v>
      </c>
      <c r="H446" t="s">
        <v>188</v>
      </c>
      <c r="I446">
        <v>2</v>
      </c>
      <c r="J446" t="s">
        <v>104</v>
      </c>
      <c r="K446" s="19">
        <v>0.25</v>
      </c>
      <c r="L446" s="19">
        <v>0.58333333333333337</v>
      </c>
      <c r="M446">
        <v>8</v>
      </c>
      <c r="N446">
        <v>263.32</v>
      </c>
      <c r="O446">
        <v>22.5</v>
      </c>
      <c r="P446">
        <v>76</v>
      </c>
      <c r="Q446" t="s">
        <v>99</v>
      </c>
      <c r="R446">
        <v>30</v>
      </c>
      <c r="S446" s="19">
        <v>0.4375</v>
      </c>
      <c r="T446">
        <v>0</v>
      </c>
      <c r="U446" s="19">
        <v>0.54166666666666663</v>
      </c>
      <c r="V446" t="s">
        <v>99</v>
      </c>
      <c r="W446">
        <v>7.5</v>
      </c>
      <c r="X446" t="s">
        <v>102</v>
      </c>
      <c r="Y446" t="b">
        <v>0</v>
      </c>
    </row>
    <row r="447" spans="1:25" x14ac:dyDescent="0.55000000000000004">
      <c r="A447" t="s">
        <v>94</v>
      </c>
      <c r="B447" t="s">
        <v>173</v>
      </c>
      <c r="C447" t="s">
        <v>96</v>
      </c>
      <c r="D447" t="s">
        <v>174</v>
      </c>
      <c r="E447" t="s">
        <v>175</v>
      </c>
      <c r="F447" t="s">
        <v>135</v>
      </c>
      <c r="G447">
        <v>25209</v>
      </c>
      <c r="H447" t="s">
        <v>190</v>
      </c>
      <c r="I447">
        <v>1</v>
      </c>
      <c r="J447" t="s">
        <v>107</v>
      </c>
      <c r="K447" s="19">
        <v>0.25</v>
      </c>
      <c r="L447" s="19">
        <v>0.58333333333333337</v>
      </c>
      <c r="M447">
        <v>8</v>
      </c>
      <c r="N447">
        <v>263.32</v>
      </c>
      <c r="O447">
        <v>37.5</v>
      </c>
      <c r="P447">
        <v>76</v>
      </c>
      <c r="Q447" t="s">
        <v>99</v>
      </c>
      <c r="R447">
        <v>30</v>
      </c>
      <c r="S447" s="19">
        <v>0.4375</v>
      </c>
      <c r="T447">
        <v>0</v>
      </c>
      <c r="U447" s="19">
        <v>0</v>
      </c>
      <c r="V447" t="s">
        <v>99</v>
      </c>
      <c r="W447">
        <v>7.5</v>
      </c>
      <c r="X447" t="s">
        <v>102</v>
      </c>
      <c r="Y447" t="b">
        <v>0</v>
      </c>
    </row>
    <row r="448" spans="1:25" x14ac:dyDescent="0.55000000000000004">
      <c r="A448" t="s">
        <v>94</v>
      </c>
      <c r="B448" t="s">
        <v>173</v>
      </c>
      <c r="C448" t="s">
        <v>96</v>
      </c>
      <c r="D448" t="s">
        <v>174</v>
      </c>
      <c r="E448" t="s">
        <v>175</v>
      </c>
      <c r="F448" t="s">
        <v>135</v>
      </c>
      <c r="G448">
        <v>25209</v>
      </c>
      <c r="H448" t="s">
        <v>190</v>
      </c>
      <c r="I448">
        <v>1</v>
      </c>
      <c r="J448" t="s">
        <v>115</v>
      </c>
      <c r="K448" s="19">
        <v>0.25</v>
      </c>
      <c r="L448" s="19">
        <v>0.58333333333333337</v>
      </c>
      <c r="M448">
        <v>8</v>
      </c>
      <c r="N448">
        <v>394.99</v>
      </c>
      <c r="O448">
        <v>37.5</v>
      </c>
      <c r="P448">
        <v>76</v>
      </c>
      <c r="Q448" t="s">
        <v>99</v>
      </c>
      <c r="R448">
        <v>30</v>
      </c>
      <c r="S448" s="19">
        <v>0.45833333333333331</v>
      </c>
      <c r="T448">
        <v>0</v>
      </c>
      <c r="U448" s="19">
        <v>0.54166666666666663</v>
      </c>
      <c r="V448" t="s">
        <v>99</v>
      </c>
      <c r="W448">
        <v>7.5</v>
      </c>
      <c r="X448" t="s">
        <v>102</v>
      </c>
      <c r="Y448" t="b">
        <v>0</v>
      </c>
    </row>
    <row r="449" spans="1:25" x14ac:dyDescent="0.55000000000000004">
      <c r="A449" t="s">
        <v>94</v>
      </c>
      <c r="B449" t="s">
        <v>173</v>
      </c>
      <c r="C449" t="s">
        <v>96</v>
      </c>
      <c r="D449" t="s">
        <v>174</v>
      </c>
      <c r="E449" t="s">
        <v>175</v>
      </c>
      <c r="F449" t="s">
        <v>135</v>
      </c>
      <c r="G449">
        <v>25209</v>
      </c>
      <c r="H449" t="s">
        <v>190</v>
      </c>
      <c r="I449">
        <v>2</v>
      </c>
      <c r="J449" t="s">
        <v>101</v>
      </c>
      <c r="K449" s="19">
        <v>0.25</v>
      </c>
      <c r="L449" s="19">
        <v>0.58333333333333337</v>
      </c>
      <c r="M449">
        <v>8</v>
      </c>
      <c r="N449">
        <v>263.32</v>
      </c>
      <c r="O449">
        <v>37.5</v>
      </c>
      <c r="P449">
        <v>76</v>
      </c>
      <c r="Q449" t="s">
        <v>99</v>
      </c>
      <c r="R449">
        <v>30</v>
      </c>
      <c r="S449" s="19">
        <v>0.4375</v>
      </c>
      <c r="T449">
        <v>0</v>
      </c>
      <c r="U449" s="19">
        <v>0.54166666666666663</v>
      </c>
      <c r="V449" t="s">
        <v>99</v>
      </c>
      <c r="W449">
        <v>7.5</v>
      </c>
      <c r="X449" t="s">
        <v>102</v>
      </c>
      <c r="Y449" t="b">
        <v>0</v>
      </c>
    </row>
    <row r="450" spans="1:25" x14ac:dyDescent="0.55000000000000004">
      <c r="A450" t="s">
        <v>94</v>
      </c>
      <c r="B450" t="s">
        <v>173</v>
      </c>
      <c r="C450" t="s">
        <v>96</v>
      </c>
      <c r="D450" t="s">
        <v>174</v>
      </c>
      <c r="E450" t="s">
        <v>175</v>
      </c>
      <c r="F450" t="s">
        <v>135</v>
      </c>
      <c r="G450">
        <v>26014</v>
      </c>
      <c r="H450" t="s">
        <v>197</v>
      </c>
      <c r="I450">
        <v>2</v>
      </c>
      <c r="J450" t="s">
        <v>115</v>
      </c>
      <c r="K450" s="19">
        <v>0.25</v>
      </c>
      <c r="L450" s="19">
        <v>0.58333333333333337</v>
      </c>
      <c r="M450">
        <v>8</v>
      </c>
      <c r="N450">
        <v>0</v>
      </c>
      <c r="O450">
        <v>30</v>
      </c>
      <c r="P450">
        <v>76</v>
      </c>
      <c r="Q450" t="s">
        <v>99</v>
      </c>
      <c r="R450">
        <v>30</v>
      </c>
      <c r="S450" s="19">
        <v>0.4375</v>
      </c>
      <c r="T450">
        <v>0</v>
      </c>
      <c r="U450" s="19">
        <v>0.54166666666666663</v>
      </c>
      <c r="V450" t="s">
        <v>99</v>
      </c>
      <c r="W450">
        <v>7.5</v>
      </c>
      <c r="X450" t="s">
        <v>102</v>
      </c>
      <c r="Y450" t="b">
        <v>0</v>
      </c>
    </row>
    <row r="451" spans="1:25" x14ac:dyDescent="0.55000000000000004">
      <c r="A451" t="s">
        <v>94</v>
      </c>
      <c r="B451" t="s">
        <v>173</v>
      </c>
      <c r="C451" t="s">
        <v>96</v>
      </c>
      <c r="D451" t="s">
        <v>174</v>
      </c>
      <c r="E451" t="s">
        <v>175</v>
      </c>
      <c r="F451" t="s">
        <v>135</v>
      </c>
      <c r="G451">
        <v>26014</v>
      </c>
      <c r="H451" t="s">
        <v>197</v>
      </c>
      <c r="I451">
        <v>2</v>
      </c>
      <c r="J451" t="s">
        <v>116</v>
      </c>
      <c r="K451" s="19">
        <v>0.25</v>
      </c>
      <c r="L451" s="19">
        <v>0.58333333333333337</v>
      </c>
      <c r="M451">
        <v>8</v>
      </c>
      <c r="N451">
        <v>0</v>
      </c>
      <c r="O451">
        <v>30</v>
      </c>
      <c r="P451">
        <v>76</v>
      </c>
      <c r="Q451" t="s">
        <v>99</v>
      </c>
      <c r="R451">
        <v>30</v>
      </c>
      <c r="S451" s="19">
        <v>0.4375</v>
      </c>
      <c r="T451">
        <v>0</v>
      </c>
      <c r="U451" s="19">
        <v>0.54166666666666663</v>
      </c>
      <c r="V451" t="s">
        <v>99</v>
      </c>
      <c r="W451">
        <v>7.5</v>
      </c>
      <c r="X451" t="s">
        <v>102</v>
      </c>
      <c r="Y451" t="b">
        <v>0</v>
      </c>
    </row>
    <row r="452" spans="1:25" x14ac:dyDescent="0.55000000000000004">
      <c r="A452" t="s">
        <v>94</v>
      </c>
      <c r="B452" t="s">
        <v>173</v>
      </c>
      <c r="C452" t="s">
        <v>96</v>
      </c>
      <c r="D452" t="s">
        <v>174</v>
      </c>
      <c r="E452" t="s">
        <v>175</v>
      </c>
      <c r="F452" t="s">
        <v>135</v>
      </c>
      <c r="G452">
        <v>26320</v>
      </c>
      <c r="H452" t="s">
        <v>192</v>
      </c>
      <c r="I452">
        <v>2</v>
      </c>
      <c r="J452" t="s">
        <v>116</v>
      </c>
      <c r="K452" s="19">
        <v>0.25</v>
      </c>
      <c r="L452" s="19">
        <v>0.58333333333333337</v>
      </c>
      <c r="M452">
        <v>8</v>
      </c>
      <c r="N452">
        <v>460.82</v>
      </c>
      <c r="O452">
        <v>0</v>
      </c>
      <c r="P452">
        <v>76</v>
      </c>
      <c r="Q452" t="s">
        <v>99</v>
      </c>
      <c r="R452">
        <v>30</v>
      </c>
      <c r="S452" s="19">
        <v>0.4375</v>
      </c>
      <c r="T452">
        <v>0</v>
      </c>
      <c r="U452" s="19">
        <v>0.54166666666666663</v>
      </c>
      <c r="V452" t="s">
        <v>99</v>
      </c>
      <c r="W452">
        <v>7.5</v>
      </c>
      <c r="X452" t="s">
        <v>102</v>
      </c>
      <c r="Y452" t="b">
        <v>0</v>
      </c>
    </row>
    <row r="453" spans="1:25" x14ac:dyDescent="0.55000000000000004">
      <c r="A453" t="s">
        <v>94</v>
      </c>
      <c r="B453" t="s">
        <v>173</v>
      </c>
      <c r="C453" t="s">
        <v>96</v>
      </c>
      <c r="D453" t="s">
        <v>174</v>
      </c>
      <c r="E453" t="s">
        <v>175</v>
      </c>
      <c r="F453" t="s">
        <v>135</v>
      </c>
      <c r="G453">
        <v>26320</v>
      </c>
      <c r="H453" t="s">
        <v>192</v>
      </c>
      <c r="I453">
        <v>2</v>
      </c>
      <c r="J453" t="s">
        <v>103</v>
      </c>
      <c r="K453" s="19">
        <v>0.25</v>
      </c>
      <c r="L453" s="19">
        <v>0.58333333333333337</v>
      </c>
      <c r="M453">
        <v>8</v>
      </c>
      <c r="N453">
        <v>329.16</v>
      </c>
      <c r="O453">
        <v>0</v>
      </c>
      <c r="P453">
        <v>76</v>
      </c>
      <c r="Q453" t="s">
        <v>99</v>
      </c>
      <c r="R453">
        <v>30</v>
      </c>
      <c r="S453" s="19">
        <v>0.45833333333333331</v>
      </c>
      <c r="T453">
        <v>0</v>
      </c>
      <c r="U453" s="19">
        <v>0</v>
      </c>
      <c r="V453" t="s">
        <v>99</v>
      </c>
      <c r="W453">
        <v>7.5</v>
      </c>
      <c r="X453" t="s">
        <v>102</v>
      </c>
      <c r="Y453" t="b">
        <v>0</v>
      </c>
    </row>
    <row r="454" spans="1:25" x14ac:dyDescent="0.55000000000000004">
      <c r="A454" t="s">
        <v>94</v>
      </c>
      <c r="B454" t="s">
        <v>173</v>
      </c>
      <c r="C454" t="s">
        <v>96</v>
      </c>
      <c r="D454" t="s">
        <v>174</v>
      </c>
      <c r="E454" t="s">
        <v>175</v>
      </c>
      <c r="F454" t="s">
        <v>139</v>
      </c>
      <c r="G454">
        <v>18462</v>
      </c>
      <c r="H454" t="s">
        <v>177</v>
      </c>
      <c r="I454">
        <v>2</v>
      </c>
      <c r="J454" t="s">
        <v>101</v>
      </c>
      <c r="K454" s="19">
        <v>0.25</v>
      </c>
      <c r="L454" s="19">
        <v>0.58333333333333337</v>
      </c>
      <c r="M454">
        <v>8</v>
      </c>
      <c r="N454">
        <v>0</v>
      </c>
      <c r="O454">
        <v>60</v>
      </c>
      <c r="P454">
        <v>76</v>
      </c>
      <c r="Q454" t="s">
        <v>99</v>
      </c>
      <c r="R454">
        <v>30</v>
      </c>
      <c r="S454" s="19">
        <v>0.45833333333333331</v>
      </c>
      <c r="T454">
        <v>0</v>
      </c>
      <c r="U454" s="19">
        <v>0.54166666666666663</v>
      </c>
      <c r="V454" t="s">
        <v>99</v>
      </c>
      <c r="W454">
        <v>7.5</v>
      </c>
      <c r="X454" t="s">
        <v>102</v>
      </c>
      <c r="Y454" t="b">
        <v>0</v>
      </c>
    </row>
    <row r="455" spans="1:25" x14ac:dyDescent="0.55000000000000004">
      <c r="A455" t="s">
        <v>94</v>
      </c>
      <c r="B455" t="s">
        <v>173</v>
      </c>
      <c r="C455" t="s">
        <v>96</v>
      </c>
      <c r="D455" t="s">
        <v>174</v>
      </c>
      <c r="E455" t="s">
        <v>175</v>
      </c>
      <c r="F455" t="s">
        <v>139</v>
      </c>
      <c r="G455">
        <v>19136</v>
      </c>
      <c r="H455" t="s">
        <v>198</v>
      </c>
      <c r="I455">
        <v>1</v>
      </c>
      <c r="J455" t="s">
        <v>104</v>
      </c>
      <c r="K455" s="19">
        <v>0.25</v>
      </c>
      <c r="L455" s="19">
        <v>0.58333333333333337</v>
      </c>
      <c r="M455">
        <v>8</v>
      </c>
      <c r="N455">
        <v>266.39999999999998</v>
      </c>
      <c r="O455">
        <v>52.5</v>
      </c>
      <c r="P455">
        <v>76</v>
      </c>
      <c r="Q455" t="s">
        <v>99</v>
      </c>
      <c r="R455">
        <v>30</v>
      </c>
      <c r="S455" s="19">
        <v>0.45833333333333331</v>
      </c>
      <c r="T455">
        <v>0</v>
      </c>
      <c r="U455" s="19">
        <v>0</v>
      </c>
      <c r="V455" t="s">
        <v>99</v>
      </c>
      <c r="W455">
        <v>7.5</v>
      </c>
      <c r="X455" t="s">
        <v>102</v>
      </c>
      <c r="Y455" t="b">
        <v>0</v>
      </c>
    </row>
    <row r="456" spans="1:25" x14ac:dyDescent="0.55000000000000004">
      <c r="A456" t="s">
        <v>94</v>
      </c>
      <c r="B456" t="s">
        <v>173</v>
      </c>
      <c r="C456" t="s">
        <v>96</v>
      </c>
      <c r="D456" t="s">
        <v>174</v>
      </c>
      <c r="E456" t="s">
        <v>175</v>
      </c>
      <c r="F456" t="s">
        <v>139</v>
      </c>
      <c r="G456">
        <v>20863</v>
      </c>
      <c r="H456" t="s">
        <v>178</v>
      </c>
      <c r="I456">
        <v>1</v>
      </c>
      <c r="J456" t="s">
        <v>107</v>
      </c>
      <c r="K456" s="19">
        <v>0.25</v>
      </c>
      <c r="L456" s="19">
        <v>0.58333333333333337</v>
      </c>
      <c r="M456">
        <v>8</v>
      </c>
      <c r="N456">
        <v>0</v>
      </c>
      <c r="O456">
        <v>75</v>
      </c>
      <c r="P456">
        <v>76</v>
      </c>
      <c r="Q456" t="s">
        <v>99</v>
      </c>
      <c r="R456">
        <v>30</v>
      </c>
      <c r="S456" s="19">
        <v>0.4375</v>
      </c>
      <c r="T456">
        <v>0</v>
      </c>
      <c r="U456" s="19">
        <v>0</v>
      </c>
      <c r="V456" t="s">
        <v>99</v>
      </c>
      <c r="W456">
        <v>7.5</v>
      </c>
      <c r="X456" t="s">
        <v>102</v>
      </c>
      <c r="Y456" t="b">
        <v>0</v>
      </c>
    </row>
    <row r="457" spans="1:25" x14ac:dyDescent="0.55000000000000004">
      <c r="A457" t="s">
        <v>94</v>
      </c>
      <c r="B457" t="s">
        <v>173</v>
      </c>
      <c r="C457" t="s">
        <v>96</v>
      </c>
      <c r="D457" t="s">
        <v>174</v>
      </c>
      <c r="E457" t="s">
        <v>175</v>
      </c>
      <c r="F457" t="s">
        <v>139</v>
      </c>
      <c r="G457">
        <v>22035</v>
      </c>
      <c r="H457" t="s">
        <v>179</v>
      </c>
      <c r="I457">
        <v>1</v>
      </c>
      <c r="J457" t="s">
        <v>103</v>
      </c>
      <c r="K457" s="19">
        <v>0.28125</v>
      </c>
      <c r="L457" s="19">
        <v>0.58333333333333337</v>
      </c>
      <c r="M457">
        <v>7.25</v>
      </c>
      <c r="N457">
        <v>236.99</v>
      </c>
      <c r="O457">
        <v>66.5</v>
      </c>
      <c r="P457">
        <v>76</v>
      </c>
      <c r="Q457" t="s">
        <v>99</v>
      </c>
      <c r="R457">
        <v>30</v>
      </c>
      <c r="S457" s="19">
        <v>0.4375</v>
      </c>
      <c r="T457">
        <v>0</v>
      </c>
      <c r="U457" s="19">
        <v>0.54166666666666663</v>
      </c>
      <c r="V457" t="s">
        <v>99</v>
      </c>
      <c r="W457">
        <v>6.75</v>
      </c>
      <c r="X457" t="s">
        <v>102</v>
      </c>
      <c r="Y457" t="b">
        <v>0</v>
      </c>
    </row>
    <row r="458" spans="1:25" x14ac:dyDescent="0.55000000000000004">
      <c r="A458" t="s">
        <v>94</v>
      </c>
      <c r="B458" t="s">
        <v>173</v>
      </c>
      <c r="C458" t="s">
        <v>96</v>
      </c>
      <c r="D458" t="s">
        <v>174</v>
      </c>
      <c r="E458" t="s">
        <v>175</v>
      </c>
      <c r="F458" t="s">
        <v>139</v>
      </c>
      <c r="G458">
        <v>22035</v>
      </c>
      <c r="H458" t="s">
        <v>179</v>
      </c>
      <c r="I458">
        <v>1</v>
      </c>
      <c r="J458" t="s">
        <v>104</v>
      </c>
      <c r="K458" s="19">
        <v>0.28125</v>
      </c>
      <c r="L458" s="19">
        <v>0.58333333333333337</v>
      </c>
      <c r="M458">
        <v>7.25</v>
      </c>
      <c r="N458">
        <v>236.99</v>
      </c>
      <c r="O458">
        <v>66.5</v>
      </c>
      <c r="P458">
        <v>76</v>
      </c>
      <c r="Q458" t="s">
        <v>99</v>
      </c>
      <c r="R458">
        <v>30</v>
      </c>
      <c r="S458" s="19">
        <v>0.45833333333333331</v>
      </c>
      <c r="T458">
        <v>0</v>
      </c>
      <c r="U458" s="19">
        <v>0</v>
      </c>
      <c r="V458" t="s">
        <v>99</v>
      </c>
      <c r="W458">
        <v>6.75</v>
      </c>
      <c r="X458" t="s">
        <v>102</v>
      </c>
      <c r="Y458" t="b">
        <v>0</v>
      </c>
    </row>
    <row r="459" spans="1:25" x14ac:dyDescent="0.55000000000000004">
      <c r="A459" t="s">
        <v>94</v>
      </c>
      <c r="B459" t="s">
        <v>173</v>
      </c>
      <c r="C459" t="s">
        <v>96</v>
      </c>
      <c r="D459" t="s">
        <v>174</v>
      </c>
      <c r="E459" t="s">
        <v>175</v>
      </c>
      <c r="F459" t="s">
        <v>139</v>
      </c>
      <c r="G459">
        <v>22035</v>
      </c>
      <c r="H459" t="s">
        <v>179</v>
      </c>
      <c r="I459">
        <v>1</v>
      </c>
      <c r="J459" t="s">
        <v>105</v>
      </c>
      <c r="K459" s="19">
        <v>0.28125</v>
      </c>
      <c r="L459" s="19">
        <v>0.58333333333333337</v>
      </c>
      <c r="M459">
        <v>7.25</v>
      </c>
      <c r="N459">
        <v>236.99</v>
      </c>
      <c r="O459">
        <v>66.5</v>
      </c>
      <c r="P459">
        <v>76</v>
      </c>
      <c r="Q459" t="s">
        <v>99</v>
      </c>
      <c r="R459">
        <v>30</v>
      </c>
      <c r="S459" s="19">
        <v>0.45833333333333331</v>
      </c>
      <c r="T459">
        <v>0</v>
      </c>
      <c r="U459" s="19">
        <v>0</v>
      </c>
      <c r="V459" t="s">
        <v>99</v>
      </c>
      <c r="W459">
        <v>6.75</v>
      </c>
      <c r="X459" t="s">
        <v>102</v>
      </c>
      <c r="Y459" t="b">
        <v>0</v>
      </c>
    </row>
    <row r="460" spans="1:25" x14ac:dyDescent="0.55000000000000004">
      <c r="A460" t="s">
        <v>94</v>
      </c>
      <c r="B460" t="s">
        <v>173</v>
      </c>
      <c r="C460" t="s">
        <v>96</v>
      </c>
      <c r="D460" t="s">
        <v>174</v>
      </c>
      <c r="E460" t="s">
        <v>175</v>
      </c>
      <c r="F460" t="s">
        <v>139</v>
      </c>
      <c r="G460">
        <v>22035</v>
      </c>
      <c r="H460" t="s">
        <v>179</v>
      </c>
      <c r="I460">
        <v>2</v>
      </c>
      <c r="J460" t="s">
        <v>103</v>
      </c>
      <c r="K460" s="19">
        <v>0.28125</v>
      </c>
      <c r="L460" s="19">
        <v>0.58333333333333337</v>
      </c>
      <c r="M460">
        <v>7.25</v>
      </c>
      <c r="N460">
        <v>236.99</v>
      </c>
      <c r="O460">
        <v>66.5</v>
      </c>
      <c r="P460">
        <v>76</v>
      </c>
      <c r="Q460" t="s">
        <v>99</v>
      </c>
      <c r="R460">
        <v>30</v>
      </c>
      <c r="S460" s="19">
        <v>0.45833333333333331</v>
      </c>
      <c r="T460">
        <v>0</v>
      </c>
      <c r="U460" s="19">
        <v>0</v>
      </c>
      <c r="V460" t="s">
        <v>99</v>
      </c>
      <c r="W460">
        <v>6.75</v>
      </c>
      <c r="X460" t="s">
        <v>102</v>
      </c>
      <c r="Y460" t="b">
        <v>0</v>
      </c>
    </row>
    <row r="461" spans="1:25" x14ac:dyDescent="0.55000000000000004">
      <c r="A461" t="s">
        <v>94</v>
      </c>
      <c r="B461" t="s">
        <v>173</v>
      </c>
      <c r="C461" t="s">
        <v>96</v>
      </c>
      <c r="D461" t="s">
        <v>174</v>
      </c>
      <c r="E461" t="s">
        <v>175</v>
      </c>
      <c r="F461" t="s">
        <v>139</v>
      </c>
      <c r="G461">
        <v>22035</v>
      </c>
      <c r="H461" t="s">
        <v>179</v>
      </c>
      <c r="I461">
        <v>2</v>
      </c>
      <c r="J461" t="s">
        <v>104</v>
      </c>
      <c r="K461" s="19">
        <v>0.28125</v>
      </c>
      <c r="L461" s="19">
        <v>0.58333333333333337</v>
      </c>
      <c r="M461">
        <v>7.25</v>
      </c>
      <c r="N461">
        <v>236.99</v>
      </c>
      <c r="O461">
        <v>66.5</v>
      </c>
      <c r="P461">
        <v>76</v>
      </c>
      <c r="Q461" t="s">
        <v>99</v>
      </c>
      <c r="R461">
        <v>30</v>
      </c>
      <c r="S461" s="19">
        <v>0.45833333333333331</v>
      </c>
      <c r="T461">
        <v>0</v>
      </c>
      <c r="U461" s="19">
        <v>0</v>
      </c>
      <c r="V461" t="s">
        <v>99</v>
      </c>
      <c r="W461">
        <v>6.75</v>
      </c>
      <c r="X461" t="s">
        <v>102</v>
      </c>
      <c r="Y461" t="b">
        <v>0</v>
      </c>
    </row>
    <row r="462" spans="1:25" x14ac:dyDescent="0.55000000000000004">
      <c r="A462" t="s">
        <v>94</v>
      </c>
      <c r="B462" t="s">
        <v>173</v>
      </c>
      <c r="C462" t="s">
        <v>96</v>
      </c>
      <c r="D462" t="s">
        <v>174</v>
      </c>
      <c r="E462" t="s">
        <v>175</v>
      </c>
      <c r="F462" t="s">
        <v>139</v>
      </c>
      <c r="G462">
        <v>22035</v>
      </c>
      <c r="H462" t="s">
        <v>179</v>
      </c>
      <c r="I462">
        <v>2</v>
      </c>
      <c r="J462" t="s">
        <v>105</v>
      </c>
      <c r="K462" s="19">
        <v>0.28125</v>
      </c>
      <c r="L462" s="19">
        <v>0.58333333333333337</v>
      </c>
      <c r="M462">
        <v>7.25</v>
      </c>
      <c r="N462">
        <v>236.99</v>
      </c>
      <c r="O462">
        <v>66.5</v>
      </c>
      <c r="P462">
        <v>76</v>
      </c>
      <c r="Q462" t="s">
        <v>99</v>
      </c>
      <c r="R462">
        <v>30</v>
      </c>
      <c r="S462" s="19">
        <v>0.45833333333333331</v>
      </c>
      <c r="T462">
        <v>0</v>
      </c>
      <c r="U462" s="19">
        <v>0</v>
      </c>
      <c r="V462" t="s">
        <v>99</v>
      </c>
      <c r="W462">
        <v>6.75</v>
      </c>
      <c r="X462" t="s">
        <v>102</v>
      </c>
      <c r="Y462" t="b">
        <v>0</v>
      </c>
    </row>
    <row r="463" spans="1:25" x14ac:dyDescent="0.55000000000000004">
      <c r="A463" t="s">
        <v>94</v>
      </c>
      <c r="B463" t="s">
        <v>173</v>
      </c>
      <c r="C463" t="s">
        <v>96</v>
      </c>
      <c r="D463" t="s">
        <v>174</v>
      </c>
      <c r="E463" t="s">
        <v>175</v>
      </c>
      <c r="F463" t="s">
        <v>139</v>
      </c>
      <c r="G463">
        <v>22116</v>
      </c>
      <c r="H463" t="s">
        <v>180</v>
      </c>
      <c r="I463">
        <v>1</v>
      </c>
      <c r="J463" t="s">
        <v>101</v>
      </c>
      <c r="K463" s="19">
        <v>0.25</v>
      </c>
      <c r="L463" s="19">
        <v>0.58333333333333337</v>
      </c>
      <c r="M463">
        <v>8</v>
      </c>
      <c r="N463">
        <v>0</v>
      </c>
      <c r="O463">
        <v>60</v>
      </c>
      <c r="P463">
        <v>76</v>
      </c>
      <c r="Q463" t="s">
        <v>99</v>
      </c>
      <c r="R463">
        <v>30</v>
      </c>
      <c r="S463" s="19">
        <v>0.45833333333333331</v>
      </c>
      <c r="T463">
        <v>0</v>
      </c>
      <c r="U463" s="19">
        <v>0.54166666666666663</v>
      </c>
      <c r="V463" t="s">
        <v>99</v>
      </c>
      <c r="W463">
        <v>7.5</v>
      </c>
      <c r="X463" t="s">
        <v>102</v>
      </c>
      <c r="Y463" t="b">
        <v>0</v>
      </c>
    </row>
    <row r="464" spans="1:25" x14ac:dyDescent="0.55000000000000004">
      <c r="A464" t="s">
        <v>94</v>
      </c>
      <c r="B464" t="s">
        <v>173</v>
      </c>
      <c r="C464" t="s">
        <v>96</v>
      </c>
      <c r="D464" t="s">
        <v>174</v>
      </c>
      <c r="E464" t="s">
        <v>175</v>
      </c>
      <c r="F464" t="s">
        <v>139</v>
      </c>
      <c r="G464">
        <v>22116</v>
      </c>
      <c r="H464" t="s">
        <v>180</v>
      </c>
      <c r="I464">
        <v>1</v>
      </c>
      <c r="J464" t="s">
        <v>103</v>
      </c>
      <c r="K464" s="19">
        <v>0.25</v>
      </c>
      <c r="L464" s="19">
        <v>0.58333333333333337</v>
      </c>
      <c r="M464">
        <v>8</v>
      </c>
      <c r="N464">
        <v>0</v>
      </c>
      <c r="O464">
        <v>60</v>
      </c>
      <c r="P464">
        <v>76</v>
      </c>
      <c r="Q464" t="s">
        <v>99</v>
      </c>
      <c r="R464">
        <v>30</v>
      </c>
      <c r="S464" s="19">
        <v>0.45833333333333331</v>
      </c>
      <c r="T464">
        <v>0</v>
      </c>
      <c r="U464" s="19">
        <v>0.54166666666666663</v>
      </c>
      <c r="V464" t="s">
        <v>99</v>
      </c>
      <c r="W464">
        <v>7.5</v>
      </c>
      <c r="X464" t="s">
        <v>102</v>
      </c>
      <c r="Y464" t="b">
        <v>0</v>
      </c>
    </row>
    <row r="465" spans="1:25" x14ac:dyDescent="0.55000000000000004">
      <c r="A465" t="s">
        <v>94</v>
      </c>
      <c r="B465" t="s">
        <v>173</v>
      </c>
      <c r="C465" t="s">
        <v>96</v>
      </c>
      <c r="D465" t="s">
        <v>174</v>
      </c>
      <c r="E465" t="s">
        <v>175</v>
      </c>
      <c r="F465" t="s">
        <v>139</v>
      </c>
      <c r="G465">
        <v>22116</v>
      </c>
      <c r="H465" t="s">
        <v>180</v>
      </c>
      <c r="I465">
        <v>1</v>
      </c>
      <c r="J465" t="s">
        <v>104</v>
      </c>
      <c r="K465" s="19">
        <v>0.25</v>
      </c>
      <c r="L465" s="19">
        <v>0.58333333333333337</v>
      </c>
      <c r="M465">
        <v>8</v>
      </c>
      <c r="N465">
        <v>0</v>
      </c>
      <c r="O465">
        <v>60</v>
      </c>
      <c r="P465">
        <v>76</v>
      </c>
      <c r="Q465" t="s">
        <v>99</v>
      </c>
      <c r="R465">
        <v>30</v>
      </c>
      <c r="S465" s="19">
        <v>0.45833333333333331</v>
      </c>
      <c r="T465">
        <v>0</v>
      </c>
      <c r="U465" s="19">
        <v>0.54166666666666663</v>
      </c>
      <c r="V465" t="s">
        <v>99</v>
      </c>
      <c r="W465">
        <v>7.5</v>
      </c>
      <c r="X465" t="s">
        <v>102</v>
      </c>
      <c r="Y465" t="b">
        <v>0</v>
      </c>
    </row>
    <row r="466" spans="1:25" x14ac:dyDescent="0.55000000000000004">
      <c r="A466" t="s">
        <v>94</v>
      </c>
      <c r="B466" t="s">
        <v>173</v>
      </c>
      <c r="C466" t="s">
        <v>96</v>
      </c>
      <c r="D466" t="s">
        <v>174</v>
      </c>
      <c r="E466" t="s">
        <v>175</v>
      </c>
      <c r="F466" t="s">
        <v>139</v>
      </c>
      <c r="G466">
        <v>22116</v>
      </c>
      <c r="H466" t="s">
        <v>180</v>
      </c>
      <c r="I466">
        <v>1</v>
      </c>
      <c r="J466" t="s">
        <v>105</v>
      </c>
      <c r="K466" s="19">
        <v>0.25</v>
      </c>
      <c r="L466" s="19">
        <v>0.58333333333333337</v>
      </c>
      <c r="M466">
        <v>8</v>
      </c>
      <c r="N466">
        <v>0</v>
      </c>
      <c r="O466">
        <v>60</v>
      </c>
      <c r="P466">
        <v>76</v>
      </c>
      <c r="Q466" t="s">
        <v>99</v>
      </c>
      <c r="R466">
        <v>30</v>
      </c>
      <c r="S466" s="19">
        <v>0.45833333333333331</v>
      </c>
      <c r="T466">
        <v>0</v>
      </c>
      <c r="U466" s="19">
        <v>0.54166666666666663</v>
      </c>
      <c r="V466" t="s">
        <v>99</v>
      </c>
      <c r="W466">
        <v>7.5</v>
      </c>
      <c r="X466" t="s">
        <v>102</v>
      </c>
      <c r="Y466" t="b">
        <v>0</v>
      </c>
    </row>
    <row r="467" spans="1:25" x14ac:dyDescent="0.55000000000000004">
      <c r="A467" t="s">
        <v>94</v>
      </c>
      <c r="B467" t="s">
        <v>173</v>
      </c>
      <c r="C467" t="s">
        <v>96</v>
      </c>
      <c r="D467" t="s">
        <v>174</v>
      </c>
      <c r="E467" t="s">
        <v>175</v>
      </c>
      <c r="F467" t="s">
        <v>139</v>
      </c>
      <c r="G467">
        <v>23266</v>
      </c>
      <c r="H467" t="s">
        <v>195</v>
      </c>
      <c r="I467">
        <v>1</v>
      </c>
      <c r="J467" t="s">
        <v>103</v>
      </c>
      <c r="K467" s="19">
        <v>0.25</v>
      </c>
      <c r="L467" s="19">
        <v>0.58333333333333337</v>
      </c>
      <c r="M467">
        <v>8</v>
      </c>
      <c r="N467">
        <v>0</v>
      </c>
      <c r="O467">
        <v>30</v>
      </c>
      <c r="P467">
        <v>76</v>
      </c>
      <c r="Q467" t="s">
        <v>99</v>
      </c>
      <c r="R467">
        <v>30</v>
      </c>
      <c r="S467" s="19">
        <v>0.45833333333333331</v>
      </c>
      <c r="T467">
        <v>0</v>
      </c>
      <c r="U467" s="19">
        <v>0.54166666666666663</v>
      </c>
      <c r="V467" t="s">
        <v>99</v>
      </c>
      <c r="W467">
        <v>7.5</v>
      </c>
      <c r="X467" t="s">
        <v>102</v>
      </c>
      <c r="Y467" t="b">
        <v>0</v>
      </c>
    </row>
    <row r="468" spans="1:25" x14ac:dyDescent="0.55000000000000004">
      <c r="A468" t="s">
        <v>94</v>
      </c>
      <c r="B468" t="s">
        <v>173</v>
      </c>
      <c r="C468" t="s">
        <v>96</v>
      </c>
      <c r="D468" t="s">
        <v>174</v>
      </c>
      <c r="E468" t="s">
        <v>175</v>
      </c>
      <c r="F468" t="s">
        <v>139</v>
      </c>
      <c r="G468">
        <v>23484</v>
      </c>
      <c r="H468" t="s">
        <v>183</v>
      </c>
      <c r="I468">
        <v>1</v>
      </c>
      <c r="J468" t="s">
        <v>115</v>
      </c>
      <c r="K468" s="19">
        <v>0.25</v>
      </c>
      <c r="L468" s="19">
        <v>0.58333333333333337</v>
      </c>
      <c r="M468">
        <v>8</v>
      </c>
      <c r="N468">
        <v>394.99</v>
      </c>
      <c r="O468">
        <v>52.5</v>
      </c>
      <c r="P468">
        <v>76</v>
      </c>
      <c r="Q468" t="s">
        <v>99</v>
      </c>
      <c r="R468">
        <v>30</v>
      </c>
      <c r="S468" s="19">
        <v>0.4375</v>
      </c>
      <c r="T468">
        <v>0</v>
      </c>
      <c r="U468" s="19">
        <v>0.54166666666666663</v>
      </c>
      <c r="V468" t="s">
        <v>99</v>
      </c>
      <c r="W468">
        <v>7.5</v>
      </c>
      <c r="X468" t="s">
        <v>102</v>
      </c>
      <c r="Y468" t="b">
        <v>0</v>
      </c>
    </row>
    <row r="469" spans="1:25" x14ac:dyDescent="0.55000000000000004">
      <c r="A469" t="s">
        <v>94</v>
      </c>
      <c r="B469" t="s">
        <v>173</v>
      </c>
      <c r="C469" t="s">
        <v>96</v>
      </c>
      <c r="D469" t="s">
        <v>174</v>
      </c>
      <c r="E469" t="s">
        <v>175</v>
      </c>
      <c r="F469" t="s">
        <v>139</v>
      </c>
      <c r="G469">
        <v>23484</v>
      </c>
      <c r="H469" t="s">
        <v>183</v>
      </c>
      <c r="I469">
        <v>2</v>
      </c>
      <c r="J469" t="s">
        <v>115</v>
      </c>
      <c r="K469" s="19">
        <v>0.25</v>
      </c>
      <c r="L469" s="19">
        <v>0.58333333333333337</v>
      </c>
      <c r="M469">
        <v>8</v>
      </c>
      <c r="N469">
        <v>394.99</v>
      </c>
      <c r="O469">
        <v>52.5</v>
      </c>
      <c r="P469">
        <v>76</v>
      </c>
      <c r="Q469" t="s">
        <v>99</v>
      </c>
      <c r="R469">
        <v>30</v>
      </c>
      <c r="S469" s="19">
        <v>0.4375</v>
      </c>
      <c r="T469">
        <v>0</v>
      </c>
      <c r="U469" s="19">
        <v>0.54166666666666663</v>
      </c>
      <c r="V469" t="s">
        <v>99</v>
      </c>
      <c r="W469">
        <v>7.5</v>
      </c>
      <c r="X469" t="s">
        <v>102</v>
      </c>
      <c r="Y469" t="b">
        <v>0</v>
      </c>
    </row>
    <row r="470" spans="1:25" x14ac:dyDescent="0.55000000000000004">
      <c r="A470" t="s">
        <v>94</v>
      </c>
      <c r="B470" t="s">
        <v>173</v>
      </c>
      <c r="C470" t="s">
        <v>96</v>
      </c>
      <c r="D470" t="s">
        <v>174</v>
      </c>
      <c r="E470" t="s">
        <v>175</v>
      </c>
      <c r="F470" t="s">
        <v>139</v>
      </c>
      <c r="G470">
        <v>23520</v>
      </c>
      <c r="H470" t="s">
        <v>184</v>
      </c>
      <c r="I470">
        <v>1</v>
      </c>
      <c r="J470" t="s">
        <v>115</v>
      </c>
      <c r="K470" s="19">
        <v>0.25</v>
      </c>
      <c r="L470" s="19">
        <v>0.58333333333333337</v>
      </c>
      <c r="M470">
        <v>8</v>
      </c>
      <c r="N470">
        <v>394.99</v>
      </c>
      <c r="O470">
        <v>67.5</v>
      </c>
      <c r="P470">
        <v>76</v>
      </c>
      <c r="Q470" t="s">
        <v>99</v>
      </c>
      <c r="R470">
        <v>30</v>
      </c>
      <c r="S470" s="19">
        <v>0.45833333333333331</v>
      </c>
      <c r="T470">
        <v>0</v>
      </c>
      <c r="U470" s="19">
        <v>0.54166666666666663</v>
      </c>
      <c r="V470" t="s">
        <v>99</v>
      </c>
      <c r="W470">
        <v>7.5</v>
      </c>
      <c r="X470" t="s">
        <v>102</v>
      </c>
      <c r="Y470" t="b">
        <v>0</v>
      </c>
    </row>
    <row r="471" spans="1:25" x14ac:dyDescent="0.55000000000000004">
      <c r="A471" t="s">
        <v>94</v>
      </c>
      <c r="B471" t="s">
        <v>173</v>
      </c>
      <c r="C471" t="s">
        <v>96</v>
      </c>
      <c r="D471" t="s">
        <v>174</v>
      </c>
      <c r="E471" t="s">
        <v>175</v>
      </c>
      <c r="F471" t="s">
        <v>139</v>
      </c>
      <c r="G471">
        <v>23520</v>
      </c>
      <c r="H471" t="s">
        <v>184</v>
      </c>
      <c r="I471">
        <v>1</v>
      </c>
      <c r="J471" t="s">
        <v>116</v>
      </c>
      <c r="K471" s="19">
        <v>0.25</v>
      </c>
      <c r="L471" s="19">
        <v>0.58333333333333337</v>
      </c>
      <c r="M471">
        <v>8</v>
      </c>
      <c r="N471">
        <v>460.82</v>
      </c>
      <c r="O471">
        <v>67.5</v>
      </c>
      <c r="P471">
        <v>76</v>
      </c>
      <c r="Q471" t="s">
        <v>99</v>
      </c>
      <c r="R471">
        <v>30</v>
      </c>
      <c r="S471" s="19">
        <v>0.45833333333333331</v>
      </c>
      <c r="T471">
        <v>0</v>
      </c>
      <c r="U471" s="19">
        <v>0.54166666666666663</v>
      </c>
      <c r="V471" t="s">
        <v>99</v>
      </c>
      <c r="W471">
        <v>7.5</v>
      </c>
      <c r="X471" t="s">
        <v>102</v>
      </c>
      <c r="Y471" t="b">
        <v>0</v>
      </c>
    </row>
    <row r="472" spans="1:25" x14ac:dyDescent="0.55000000000000004">
      <c r="A472" t="s">
        <v>94</v>
      </c>
      <c r="B472" t="s">
        <v>173</v>
      </c>
      <c r="C472" t="s">
        <v>96</v>
      </c>
      <c r="D472" t="s">
        <v>174</v>
      </c>
      <c r="E472" t="s">
        <v>175</v>
      </c>
      <c r="F472" t="s">
        <v>139</v>
      </c>
      <c r="G472">
        <v>23520</v>
      </c>
      <c r="H472" t="s">
        <v>184</v>
      </c>
      <c r="I472">
        <v>1</v>
      </c>
      <c r="J472" t="s">
        <v>105</v>
      </c>
      <c r="K472" s="19">
        <v>0.25</v>
      </c>
      <c r="L472" s="19">
        <v>0.58333333333333337</v>
      </c>
      <c r="M472">
        <v>8</v>
      </c>
      <c r="N472">
        <v>263.32</v>
      </c>
      <c r="O472">
        <v>67.5</v>
      </c>
      <c r="P472">
        <v>76</v>
      </c>
      <c r="Q472" t="s">
        <v>99</v>
      </c>
      <c r="R472">
        <v>30</v>
      </c>
      <c r="S472" s="19">
        <v>0.45833333333333331</v>
      </c>
      <c r="T472">
        <v>0</v>
      </c>
      <c r="U472" s="19">
        <v>0</v>
      </c>
      <c r="V472" t="s">
        <v>99</v>
      </c>
      <c r="W472">
        <v>7.5</v>
      </c>
      <c r="X472" t="s">
        <v>102</v>
      </c>
      <c r="Y472" t="b">
        <v>0</v>
      </c>
    </row>
    <row r="473" spans="1:25" x14ac:dyDescent="0.55000000000000004">
      <c r="A473" t="s">
        <v>94</v>
      </c>
      <c r="B473" t="s">
        <v>173</v>
      </c>
      <c r="C473" t="s">
        <v>96</v>
      </c>
      <c r="D473" t="s">
        <v>174</v>
      </c>
      <c r="E473" t="s">
        <v>175</v>
      </c>
      <c r="F473" t="s">
        <v>139</v>
      </c>
      <c r="G473">
        <v>23520</v>
      </c>
      <c r="H473" t="s">
        <v>184</v>
      </c>
      <c r="I473">
        <v>2</v>
      </c>
      <c r="J473" t="s">
        <v>107</v>
      </c>
      <c r="K473" s="19">
        <v>0.25</v>
      </c>
      <c r="L473" s="19">
        <v>0.58333333333333337</v>
      </c>
      <c r="M473">
        <v>8</v>
      </c>
      <c r="N473">
        <v>263.32</v>
      </c>
      <c r="O473">
        <v>67.5</v>
      </c>
      <c r="P473">
        <v>76</v>
      </c>
      <c r="Q473" t="s">
        <v>99</v>
      </c>
      <c r="R473">
        <v>30</v>
      </c>
      <c r="S473" s="19">
        <v>0.45833333333333331</v>
      </c>
      <c r="T473">
        <v>0</v>
      </c>
      <c r="U473" s="19">
        <v>0.54166666666666663</v>
      </c>
      <c r="V473" t="s">
        <v>99</v>
      </c>
      <c r="W473">
        <v>7.5</v>
      </c>
      <c r="X473" t="s">
        <v>102</v>
      </c>
      <c r="Y473" t="b">
        <v>0</v>
      </c>
    </row>
    <row r="474" spans="1:25" x14ac:dyDescent="0.55000000000000004">
      <c r="A474" t="s">
        <v>94</v>
      </c>
      <c r="B474" t="s">
        <v>173</v>
      </c>
      <c r="C474" t="s">
        <v>96</v>
      </c>
      <c r="D474" t="s">
        <v>174</v>
      </c>
      <c r="E474" t="s">
        <v>175</v>
      </c>
      <c r="F474" t="s">
        <v>139</v>
      </c>
      <c r="G474">
        <v>23520</v>
      </c>
      <c r="H474" t="s">
        <v>184</v>
      </c>
      <c r="I474">
        <v>2</v>
      </c>
      <c r="J474" t="s">
        <v>101</v>
      </c>
      <c r="K474" s="19">
        <v>0.25</v>
      </c>
      <c r="L474" s="19">
        <v>0.58333333333333337</v>
      </c>
      <c r="M474">
        <v>8</v>
      </c>
      <c r="N474">
        <v>263.32</v>
      </c>
      <c r="O474">
        <v>67.5</v>
      </c>
      <c r="P474">
        <v>76</v>
      </c>
      <c r="Q474" t="s">
        <v>99</v>
      </c>
      <c r="R474">
        <v>30</v>
      </c>
      <c r="S474" s="19">
        <v>0.45833333333333331</v>
      </c>
      <c r="T474">
        <v>0</v>
      </c>
      <c r="U474" s="19">
        <v>0.54166666666666663</v>
      </c>
      <c r="V474" t="s">
        <v>99</v>
      </c>
      <c r="W474">
        <v>7.5</v>
      </c>
      <c r="X474" t="s">
        <v>102</v>
      </c>
      <c r="Y474" t="b">
        <v>0</v>
      </c>
    </row>
    <row r="475" spans="1:25" x14ac:dyDescent="0.55000000000000004">
      <c r="A475" t="s">
        <v>94</v>
      </c>
      <c r="B475" t="s">
        <v>173</v>
      </c>
      <c r="C475" t="s">
        <v>96</v>
      </c>
      <c r="D475" t="s">
        <v>174</v>
      </c>
      <c r="E475" t="s">
        <v>175</v>
      </c>
      <c r="F475" t="s">
        <v>139</v>
      </c>
      <c r="G475">
        <v>23520</v>
      </c>
      <c r="H475" t="s">
        <v>184</v>
      </c>
      <c r="I475">
        <v>2</v>
      </c>
      <c r="J475" t="s">
        <v>103</v>
      </c>
      <c r="K475" s="19">
        <v>0.25</v>
      </c>
      <c r="L475" s="19">
        <v>0.58333333333333337</v>
      </c>
      <c r="M475">
        <v>8</v>
      </c>
      <c r="N475">
        <v>263.32</v>
      </c>
      <c r="O475">
        <v>67.5</v>
      </c>
      <c r="P475">
        <v>76</v>
      </c>
      <c r="Q475" t="s">
        <v>99</v>
      </c>
      <c r="R475">
        <v>30</v>
      </c>
      <c r="S475" s="19">
        <v>0.45833333333333331</v>
      </c>
      <c r="T475">
        <v>0</v>
      </c>
      <c r="U475" s="19">
        <v>0.54166666666666663</v>
      </c>
      <c r="V475" t="s">
        <v>99</v>
      </c>
      <c r="W475">
        <v>7.5</v>
      </c>
      <c r="X475" t="s">
        <v>102</v>
      </c>
      <c r="Y475" t="b">
        <v>0</v>
      </c>
    </row>
    <row r="476" spans="1:25" x14ac:dyDescent="0.55000000000000004">
      <c r="A476" t="s">
        <v>94</v>
      </c>
      <c r="B476" t="s">
        <v>173</v>
      </c>
      <c r="C476" t="s">
        <v>96</v>
      </c>
      <c r="D476" t="s">
        <v>174</v>
      </c>
      <c r="E476" t="s">
        <v>175</v>
      </c>
      <c r="F476" t="s">
        <v>139</v>
      </c>
      <c r="G476">
        <v>23898</v>
      </c>
      <c r="H476" t="s">
        <v>199</v>
      </c>
      <c r="I476">
        <v>1</v>
      </c>
      <c r="J476" t="s">
        <v>115</v>
      </c>
      <c r="K476" s="19">
        <v>0.25</v>
      </c>
      <c r="L476" s="19">
        <v>0.58333333333333337</v>
      </c>
      <c r="M476">
        <v>8</v>
      </c>
      <c r="N476">
        <v>0</v>
      </c>
      <c r="O476">
        <v>22.5</v>
      </c>
      <c r="P476">
        <v>76</v>
      </c>
      <c r="Q476" t="s">
        <v>99</v>
      </c>
      <c r="R476">
        <v>30</v>
      </c>
      <c r="S476" s="19">
        <v>0.4375</v>
      </c>
      <c r="T476">
        <v>0</v>
      </c>
      <c r="U476" s="19">
        <v>0.54166666666666663</v>
      </c>
      <c r="V476" t="s">
        <v>99</v>
      </c>
      <c r="W476">
        <v>7.5</v>
      </c>
      <c r="X476" t="s">
        <v>102</v>
      </c>
      <c r="Y476" t="b">
        <v>0</v>
      </c>
    </row>
    <row r="477" spans="1:25" x14ac:dyDescent="0.55000000000000004">
      <c r="A477" t="s">
        <v>94</v>
      </c>
      <c r="B477" t="s">
        <v>173</v>
      </c>
      <c r="C477" t="s">
        <v>96</v>
      </c>
      <c r="D477" t="s">
        <v>174</v>
      </c>
      <c r="E477" t="s">
        <v>175</v>
      </c>
      <c r="F477" t="s">
        <v>139</v>
      </c>
      <c r="G477">
        <v>23898</v>
      </c>
      <c r="H477" t="s">
        <v>199</v>
      </c>
      <c r="I477">
        <v>1</v>
      </c>
      <c r="J477" t="s">
        <v>116</v>
      </c>
      <c r="K477" s="19">
        <v>0.25</v>
      </c>
      <c r="L477" s="19">
        <v>0.58333333333333337</v>
      </c>
      <c r="M477">
        <v>8</v>
      </c>
      <c r="N477">
        <v>0</v>
      </c>
      <c r="O477">
        <v>22.5</v>
      </c>
      <c r="P477">
        <v>76</v>
      </c>
      <c r="Q477" t="s">
        <v>99</v>
      </c>
      <c r="R477">
        <v>30</v>
      </c>
      <c r="S477" s="19">
        <v>0.4375</v>
      </c>
      <c r="T477">
        <v>0</v>
      </c>
      <c r="U477" s="19">
        <v>0.54166666666666663</v>
      </c>
      <c r="V477" t="s">
        <v>99</v>
      </c>
      <c r="W477">
        <v>7.5</v>
      </c>
      <c r="X477" t="s">
        <v>102</v>
      </c>
      <c r="Y477" t="b">
        <v>0</v>
      </c>
    </row>
    <row r="478" spans="1:25" x14ac:dyDescent="0.55000000000000004">
      <c r="A478" t="s">
        <v>94</v>
      </c>
      <c r="B478" t="s">
        <v>173</v>
      </c>
      <c r="C478" t="s">
        <v>96</v>
      </c>
      <c r="D478" t="s">
        <v>174</v>
      </c>
      <c r="E478" t="s">
        <v>175</v>
      </c>
      <c r="F478" t="s">
        <v>139</v>
      </c>
      <c r="G478">
        <v>23898</v>
      </c>
      <c r="H478" t="s">
        <v>199</v>
      </c>
      <c r="I478">
        <v>2</v>
      </c>
      <c r="J478" t="s">
        <v>116</v>
      </c>
      <c r="K478" s="19">
        <v>0.25</v>
      </c>
      <c r="L478" s="19">
        <v>0.58333333333333337</v>
      </c>
      <c r="M478">
        <v>8</v>
      </c>
      <c r="N478">
        <v>0</v>
      </c>
      <c r="O478">
        <v>22.5</v>
      </c>
      <c r="P478">
        <v>76</v>
      </c>
      <c r="Q478" t="s">
        <v>99</v>
      </c>
      <c r="R478">
        <v>30</v>
      </c>
      <c r="S478" s="19">
        <v>0.4375</v>
      </c>
      <c r="T478">
        <v>0</v>
      </c>
      <c r="U478" s="19">
        <v>0.54166666666666663</v>
      </c>
      <c r="V478" t="s">
        <v>99</v>
      </c>
      <c r="W478">
        <v>7.5</v>
      </c>
      <c r="X478" t="s">
        <v>102</v>
      </c>
      <c r="Y478" t="b">
        <v>0</v>
      </c>
    </row>
    <row r="479" spans="1:25" x14ac:dyDescent="0.55000000000000004">
      <c r="A479" t="s">
        <v>94</v>
      </c>
      <c r="B479" t="s">
        <v>173</v>
      </c>
      <c r="C479" t="s">
        <v>96</v>
      </c>
      <c r="D479" t="s">
        <v>174</v>
      </c>
      <c r="E479" t="s">
        <v>175</v>
      </c>
      <c r="F479" t="s">
        <v>139</v>
      </c>
      <c r="G479">
        <v>23964</v>
      </c>
      <c r="H479" t="s">
        <v>109</v>
      </c>
      <c r="I479">
        <v>1</v>
      </c>
      <c r="J479" t="s">
        <v>107</v>
      </c>
      <c r="K479" s="19">
        <v>0.25</v>
      </c>
      <c r="L479" s="19">
        <v>0.58333333333333337</v>
      </c>
      <c r="M479">
        <v>8</v>
      </c>
      <c r="N479">
        <v>266.39999999999998</v>
      </c>
      <c r="O479">
        <v>52.5</v>
      </c>
      <c r="P479">
        <v>76</v>
      </c>
      <c r="Q479" t="s">
        <v>99</v>
      </c>
      <c r="R479">
        <v>30</v>
      </c>
      <c r="S479" s="19">
        <v>0.4375</v>
      </c>
      <c r="T479">
        <v>0</v>
      </c>
      <c r="U479" s="19">
        <v>0.54166666666666663</v>
      </c>
      <c r="V479" t="s">
        <v>99</v>
      </c>
      <c r="W479">
        <v>7.5</v>
      </c>
      <c r="X479" t="s">
        <v>102</v>
      </c>
      <c r="Y479" t="b">
        <v>0</v>
      </c>
    </row>
    <row r="480" spans="1:25" x14ac:dyDescent="0.55000000000000004">
      <c r="A480" t="s">
        <v>94</v>
      </c>
      <c r="B480" t="s">
        <v>173</v>
      </c>
      <c r="C480" t="s">
        <v>96</v>
      </c>
      <c r="D480" t="s">
        <v>174</v>
      </c>
      <c r="E480" t="s">
        <v>175</v>
      </c>
      <c r="F480" t="s">
        <v>139</v>
      </c>
      <c r="G480">
        <v>23964</v>
      </c>
      <c r="H480" t="s">
        <v>109</v>
      </c>
      <c r="I480">
        <v>1</v>
      </c>
      <c r="J480" t="s">
        <v>101</v>
      </c>
      <c r="K480" s="19">
        <v>0.25</v>
      </c>
      <c r="L480" s="19">
        <v>0.58333333333333337</v>
      </c>
      <c r="M480">
        <v>8</v>
      </c>
      <c r="N480">
        <v>266.39999999999998</v>
      </c>
      <c r="O480">
        <v>52.5</v>
      </c>
      <c r="P480">
        <v>76</v>
      </c>
      <c r="Q480" t="s">
        <v>99</v>
      </c>
      <c r="R480">
        <v>30</v>
      </c>
      <c r="S480" s="19">
        <v>0.4375</v>
      </c>
      <c r="T480">
        <v>0</v>
      </c>
      <c r="U480" s="19">
        <v>0.54166666666666663</v>
      </c>
      <c r="V480" t="s">
        <v>99</v>
      </c>
      <c r="W480">
        <v>7.5</v>
      </c>
      <c r="X480" t="s">
        <v>102</v>
      </c>
      <c r="Y480" t="b">
        <v>0</v>
      </c>
    </row>
    <row r="481" spans="1:25" x14ac:dyDescent="0.55000000000000004">
      <c r="A481" t="s">
        <v>94</v>
      </c>
      <c r="B481" t="s">
        <v>173</v>
      </c>
      <c r="C481" t="s">
        <v>96</v>
      </c>
      <c r="D481" t="s">
        <v>174</v>
      </c>
      <c r="E481" t="s">
        <v>175</v>
      </c>
      <c r="F481" t="s">
        <v>139</v>
      </c>
      <c r="G481">
        <v>24192</v>
      </c>
      <c r="H481" t="s">
        <v>196</v>
      </c>
      <c r="I481">
        <v>2</v>
      </c>
      <c r="J481" t="s">
        <v>107</v>
      </c>
      <c r="K481" s="19">
        <v>0.25</v>
      </c>
      <c r="L481" s="19">
        <v>0.58333333333333337</v>
      </c>
      <c r="M481">
        <v>8</v>
      </c>
      <c r="N481">
        <v>263.32</v>
      </c>
      <c r="O481">
        <v>76</v>
      </c>
      <c r="P481">
        <v>76</v>
      </c>
      <c r="Q481" t="s">
        <v>99</v>
      </c>
      <c r="R481">
        <v>30</v>
      </c>
      <c r="S481" s="19">
        <v>0.45833333333333331</v>
      </c>
      <c r="T481">
        <v>0</v>
      </c>
      <c r="U481" s="19">
        <v>0.54166666666666663</v>
      </c>
      <c r="V481" t="s">
        <v>99</v>
      </c>
      <c r="W481">
        <v>7.5</v>
      </c>
      <c r="X481" t="s">
        <v>102</v>
      </c>
      <c r="Y481" t="b">
        <v>0</v>
      </c>
    </row>
    <row r="482" spans="1:25" x14ac:dyDescent="0.55000000000000004">
      <c r="A482" t="s">
        <v>94</v>
      </c>
      <c r="B482" t="s">
        <v>173</v>
      </c>
      <c r="C482" t="s">
        <v>96</v>
      </c>
      <c r="D482" t="s">
        <v>174</v>
      </c>
      <c r="E482" t="s">
        <v>175</v>
      </c>
      <c r="F482" t="s">
        <v>139</v>
      </c>
      <c r="G482">
        <v>24192</v>
      </c>
      <c r="H482" t="s">
        <v>196</v>
      </c>
      <c r="I482">
        <v>2</v>
      </c>
      <c r="J482" t="s">
        <v>105</v>
      </c>
      <c r="K482" s="19">
        <v>0.25</v>
      </c>
      <c r="L482" s="19">
        <v>0.58333333333333337</v>
      </c>
      <c r="M482">
        <v>8</v>
      </c>
      <c r="N482">
        <v>263.32</v>
      </c>
      <c r="O482">
        <v>76</v>
      </c>
      <c r="P482">
        <v>76</v>
      </c>
      <c r="Q482" t="s">
        <v>99</v>
      </c>
      <c r="R482">
        <v>30</v>
      </c>
      <c r="S482" s="19">
        <v>0.45833333333333331</v>
      </c>
      <c r="T482">
        <v>0</v>
      </c>
      <c r="U482" s="19">
        <v>0.54166666666666663</v>
      </c>
      <c r="V482" t="s">
        <v>99</v>
      </c>
      <c r="W482">
        <v>7.5</v>
      </c>
      <c r="X482" t="s">
        <v>102</v>
      </c>
      <c r="Y482" t="b">
        <v>0</v>
      </c>
    </row>
    <row r="483" spans="1:25" x14ac:dyDescent="0.55000000000000004">
      <c r="A483" t="s">
        <v>94</v>
      </c>
      <c r="B483" t="s">
        <v>173</v>
      </c>
      <c r="C483" t="s">
        <v>96</v>
      </c>
      <c r="D483" t="s">
        <v>174</v>
      </c>
      <c r="E483" t="s">
        <v>175</v>
      </c>
      <c r="F483" t="s">
        <v>139</v>
      </c>
      <c r="G483">
        <v>24217</v>
      </c>
      <c r="H483" t="s">
        <v>200</v>
      </c>
      <c r="I483">
        <v>2</v>
      </c>
      <c r="J483" t="s">
        <v>101</v>
      </c>
      <c r="K483" s="19">
        <v>0.25</v>
      </c>
      <c r="L483" s="19">
        <v>0.58333333333333337</v>
      </c>
      <c r="M483">
        <v>8</v>
      </c>
      <c r="N483">
        <v>263.32</v>
      </c>
      <c r="O483">
        <v>67.5</v>
      </c>
      <c r="P483">
        <v>76</v>
      </c>
      <c r="Q483" t="s">
        <v>99</v>
      </c>
      <c r="R483">
        <v>30</v>
      </c>
      <c r="S483" s="19">
        <v>0.45833333333333331</v>
      </c>
      <c r="T483">
        <v>0</v>
      </c>
      <c r="U483" s="19">
        <v>0</v>
      </c>
      <c r="V483" t="s">
        <v>99</v>
      </c>
      <c r="W483">
        <v>7.5</v>
      </c>
      <c r="X483" t="s">
        <v>102</v>
      </c>
      <c r="Y483" t="b">
        <v>0</v>
      </c>
    </row>
    <row r="484" spans="1:25" x14ac:dyDescent="0.55000000000000004">
      <c r="A484" t="s">
        <v>94</v>
      </c>
      <c r="B484" t="s">
        <v>173</v>
      </c>
      <c r="C484" t="s">
        <v>96</v>
      </c>
      <c r="D484" t="s">
        <v>174</v>
      </c>
      <c r="E484" t="s">
        <v>175</v>
      </c>
      <c r="F484" t="s">
        <v>139</v>
      </c>
      <c r="G484">
        <v>24217</v>
      </c>
      <c r="H484" t="s">
        <v>200</v>
      </c>
      <c r="I484">
        <v>2</v>
      </c>
      <c r="J484" t="s">
        <v>103</v>
      </c>
      <c r="K484" s="19">
        <v>0.25</v>
      </c>
      <c r="L484" s="19">
        <v>0.58333333333333337</v>
      </c>
      <c r="M484">
        <v>8</v>
      </c>
      <c r="N484">
        <v>263.32</v>
      </c>
      <c r="O484">
        <v>67.5</v>
      </c>
      <c r="P484">
        <v>76</v>
      </c>
      <c r="Q484" t="s">
        <v>99</v>
      </c>
      <c r="R484">
        <v>30</v>
      </c>
      <c r="S484" s="19">
        <v>0.45833333333333331</v>
      </c>
      <c r="T484">
        <v>0</v>
      </c>
      <c r="U484" s="19">
        <v>0</v>
      </c>
      <c r="V484" t="s">
        <v>99</v>
      </c>
      <c r="W484">
        <v>7.5</v>
      </c>
      <c r="X484" t="s">
        <v>102</v>
      </c>
      <c r="Y484" t="b">
        <v>0</v>
      </c>
    </row>
    <row r="485" spans="1:25" x14ac:dyDescent="0.55000000000000004">
      <c r="A485" t="s">
        <v>94</v>
      </c>
      <c r="B485" t="s">
        <v>173</v>
      </c>
      <c r="C485" t="s">
        <v>96</v>
      </c>
      <c r="D485" t="s">
        <v>174</v>
      </c>
      <c r="E485" t="s">
        <v>175</v>
      </c>
      <c r="F485" t="s">
        <v>139</v>
      </c>
      <c r="G485">
        <v>24241</v>
      </c>
      <c r="H485" t="s">
        <v>185</v>
      </c>
      <c r="I485">
        <v>2</v>
      </c>
      <c r="J485" t="s">
        <v>115</v>
      </c>
      <c r="K485" s="19">
        <v>0.25</v>
      </c>
      <c r="L485" s="19">
        <v>0.58333333333333337</v>
      </c>
      <c r="M485">
        <v>8</v>
      </c>
      <c r="N485">
        <v>394.99</v>
      </c>
      <c r="O485">
        <v>60</v>
      </c>
      <c r="P485">
        <v>76</v>
      </c>
      <c r="Q485" t="s">
        <v>99</v>
      </c>
      <c r="R485">
        <v>30</v>
      </c>
      <c r="S485" s="19">
        <v>0.45833333333333331</v>
      </c>
      <c r="T485">
        <v>0</v>
      </c>
      <c r="U485" s="19">
        <v>0.54166666666666663</v>
      </c>
      <c r="V485" t="s">
        <v>99</v>
      </c>
      <c r="W485">
        <v>7.5</v>
      </c>
      <c r="X485" t="s">
        <v>102</v>
      </c>
      <c r="Y485" t="b">
        <v>0</v>
      </c>
    </row>
    <row r="486" spans="1:25" x14ac:dyDescent="0.55000000000000004">
      <c r="A486" t="s">
        <v>94</v>
      </c>
      <c r="B486" t="s">
        <v>173</v>
      </c>
      <c r="C486" t="s">
        <v>96</v>
      </c>
      <c r="D486" t="s">
        <v>174</v>
      </c>
      <c r="E486" t="s">
        <v>175</v>
      </c>
      <c r="F486" t="s">
        <v>139</v>
      </c>
      <c r="G486">
        <v>24241</v>
      </c>
      <c r="H486" t="s">
        <v>185</v>
      </c>
      <c r="I486">
        <v>2</v>
      </c>
      <c r="J486" t="s">
        <v>116</v>
      </c>
      <c r="K486" s="19">
        <v>0.25</v>
      </c>
      <c r="L486" s="19">
        <v>0.58333333333333337</v>
      </c>
      <c r="M486">
        <v>8</v>
      </c>
      <c r="N486">
        <v>460.82</v>
      </c>
      <c r="O486">
        <v>60</v>
      </c>
      <c r="P486">
        <v>76</v>
      </c>
      <c r="Q486" t="s">
        <v>99</v>
      </c>
      <c r="R486">
        <v>30</v>
      </c>
      <c r="S486" s="19">
        <v>0.4375</v>
      </c>
      <c r="T486">
        <v>0</v>
      </c>
      <c r="U486" s="19">
        <v>0.54166666666666663</v>
      </c>
      <c r="V486" t="s">
        <v>99</v>
      </c>
      <c r="W486">
        <v>7.5</v>
      </c>
      <c r="X486" t="s">
        <v>102</v>
      </c>
      <c r="Y486" t="b">
        <v>0</v>
      </c>
    </row>
    <row r="487" spans="1:25" x14ac:dyDescent="0.55000000000000004">
      <c r="A487" t="s">
        <v>94</v>
      </c>
      <c r="B487" t="s">
        <v>173</v>
      </c>
      <c r="C487" t="s">
        <v>96</v>
      </c>
      <c r="D487" t="s">
        <v>174</v>
      </c>
      <c r="E487" t="s">
        <v>175</v>
      </c>
      <c r="F487" t="s">
        <v>139</v>
      </c>
      <c r="G487">
        <v>24241</v>
      </c>
      <c r="H487" t="s">
        <v>185</v>
      </c>
      <c r="I487">
        <v>2</v>
      </c>
      <c r="J487" t="s">
        <v>104</v>
      </c>
      <c r="K487" s="19">
        <v>0.25</v>
      </c>
      <c r="L487" s="19">
        <v>0.58333333333333337</v>
      </c>
      <c r="M487">
        <v>8</v>
      </c>
      <c r="N487">
        <v>263.32</v>
      </c>
      <c r="O487">
        <v>60</v>
      </c>
      <c r="P487">
        <v>76</v>
      </c>
      <c r="Q487" t="s">
        <v>99</v>
      </c>
      <c r="R487">
        <v>30</v>
      </c>
      <c r="S487" s="19">
        <v>0.45833333333333331</v>
      </c>
      <c r="T487">
        <v>0</v>
      </c>
      <c r="U487" s="19">
        <v>0</v>
      </c>
      <c r="V487" t="s">
        <v>99</v>
      </c>
      <c r="W487">
        <v>7.5</v>
      </c>
      <c r="X487" t="s">
        <v>102</v>
      </c>
      <c r="Y487" t="b">
        <v>0</v>
      </c>
    </row>
    <row r="488" spans="1:25" x14ac:dyDescent="0.55000000000000004">
      <c r="A488" t="s">
        <v>94</v>
      </c>
      <c r="B488" t="s">
        <v>173</v>
      </c>
      <c r="C488" t="s">
        <v>96</v>
      </c>
      <c r="D488" t="s">
        <v>174</v>
      </c>
      <c r="E488" t="s">
        <v>175</v>
      </c>
      <c r="F488" t="s">
        <v>139</v>
      </c>
      <c r="G488">
        <v>24479</v>
      </c>
      <c r="H488" t="s">
        <v>187</v>
      </c>
      <c r="I488">
        <v>1</v>
      </c>
      <c r="J488" t="s">
        <v>107</v>
      </c>
      <c r="K488" s="19">
        <v>0.25</v>
      </c>
      <c r="L488" s="19">
        <v>0.58333333333333337</v>
      </c>
      <c r="M488">
        <v>8</v>
      </c>
      <c r="N488">
        <v>263.32</v>
      </c>
      <c r="O488">
        <v>67.5</v>
      </c>
      <c r="P488">
        <v>76</v>
      </c>
      <c r="Q488" t="s">
        <v>99</v>
      </c>
      <c r="R488">
        <v>30</v>
      </c>
      <c r="S488" s="19">
        <v>0.4375</v>
      </c>
      <c r="T488">
        <v>0</v>
      </c>
      <c r="U488" s="19">
        <v>0.54166666666666663</v>
      </c>
      <c r="V488" t="s">
        <v>99</v>
      </c>
      <c r="W488">
        <v>7.5</v>
      </c>
      <c r="X488" t="s">
        <v>102</v>
      </c>
      <c r="Y488" t="b">
        <v>0</v>
      </c>
    </row>
    <row r="489" spans="1:25" x14ac:dyDescent="0.55000000000000004">
      <c r="A489" t="s">
        <v>94</v>
      </c>
      <c r="B489" t="s">
        <v>173</v>
      </c>
      <c r="C489" t="s">
        <v>96</v>
      </c>
      <c r="D489" t="s">
        <v>174</v>
      </c>
      <c r="E489" t="s">
        <v>175</v>
      </c>
      <c r="F489" t="s">
        <v>139</v>
      </c>
      <c r="G489">
        <v>24479</v>
      </c>
      <c r="H489" t="s">
        <v>187</v>
      </c>
      <c r="I489">
        <v>2</v>
      </c>
      <c r="J489" t="s">
        <v>116</v>
      </c>
      <c r="K489" s="19">
        <v>0.25</v>
      </c>
      <c r="L489" s="19">
        <v>0.58333333333333337</v>
      </c>
      <c r="M489">
        <v>8</v>
      </c>
      <c r="N489">
        <v>460.82</v>
      </c>
      <c r="O489">
        <v>67.5</v>
      </c>
      <c r="P489">
        <v>76</v>
      </c>
      <c r="Q489" t="s">
        <v>99</v>
      </c>
      <c r="R489">
        <v>30</v>
      </c>
      <c r="S489" s="19">
        <v>0.4375</v>
      </c>
      <c r="T489">
        <v>0</v>
      </c>
      <c r="U489" s="19">
        <v>0.54166666666666663</v>
      </c>
      <c r="V489" t="s">
        <v>99</v>
      </c>
      <c r="W489">
        <v>7.5</v>
      </c>
      <c r="X489" t="s">
        <v>102</v>
      </c>
      <c r="Y489" t="b">
        <v>0</v>
      </c>
    </row>
    <row r="490" spans="1:25" x14ac:dyDescent="0.55000000000000004">
      <c r="A490" t="s">
        <v>94</v>
      </c>
      <c r="B490" t="s">
        <v>173</v>
      </c>
      <c r="C490" t="s">
        <v>96</v>
      </c>
      <c r="D490" t="s">
        <v>174</v>
      </c>
      <c r="E490" t="s">
        <v>175</v>
      </c>
      <c r="F490" t="s">
        <v>139</v>
      </c>
      <c r="G490">
        <v>25175</v>
      </c>
      <c r="H490" t="s">
        <v>201</v>
      </c>
      <c r="I490">
        <v>1</v>
      </c>
      <c r="J490" t="s">
        <v>116</v>
      </c>
      <c r="K490" s="19">
        <v>0.25</v>
      </c>
      <c r="L490" s="19">
        <v>0.58333333333333337</v>
      </c>
      <c r="M490">
        <v>8</v>
      </c>
      <c r="N490">
        <v>460.82</v>
      </c>
      <c r="O490">
        <v>75</v>
      </c>
      <c r="P490">
        <v>76</v>
      </c>
      <c r="Q490" t="s">
        <v>99</v>
      </c>
      <c r="R490">
        <v>30</v>
      </c>
      <c r="S490" s="19">
        <v>0.4375</v>
      </c>
      <c r="T490">
        <v>0</v>
      </c>
      <c r="U490" s="19">
        <v>0.54166666666666663</v>
      </c>
      <c r="V490" t="s">
        <v>99</v>
      </c>
      <c r="W490">
        <v>7.5</v>
      </c>
      <c r="X490" t="s">
        <v>102</v>
      </c>
      <c r="Y490" t="b">
        <v>0</v>
      </c>
    </row>
    <row r="491" spans="1:25" x14ac:dyDescent="0.55000000000000004">
      <c r="A491" t="s">
        <v>94</v>
      </c>
      <c r="B491" t="s">
        <v>173</v>
      </c>
      <c r="C491" t="s">
        <v>96</v>
      </c>
      <c r="D491" t="s">
        <v>174</v>
      </c>
      <c r="E491" t="s">
        <v>175</v>
      </c>
      <c r="F491" t="s">
        <v>139</v>
      </c>
      <c r="G491">
        <v>25989</v>
      </c>
      <c r="H491" t="s">
        <v>202</v>
      </c>
      <c r="I491">
        <v>2</v>
      </c>
      <c r="J491" t="s">
        <v>104</v>
      </c>
      <c r="K491" s="19">
        <v>0.25</v>
      </c>
      <c r="L491" s="19">
        <v>0.58333333333333337</v>
      </c>
      <c r="M491">
        <v>8</v>
      </c>
      <c r="N491">
        <v>329.16</v>
      </c>
      <c r="O491">
        <v>0</v>
      </c>
      <c r="P491">
        <v>76</v>
      </c>
      <c r="Q491" t="s">
        <v>99</v>
      </c>
      <c r="R491">
        <v>30</v>
      </c>
      <c r="S491" s="19">
        <v>0.45833333333333331</v>
      </c>
      <c r="T491">
        <v>0</v>
      </c>
      <c r="U491" s="19">
        <v>0.54166666666666663</v>
      </c>
      <c r="V491" t="s">
        <v>99</v>
      </c>
      <c r="W491">
        <v>7.5</v>
      </c>
      <c r="X491" t="s">
        <v>102</v>
      </c>
      <c r="Y491" t="b">
        <v>0</v>
      </c>
    </row>
    <row r="492" spans="1:25" x14ac:dyDescent="0.55000000000000004">
      <c r="A492" t="s">
        <v>94</v>
      </c>
      <c r="B492" t="s">
        <v>173</v>
      </c>
      <c r="C492" t="s">
        <v>96</v>
      </c>
      <c r="D492" t="s">
        <v>174</v>
      </c>
      <c r="E492" t="s">
        <v>175</v>
      </c>
      <c r="F492" t="s">
        <v>139</v>
      </c>
      <c r="G492">
        <v>26320</v>
      </c>
      <c r="H492" t="s">
        <v>192</v>
      </c>
      <c r="I492">
        <v>2</v>
      </c>
      <c r="J492" t="s">
        <v>105</v>
      </c>
      <c r="K492" s="19">
        <v>0.25</v>
      </c>
      <c r="L492" s="19">
        <v>0.58333333333333337</v>
      </c>
      <c r="M492">
        <v>8</v>
      </c>
      <c r="N492">
        <v>329.16</v>
      </c>
      <c r="O492">
        <v>0</v>
      </c>
      <c r="P492">
        <v>76</v>
      </c>
      <c r="Q492" t="s">
        <v>99</v>
      </c>
      <c r="R492">
        <v>30</v>
      </c>
      <c r="S492" s="19">
        <v>0.45833333333333331</v>
      </c>
      <c r="T492">
        <v>0</v>
      </c>
      <c r="U492" s="19">
        <v>0</v>
      </c>
      <c r="V492" t="s">
        <v>99</v>
      </c>
      <c r="W492">
        <v>7.5</v>
      </c>
      <c r="X492" t="s">
        <v>102</v>
      </c>
      <c r="Y492" t="b">
        <v>0</v>
      </c>
    </row>
    <row r="493" spans="1:25" x14ac:dyDescent="0.55000000000000004">
      <c r="A493" t="s">
        <v>94</v>
      </c>
      <c r="B493" t="s">
        <v>173</v>
      </c>
      <c r="C493" t="s">
        <v>96</v>
      </c>
      <c r="D493" t="s">
        <v>174</v>
      </c>
      <c r="E493" t="s">
        <v>175</v>
      </c>
      <c r="F493" t="s">
        <v>139</v>
      </c>
      <c r="G493">
        <v>26358</v>
      </c>
      <c r="H493" t="s">
        <v>203</v>
      </c>
      <c r="I493">
        <v>2</v>
      </c>
      <c r="J493" t="s">
        <v>107</v>
      </c>
      <c r="K493" s="19">
        <v>0.25</v>
      </c>
      <c r="L493" s="19">
        <v>0.58333333333333337</v>
      </c>
      <c r="M493">
        <v>8</v>
      </c>
      <c r="N493">
        <v>343.5</v>
      </c>
      <c r="O493">
        <v>0</v>
      </c>
      <c r="P493">
        <v>76</v>
      </c>
      <c r="Q493" t="s">
        <v>99</v>
      </c>
      <c r="R493">
        <v>30</v>
      </c>
      <c r="S493" s="19">
        <v>0.4375</v>
      </c>
      <c r="T493">
        <v>0</v>
      </c>
      <c r="U493" s="19">
        <v>0.54166666666666663</v>
      </c>
      <c r="V493" t="s">
        <v>99</v>
      </c>
      <c r="W493">
        <v>7.5</v>
      </c>
      <c r="X493" t="s">
        <v>102</v>
      </c>
      <c r="Y493" t="b">
        <v>0</v>
      </c>
    </row>
    <row r="494" spans="1:25" x14ac:dyDescent="0.55000000000000004">
      <c r="A494" t="s">
        <v>94</v>
      </c>
      <c r="B494" t="s">
        <v>173</v>
      </c>
      <c r="C494" t="s">
        <v>96</v>
      </c>
      <c r="D494" t="s">
        <v>174</v>
      </c>
      <c r="E494" t="s">
        <v>175</v>
      </c>
      <c r="F494" t="s">
        <v>139</v>
      </c>
      <c r="G494">
        <v>26358</v>
      </c>
      <c r="H494" t="s">
        <v>203</v>
      </c>
      <c r="I494">
        <v>2</v>
      </c>
      <c r="J494" t="s">
        <v>115</v>
      </c>
      <c r="K494" s="19">
        <v>0.25</v>
      </c>
      <c r="L494" s="19">
        <v>0.58333333333333337</v>
      </c>
      <c r="M494">
        <v>8</v>
      </c>
      <c r="N494">
        <v>412.2</v>
      </c>
      <c r="O494">
        <v>0</v>
      </c>
      <c r="P494">
        <v>76</v>
      </c>
      <c r="Q494" t="s">
        <v>99</v>
      </c>
      <c r="R494">
        <v>30</v>
      </c>
      <c r="S494" s="19">
        <v>0.4375</v>
      </c>
      <c r="T494">
        <v>0</v>
      </c>
      <c r="U494" s="19">
        <v>0.54166666666666663</v>
      </c>
      <c r="V494" t="s">
        <v>99</v>
      </c>
      <c r="W494">
        <v>7.5</v>
      </c>
      <c r="X494" t="s">
        <v>102</v>
      </c>
      <c r="Y494" t="b">
        <v>0</v>
      </c>
    </row>
    <row r="495" spans="1:25" x14ac:dyDescent="0.55000000000000004">
      <c r="A495" t="s">
        <v>94</v>
      </c>
      <c r="B495" t="s">
        <v>173</v>
      </c>
      <c r="C495" t="s">
        <v>96</v>
      </c>
      <c r="D495" t="s">
        <v>174</v>
      </c>
      <c r="E495" t="s">
        <v>175</v>
      </c>
      <c r="F495" t="s">
        <v>139</v>
      </c>
      <c r="G495">
        <v>26407</v>
      </c>
      <c r="H495" t="s">
        <v>193</v>
      </c>
      <c r="I495">
        <v>1</v>
      </c>
      <c r="J495" t="s">
        <v>101</v>
      </c>
      <c r="K495" s="19">
        <v>0.25</v>
      </c>
      <c r="L495" s="19">
        <v>0.58333333333333337</v>
      </c>
      <c r="M495">
        <v>8</v>
      </c>
      <c r="N495">
        <v>329.16</v>
      </c>
      <c r="O495">
        <v>45</v>
      </c>
      <c r="P495">
        <v>76</v>
      </c>
      <c r="Q495" t="s">
        <v>99</v>
      </c>
      <c r="R495">
        <v>30</v>
      </c>
      <c r="S495" s="19">
        <v>0.4375</v>
      </c>
      <c r="T495">
        <v>0</v>
      </c>
      <c r="U495" s="19">
        <v>0.54166666666666663</v>
      </c>
      <c r="V495" t="s">
        <v>99</v>
      </c>
      <c r="W495">
        <v>7.5</v>
      </c>
      <c r="X495" t="s">
        <v>102</v>
      </c>
      <c r="Y495" t="b">
        <v>0</v>
      </c>
    </row>
    <row r="496" spans="1:25" x14ac:dyDescent="0.55000000000000004">
      <c r="A496" t="s">
        <v>94</v>
      </c>
      <c r="B496" t="s">
        <v>173</v>
      </c>
      <c r="C496" t="s">
        <v>96</v>
      </c>
      <c r="D496" t="s">
        <v>174</v>
      </c>
      <c r="E496" t="s">
        <v>175</v>
      </c>
      <c r="F496" t="s">
        <v>141</v>
      </c>
      <c r="H496" t="s">
        <v>99</v>
      </c>
      <c r="I496">
        <v>2</v>
      </c>
      <c r="J496" t="s">
        <v>115</v>
      </c>
      <c r="K496" s="19">
        <v>0.25</v>
      </c>
      <c r="L496" s="19">
        <v>0.58333333333333337</v>
      </c>
      <c r="M496">
        <v>8</v>
      </c>
      <c r="N496">
        <v>375.19</v>
      </c>
      <c r="O496">
        <v>0</v>
      </c>
      <c r="P496">
        <v>0</v>
      </c>
      <c r="Q496" t="s">
        <v>99</v>
      </c>
      <c r="R496">
        <v>30</v>
      </c>
      <c r="S496" s="19">
        <v>0.45833333333333331</v>
      </c>
      <c r="T496">
        <v>0</v>
      </c>
      <c r="U496" s="19">
        <v>0</v>
      </c>
      <c r="V496" t="s">
        <v>99</v>
      </c>
      <c r="W496">
        <v>7.5</v>
      </c>
      <c r="X496" t="s">
        <v>102</v>
      </c>
      <c r="Y496" t="b">
        <v>0</v>
      </c>
    </row>
    <row r="497" spans="1:25" x14ac:dyDescent="0.55000000000000004">
      <c r="A497" t="s">
        <v>94</v>
      </c>
      <c r="B497" t="s">
        <v>173</v>
      </c>
      <c r="C497" t="s">
        <v>96</v>
      </c>
      <c r="D497" t="s">
        <v>174</v>
      </c>
      <c r="E497" t="s">
        <v>175</v>
      </c>
      <c r="F497" t="s">
        <v>141</v>
      </c>
      <c r="G497">
        <v>19136</v>
      </c>
      <c r="H497" t="s">
        <v>198</v>
      </c>
      <c r="I497">
        <v>1</v>
      </c>
      <c r="J497" t="s">
        <v>101</v>
      </c>
      <c r="K497" s="19">
        <v>0.25</v>
      </c>
      <c r="L497" s="19">
        <v>0.58333333333333337</v>
      </c>
      <c r="M497">
        <v>8</v>
      </c>
      <c r="N497">
        <v>266.39999999999998</v>
      </c>
      <c r="O497">
        <v>52.5</v>
      </c>
      <c r="P497">
        <v>76</v>
      </c>
      <c r="Q497" t="s">
        <v>99</v>
      </c>
      <c r="R497">
        <v>30</v>
      </c>
      <c r="S497" s="19">
        <v>0.45833333333333331</v>
      </c>
      <c r="T497">
        <v>0</v>
      </c>
      <c r="U497" s="19">
        <v>0.54166666666666663</v>
      </c>
      <c r="V497" t="s">
        <v>99</v>
      </c>
      <c r="W497">
        <v>7.5</v>
      </c>
      <c r="X497" t="s">
        <v>102</v>
      </c>
      <c r="Y497" t="b">
        <v>0</v>
      </c>
    </row>
    <row r="498" spans="1:25" x14ac:dyDescent="0.55000000000000004">
      <c r="A498" t="s">
        <v>94</v>
      </c>
      <c r="B498" t="s">
        <v>173</v>
      </c>
      <c r="C498" t="s">
        <v>96</v>
      </c>
      <c r="D498" t="s">
        <v>174</v>
      </c>
      <c r="E498" t="s">
        <v>175</v>
      </c>
      <c r="F498" t="s">
        <v>141</v>
      </c>
      <c r="G498">
        <v>19136</v>
      </c>
      <c r="H498" t="s">
        <v>198</v>
      </c>
      <c r="I498">
        <v>1</v>
      </c>
      <c r="J498" t="s">
        <v>105</v>
      </c>
      <c r="K498" s="19">
        <v>0.25</v>
      </c>
      <c r="L498" s="19">
        <v>0.58333333333333337</v>
      </c>
      <c r="M498">
        <v>8</v>
      </c>
      <c r="N498">
        <v>266.39999999999998</v>
      </c>
      <c r="O498">
        <v>52.5</v>
      </c>
      <c r="P498">
        <v>76</v>
      </c>
      <c r="Q498" t="s">
        <v>99</v>
      </c>
      <c r="R498">
        <v>30</v>
      </c>
      <c r="S498" s="19">
        <v>0.45833333333333331</v>
      </c>
      <c r="T498">
        <v>0</v>
      </c>
      <c r="U498" s="19">
        <v>0</v>
      </c>
      <c r="V498" t="s">
        <v>99</v>
      </c>
      <c r="W498">
        <v>7.5</v>
      </c>
      <c r="X498" t="s">
        <v>102</v>
      </c>
      <c r="Y498" t="b">
        <v>0</v>
      </c>
    </row>
    <row r="499" spans="1:25" x14ac:dyDescent="0.55000000000000004">
      <c r="A499" t="s">
        <v>94</v>
      </c>
      <c r="B499" t="s">
        <v>173</v>
      </c>
      <c r="C499" t="s">
        <v>96</v>
      </c>
      <c r="D499" t="s">
        <v>174</v>
      </c>
      <c r="E499" t="s">
        <v>175</v>
      </c>
      <c r="F499" t="s">
        <v>141</v>
      </c>
      <c r="G499">
        <v>19136</v>
      </c>
      <c r="H499" t="s">
        <v>198</v>
      </c>
      <c r="I499">
        <v>2</v>
      </c>
      <c r="J499" t="s">
        <v>115</v>
      </c>
      <c r="K499" s="19">
        <v>0.25</v>
      </c>
      <c r="L499" s="19">
        <v>0.58333333333333337</v>
      </c>
      <c r="M499">
        <v>8</v>
      </c>
      <c r="N499">
        <v>399.6</v>
      </c>
      <c r="O499">
        <v>52.5</v>
      </c>
      <c r="P499">
        <v>76</v>
      </c>
      <c r="Q499" t="s">
        <v>99</v>
      </c>
      <c r="R499">
        <v>30</v>
      </c>
      <c r="S499" s="19">
        <v>0.45833333333333331</v>
      </c>
      <c r="T499">
        <v>0</v>
      </c>
      <c r="U499" s="19">
        <v>0</v>
      </c>
      <c r="V499" t="s">
        <v>99</v>
      </c>
      <c r="W499">
        <v>7.5</v>
      </c>
      <c r="X499" t="s">
        <v>102</v>
      </c>
      <c r="Y499" t="b">
        <v>0</v>
      </c>
    </row>
    <row r="500" spans="1:25" x14ac:dyDescent="0.55000000000000004">
      <c r="A500" t="s">
        <v>94</v>
      </c>
      <c r="B500" t="s">
        <v>173</v>
      </c>
      <c r="C500" t="s">
        <v>96</v>
      </c>
      <c r="D500" t="s">
        <v>174</v>
      </c>
      <c r="E500" t="s">
        <v>175</v>
      </c>
      <c r="F500" t="s">
        <v>141</v>
      </c>
      <c r="G500">
        <v>19136</v>
      </c>
      <c r="H500" t="s">
        <v>198</v>
      </c>
      <c r="I500">
        <v>2</v>
      </c>
      <c r="J500" t="s">
        <v>103</v>
      </c>
      <c r="K500" s="19">
        <v>0.25</v>
      </c>
      <c r="L500" s="19">
        <v>0.58333333333333337</v>
      </c>
      <c r="M500">
        <v>8</v>
      </c>
      <c r="N500">
        <v>266.39999999999998</v>
      </c>
      <c r="O500">
        <v>52.5</v>
      </c>
      <c r="P500">
        <v>76</v>
      </c>
      <c r="Q500" t="s">
        <v>99</v>
      </c>
      <c r="R500">
        <v>30</v>
      </c>
      <c r="S500" s="19">
        <v>0.45833333333333331</v>
      </c>
      <c r="T500">
        <v>0</v>
      </c>
      <c r="U500" s="19">
        <v>0.54166666666666663</v>
      </c>
      <c r="V500" t="s">
        <v>99</v>
      </c>
      <c r="W500">
        <v>7.5</v>
      </c>
      <c r="X500" t="s">
        <v>102</v>
      </c>
      <c r="Y500" t="b">
        <v>0</v>
      </c>
    </row>
    <row r="501" spans="1:25" x14ac:dyDescent="0.55000000000000004">
      <c r="A501" t="s">
        <v>94</v>
      </c>
      <c r="B501" t="s">
        <v>173</v>
      </c>
      <c r="C501" t="s">
        <v>96</v>
      </c>
      <c r="D501" t="s">
        <v>174</v>
      </c>
      <c r="E501" t="s">
        <v>175</v>
      </c>
      <c r="F501" t="s">
        <v>141</v>
      </c>
      <c r="G501">
        <v>19136</v>
      </c>
      <c r="H501" t="s">
        <v>198</v>
      </c>
      <c r="I501">
        <v>2</v>
      </c>
      <c r="J501" t="s">
        <v>104</v>
      </c>
      <c r="K501" s="19">
        <v>0.25</v>
      </c>
      <c r="L501" s="19">
        <v>0.58333333333333337</v>
      </c>
      <c r="M501">
        <v>8</v>
      </c>
      <c r="N501">
        <v>266.39999999999998</v>
      </c>
      <c r="O501">
        <v>52.5</v>
      </c>
      <c r="P501">
        <v>76</v>
      </c>
      <c r="Q501" t="s">
        <v>99</v>
      </c>
      <c r="R501">
        <v>30</v>
      </c>
      <c r="S501" s="19">
        <v>0.45833333333333331</v>
      </c>
      <c r="T501">
        <v>0</v>
      </c>
      <c r="U501" s="19">
        <v>0</v>
      </c>
      <c r="V501" t="s">
        <v>99</v>
      </c>
      <c r="W501">
        <v>7.5</v>
      </c>
      <c r="X501" t="s">
        <v>102</v>
      </c>
      <c r="Y501" t="b">
        <v>0</v>
      </c>
    </row>
    <row r="502" spans="1:25" x14ac:dyDescent="0.55000000000000004">
      <c r="A502" t="s">
        <v>94</v>
      </c>
      <c r="B502" t="s">
        <v>173</v>
      </c>
      <c r="C502" t="s">
        <v>96</v>
      </c>
      <c r="D502" t="s">
        <v>174</v>
      </c>
      <c r="E502" t="s">
        <v>175</v>
      </c>
      <c r="F502" t="s">
        <v>141</v>
      </c>
      <c r="G502">
        <v>19136</v>
      </c>
      <c r="H502" t="s">
        <v>198</v>
      </c>
      <c r="I502">
        <v>2</v>
      </c>
      <c r="J502" t="s">
        <v>105</v>
      </c>
      <c r="K502" s="19">
        <v>0.25</v>
      </c>
      <c r="L502" s="19">
        <v>0.58333333333333337</v>
      </c>
      <c r="M502">
        <v>8</v>
      </c>
      <c r="N502">
        <v>266.39999999999998</v>
      </c>
      <c r="O502">
        <v>52.5</v>
      </c>
      <c r="P502">
        <v>76</v>
      </c>
      <c r="Q502" t="s">
        <v>99</v>
      </c>
      <c r="R502">
        <v>30</v>
      </c>
      <c r="S502" s="19">
        <v>0.45833333333333331</v>
      </c>
      <c r="T502">
        <v>0</v>
      </c>
      <c r="U502" s="19">
        <v>0</v>
      </c>
      <c r="V502" t="s">
        <v>99</v>
      </c>
      <c r="W502">
        <v>7.5</v>
      </c>
      <c r="X502" t="s">
        <v>102</v>
      </c>
      <c r="Y502" t="b">
        <v>0</v>
      </c>
    </row>
    <row r="503" spans="1:25" x14ac:dyDescent="0.55000000000000004">
      <c r="A503" t="s">
        <v>94</v>
      </c>
      <c r="B503" t="s">
        <v>173</v>
      </c>
      <c r="C503" t="s">
        <v>96</v>
      </c>
      <c r="D503" t="s">
        <v>174</v>
      </c>
      <c r="E503" t="s">
        <v>175</v>
      </c>
      <c r="F503" t="s">
        <v>141</v>
      </c>
      <c r="G503">
        <v>22035</v>
      </c>
      <c r="H503" t="s">
        <v>179</v>
      </c>
      <c r="I503">
        <v>1</v>
      </c>
      <c r="J503" t="s">
        <v>115</v>
      </c>
      <c r="K503" s="19">
        <v>0.25</v>
      </c>
      <c r="L503" s="19">
        <v>0.58333333333333337</v>
      </c>
      <c r="M503">
        <v>8</v>
      </c>
      <c r="N503">
        <v>394.99</v>
      </c>
      <c r="O503">
        <v>66.5</v>
      </c>
      <c r="P503">
        <v>76</v>
      </c>
      <c r="Q503" t="s">
        <v>99</v>
      </c>
      <c r="R503">
        <v>30</v>
      </c>
      <c r="S503" s="19">
        <v>0.4375</v>
      </c>
      <c r="T503">
        <v>0</v>
      </c>
      <c r="U503" s="19">
        <v>0</v>
      </c>
      <c r="V503" t="s">
        <v>99</v>
      </c>
      <c r="W503">
        <v>7.5</v>
      </c>
      <c r="X503" t="s">
        <v>102</v>
      </c>
      <c r="Y503" t="b">
        <v>0</v>
      </c>
    </row>
    <row r="504" spans="1:25" x14ac:dyDescent="0.55000000000000004">
      <c r="A504" t="s">
        <v>94</v>
      </c>
      <c r="B504" t="s">
        <v>173</v>
      </c>
      <c r="C504" t="s">
        <v>96</v>
      </c>
      <c r="D504" t="s">
        <v>174</v>
      </c>
      <c r="E504" t="s">
        <v>175</v>
      </c>
      <c r="F504" t="s">
        <v>141</v>
      </c>
      <c r="G504">
        <v>22350</v>
      </c>
      <c r="H504" t="s">
        <v>194</v>
      </c>
      <c r="I504">
        <v>2</v>
      </c>
      <c r="J504" t="s">
        <v>101</v>
      </c>
      <c r="K504" s="19">
        <v>0.25</v>
      </c>
      <c r="L504" s="19">
        <v>0.58333333333333337</v>
      </c>
      <c r="M504">
        <v>8</v>
      </c>
      <c r="N504">
        <v>263.32</v>
      </c>
      <c r="O504">
        <v>67.5</v>
      </c>
      <c r="P504">
        <v>76</v>
      </c>
      <c r="Q504" t="s">
        <v>99</v>
      </c>
      <c r="R504">
        <v>30</v>
      </c>
      <c r="S504" s="19">
        <v>0.45833333333333331</v>
      </c>
      <c r="T504">
        <v>0</v>
      </c>
      <c r="U504" s="19">
        <v>0.54166666666666663</v>
      </c>
      <c r="V504" t="s">
        <v>99</v>
      </c>
      <c r="W504">
        <v>7.5</v>
      </c>
      <c r="X504" t="s">
        <v>102</v>
      </c>
      <c r="Y504" t="b">
        <v>0</v>
      </c>
    </row>
    <row r="505" spans="1:25" x14ac:dyDescent="0.55000000000000004">
      <c r="A505" t="s">
        <v>94</v>
      </c>
      <c r="B505" t="s">
        <v>173</v>
      </c>
      <c r="C505" t="s">
        <v>96</v>
      </c>
      <c r="D505" t="s">
        <v>174</v>
      </c>
      <c r="E505" t="s">
        <v>175</v>
      </c>
      <c r="F505" t="s">
        <v>141</v>
      </c>
      <c r="G505">
        <v>22350</v>
      </c>
      <c r="H505" t="s">
        <v>194</v>
      </c>
      <c r="I505">
        <v>2</v>
      </c>
      <c r="J505" t="s">
        <v>116</v>
      </c>
      <c r="K505" s="19">
        <v>0.25</v>
      </c>
      <c r="L505" s="19">
        <v>0.58333333333333337</v>
      </c>
      <c r="M505">
        <v>8</v>
      </c>
      <c r="N505">
        <v>460.82</v>
      </c>
      <c r="O505">
        <v>67.5</v>
      </c>
      <c r="P505">
        <v>76</v>
      </c>
      <c r="Q505" t="s">
        <v>99</v>
      </c>
      <c r="R505">
        <v>30</v>
      </c>
      <c r="S505" s="19">
        <v>0.45833333333333331</v>
      </c>
      <c r="T505">
        <v>0</v>
      </c>
      <c r="U505" s="19">
        <v>0.54166666666666663</v>
      </c>
      <c r="V505" t="s">
        <v>99</v>
      </c>
      <c r="W505">
        <v>7.5</v>
      </c>
      <c r="X505" t="s">
        <v>102</v>
      </c>
      <c r="Y505" t="b">
        <v>0</v>
      </c>
    </row>
    <row r="506" spans="1:25" x14ac:dyDescent="0.55000000000000004">
      <c r="A506" t="s">
        <v>94</v>
      </c>
      <c r="B506" t="s">
        <v>173</v>
      </c>
      <c r="C506" t="s">
        <v>96</v>
      </c>
      <c r="D506" t="s">
        <v>174</v>
      </c>
      <c r="E506" t="s">
        <v>175</v>
      </c>
      <c r="F506" t="s">
        <v>141</v>
      </c>
      <c r="G506">
        <v>22350</v>
      </c>
      <c r="H506" t="s">
        <v>194</v>
      </c>
      <c r="I506">
        <v>2</v>
      </c>
      <c r="J506" t="s">
        <v>104</v>
      </c>
      <c r="K506" s="19">
        <v>0.25</v>
      </c>
      <c r="L506" s="19">
        <v>0.58333333333333337</v>
      </c>
      <c r="M506">
        <v>8</v>
      </c>
      <c r="N506">
        <v>263.32</v>
      </c>
      <c r="O506">
        <v>67.5</v>
      </c>
      <c r="P506">
        <v>76</v>
      </c>
      <c r="Q506" t="s">
        <v>99</v>
      </c>
      <c r="R506">
        <v>30</v>
      </c>
      <c r="S506" s="19">
        <v>0.45833333333333331</v>
      </c>
      <c r="T506">
        <v>0</v>
      </c>
      <c r="U506" s="19">
        <v>0.54166666666666663</v>
      </c>
      <c r="V506" t="s">
        <v>99</v>
      </c>
      <c r="W506">
        <v>7.5</v>
      </c>
      <c r="X506" t="s">
        <v>102</v>
      </c>
      <c r="Y506" t="b">
        <v>0</v>
      </c>
    </row>
    <row r="507" spans="1:25" x14ac:dyDescent="0.55000000000000004">
      <c r="A507" t="s">
        <v>94</v>
      </c>
      <c r="B507" t="s">
        <v>173</v>
      </c>
      <c r="C507" t="s">
        <v>96</v>
      </c>
      <c r="D507" t="s">
        <v>174</v>
      </c>
      <c r="E507" t="s">
        <v>175</v>
      </c>
      <c r="F507" t="s">
        <v>141</v>
      </c>
      <c r="G507">
        <v>22350</v>
      </c>
      <c r="H507" t="s">
        <v>194</v>
      </c>
      <c r="I507">
        <v>2</v>
      </c>
      <c r="J507" t="s">
        <v>105</v>
      </c>
      <c r="K507" s="19">
        <v>0.25</v>
      </c>
      <c r="L507" s="19">
        <v>0.58333333333333337</v>
      </c>
      <c r="M507">
        <v>8</v>
      </c>
      <c r="N507">
        <v>263.32</v>
      </c>
      <c r="O507">
        <v>67.5</v>
      </c>
      <c r="P507">
        <v>76</v>
      </c>
      <c r="Q507" t="s">
        <v>99</v>
      </c>
      <c r="R507">
        <v>30</v>
      </c>
      <c r="S507" s="19">
        <v>0.4375</v>
      </c>
      <c r="T507">
        <v>0</v>
      </c>
      <c r="U507" s="19">
        <v>0.54166666666666663</v>
      </c>
      <c r="V507" t="s">
        <v>99</v>
      </c>
      <c r="W507">
        <v>7.5</v>
      </c>
      <c r="X507" t="s">
        <v>102</v>
      </c>
      <c r="Y507" t="b">
        <v>0</v>
      </c>
    </row>
    <row r="508" spans="1:25" x14ac:dyDescent="0.55000000000000004">
      <c r="A508" t="s">
        <v>94</v>
      </c>
      <c r="B508" t="s">
        <v>173</v>
      </c>
      <c r="C508" t="s">
        <v>96</v>
      </c>
      <c r="D508" t="s">
        <v>174</v>
      </c>
      <c r="E508" t="s">
        <v>175</v>
      </c>
      <c r="F508" t="s">
        <v>141</v>
      </c>
      <c r="G508">
        <v>22612</v>
      </c>
      <c r="H508" t="s">
        <v>204</v>
      </c>
      <c r="I508">
        <v>1</v>
      </c>
      <c r="J508" t="s">
        <v>116</v>
      </c>
      <c r="K508" s="19">
        <v>0.25</v>
      </c>
      <c r="L508" s="19">
        <v>0.58333333333333337</v>
      </c>
      <c r="M508">
        <v>8</v>
      </c>
      <c r="N508">
        <v>0</v>
      </c>
      <c r="O508">
        <v>30</v>
      </c>
      <c r="P508">
        <v>76</v>
      </c>
      <c r="Q508" t="s">
        <v>99</v>
      </c>
      <c r="R508">
        <v>30</v>
      </c>
      <c r="S508" s="19">
        <v>0.45833333333333331</v>
      </c>
      <c r="T508">
        <v>0</v>
      </c>
      <c r="U508" s="19">
        <v>0.54166666666666663</v>
      </c>
      <c r="V508" t="s">
        <v>99</v>
      </c>
      <c r="W508">
        <v>7.5</v>
      </c>
      <c r="X508" t="s">
        <v>102</v>
      </c>
      <c r="Y508" t="b">
        <v>0</v>
      </c>
    </row>
    <row r="509" spans="1:25" x14ac:dyDescent="0.55000000000000004">
      <c r="A509" t="s">
        <v>94</v>
      </c>
      <c r="B509" t="s">
        <v>173</v>
      </c>
      <c r="C509" t="s">
        <v>96</v>
      </c>
      <c r="D509" t="s">
        <v>174</v>
      </c>
      <c r="E509" t="s">
        <v>175</v>
      </c>
      <c r="F509" t="s">
        <v>141</v>
      </c>
      <c r="G509">
        <v>22612</v>
      </c>
      <c r="H509" t="s">
        <v>204</v>
      </c>
      <c r="I509">
        <v>1</v>
      </c>
      <c r="J509" t="s">
        <v>104</v>
      </c>
      <c r="K509" s="19">
        <v>0.25</v>
      </c>
      <c r="L509" s="19">
        <v>0.58333333333333337</v>
      </c>
      <c r="M509">
        <v>8</v>
      </c>
      <c r="N509">
        <v>238.65</v>
      </c>
      <c r="O509">
        <v>30</v>
      </c>
      <c r="P509">
        <v>76</v>
      </c>
      <c r="Q509" t="s">
        <v>99</v>
      </c>
      <c r="R509">
        <v>30</v>
      </c>
      <c r="S509" s="19">
        <v>0.45833333333333331</v>
      </c>
      <c r="T509">
        <v>0</v>
      </c>
      <c r="U509" s="19">
        <v>0</v>
      </c>
      <c r="V509" t="s">
        <v>99</v>
      </c>
      <c r="W509">
        <v>7.5</v>
      </c>
      <c r="X509" t="s">
        <v>102</v>
      </c>
      <c r="Y509" t="b">
        <v>0</v>
      </c>
    </row>
    <row r="510" spans="1:25" x14ac:dyDescent="0.55000000000000004">
      <c r="A510" t="s">
        <v>94</v>
      </c>
      <c r="B510" t="s">
        <v>173</v>
      </c>
      <c r="C510" t="s">
        <v>96</v>
      </c>
      <c r="D510" t="s">
        <v>174</v>
      </c>
      <c r="E510" t="s">
        <v>175</v>
      </c>
      <c r="F510" t="s">
        <v>141</v>
      </c>
      <c r="G510">
        <v>22612</v>
      </c>
      <c r="H510" t="s">
        <v>204</v>
      </c>
      <c r="I510">
        <v>2</v>
      </c>
      <c r="J510" t="s">
        <v>116</v>
      </c>
      <c r="K510" s="19">
        <v>0.25</v>
      </c>
      <c r="L510" s="19">
        <v>0.58333333333333337</v>
      </c>
      <c r="M510">
        <v>8</v>
      </c>
      <c r="N510">
        <v>417.64</v>
      </c>
      <c r="O510">
        <v>30</v>
      </c>
      <c r="P510">
        <v>76</v>
      </c>
      <c r="Q510" t="s">
        <v>99</v>
      </c>
      <c r="R510">
        <v>30</v>
      </c>
      <c r="S510" s="19">
        <v>0.45833333333333331</v>
      </c>
      <c r="T510">
        <v>0</v>
      </c>
      <c r="U510" s="19">
        <v>0</v>
      </c>
      <c r="V510" t="s">
        <v>99</v>
      </c>
      <c r="W510">
        <v>7.5</v>
      </c>
      <c r="X510" t="s">
        <v>102</v>
      </c>
      <c r="Y510" t="b">
        <v>0</v>
      </c>
    </row>
    <row r="511" spans="1:25" x14ac:dyDescent="0.55000000000000004">
      <c r="A511" t="s">
        <v>94</v>
      </c>
      <c r="B511" t="s">
        <v>173</v>
      </c>
      <c r="C511" t="s">
        <v>96</v>
      </c>
      <c r="D511" t="s">
        <v>174</v>
      </c>
      <c r="E511" t="s">
        <v>175</v>
      </c>
      <c r="F511" t="s">
        <v>141</v>
      </c>
      <c r="G511">
        <v>22612</v>
      </c>
      <c r="H511" t="s">
        <v>204</v>
      </c>
      <c r="I511">
        <v>2</v>
      </c>
      <c r="J511" t="s">
        <v>103</v>
      </c>
      <c r="K511" s="19">
        <v>0.25</v>
      </c>
      <c r="L511" s="19">
        <v>0.58333333333333337</v>
      </c>
      <c r="M511">
        <v>8</v>
      </c>
      <c r="N511">
        <v>0</v>
      </c>
      <c r="O511">
        <v>30</v>
      </c>
      <c r="P511">
        <v>76</v>
      </c>
      <c r="Q511" t="s">
        <v>99</v>
      </c>
      <c r="R511">
        <v>30</v>
      </c>
      <c r="S511" s="19">
        <v>0.45833333333333331</v>
      </c>
      <c r="T511">
        <v>0</v>
      </c>
      <c r="U511" s="19">
        <v>0</v>
      </c>
      <c r="V511" t="s">
        <v>99</v>
      </c>
      <c r="W511">
        <v>7.5</v>
      </c>
      <c r="X511" t="s">
        <v>102</v>
      </c>
      <c r="Y511" t="b">
        <v>0</v>
      </c>
    </row>
    <row r="512" spans="1:25" x14ac:dyDescent="0.55000000000000004">
      <c r="A512" t="s">
        <v>94</v>
      </c>
      <c r="B512" t="s">
        <v>173</v>
      </c>
      <c r="C512" t="s">
        <v>96</v>
      </c>
      <c r="D512" t="s">
        <v>174</v>
      </c>
      <c r="E512" t="s">
        <v>175</v>
      </c>
      <c r="F512" t="s">
        <v>141</v>
      </c>
      <c r="G512">
        <v>22772</v>
      </c>
      <c r="H512" t="s">
        <v>205</v>
      </c>
      <c r="I512">
        <v>2</v>
      </c>
      <c r="J512" t="s">
        <v>116</v>
      </c>
      <c r="K512" s="19">
        <v>0.25</v>
      </c>
      <c r="L512" s="19">
        <v>0.58333333333333337</v>
      </c>
      <c r="M512">
        <v>8</v>
      </c>
      <c r="N512">
        <v>460.82</v>
      </c>
      <c r="O512">
        <v>67.5</v>
      </c>
      <c r="P512">
        <v>76</v>
      </c>
      <c r="Q512" t="s">
        <v>99</v>
      </c>
      <c r="R512">
        <v>30</v>
      </c>
      <c r="S512" s="19">
        <v>0.45833333333333331</v>
      </c>
      <c r="T512">
        <v>0</v>
      </c>
      <c r="U512" s="19">
        <v>0.54166666666666663</v>
      </c>
      <c r="V512" t="s">
        <v>99</v>
      </c>
      <c r="W512">
        <v>7.5</v>
      </c>
      <c r="X512" t="s">
        <v>102</v>
      </c>
      <c r="Y512" t="b">
        <v>0</v>
      </c>
    </row>
    <row r="513" spans="1:25" x14ac:dyDescent="0.55000000000000004">
      <c r="A513" t="s">
        <v>94</v>
      </c>
      <c r="B513" t="s">
        <v>173</v>
      </c>
      <c r="C513" t="s">
        <v>96</v>
      </c>
      <c r="D513" t="s">
        <v>174</v>
      </c>
      <c r="E513" t="s">
        <v>175</v>
      </c>
      <c r="F513" t="s">
        <v>141</v>
      </c>
      <c r="G513">
        <v>23204</v>
      </c>
      <c r="H513" t="s">
        <v>206</v>
      </c>
      <c r="I513">
        <v>1</v>
      </c>
      <c r="J513" t="s">
        <v>107</v>
      </c>
      <c r="K513" s="19">
        <v>0.25</v>
      </c>
      <c r="L513" s="19">
        <v>0.58333333333333337</v>
      </c>
      <c r="M513">
        <v>8</v>
      </c>
      <c r="N513">
        <v>249.53</v>
      </c>
      <c r="O513">
        <v>75</v>
      </c>
      <c r="P513">
        <v>76</v>
      </c>
      <c r="Q513" t="s">
        <v>99</v>
      </c>
      <c r="R513">
        <v>30</v>
      </c>
      <c r="S513" s="19">
        <v>0.4375</v>
      </c>
      <c r="T513">
        <v>0</v>
      </c>
      <c r="U513" s="19">
        <v>0</v>
      </c>
      <c r="V513" t="s">
        <v>99</v>
      </c>
      <c r="W513">
        <v>7.5</v>
      </c>
      <c r="X513" t="s">
        <v>102</v>
      </c>
      <c r="Y513" t="b">
        <v>0</v>
      </c>
    </row>
    <row r="514" spans="1:25" x14ac:dyDescent="0.55000000000000004">
      <c r="A514" t="s">
        <v>94</v>
      </c>
      <c r="B514" t="s">
        <v>173</v>
      </c>
      <c r="C514" t="s">
        <v>96</v>
      </c>
      <c r="D514" t="s">
        <v>174</v>
      </c>
      <c r="E514" t="s">
        <v>175</v>
      </c>
      <c r="F514" t="s">
        <v>141</v>
      </c>
      <c r="G514">
        <v>23204</v>
      </c>
      <c r="H514" t="s">
        <v>206</v>
      </c>
      <c r="I514">
        <v>1</v>
      </c>
      <c r="J514" t="s">
        <v>115</v>
      </c>
      <c r="K514" s="19">
        <v>0.25</v>
      </c>
      <c r="L514" s="19">
        <v>0.58333333333333337</v>
      </c>
      <c r="M514">
        <v>8</v>
      </c>
      <c r="N514">
        <v>0</v>
      </c>
      <c r="O514">
        <v>75</v>
      </c>
      <c r="P514">
        <v>76</v>
      </c>
      <c r="Q514" t="s">
        <v>99</v>
      </c>
      <c r="R514">
        <v>30</v>
      </c>
      <c r="S514" s="19">
        <v>0.4375</v>
      </c>
      <c r="T514">
        <v>0</v>
      </c>
      <c r="U514" s="19">
        <v>0</v>
      </c>
      <c r="V514" t="s">
        <v>99</v>
      </c>
      <c r="W514">
        <v>7.5</v>
      </c>
      <c r="X514" t="s">
        <v>102</v>
      </c>
      <c r="Y514" t="b">
        <v>0</v>
      </c>
    </row>
    <row r="515" spans="1:25" x14ac:dyDescent="0.55000000000000004">
      <c r="A515" t="s">
        <v>94</v>
      </c>
      <c r="B515" t="s">
        <v>173</v>
      </c>
      <c r="C515" t="s">
        <v>96</v>
      </c>
      <c r="D515" t="s">
        <v>174</v>
      </c>
      <c r="E515" t="s">
        <v>175</v>
      </c>
      <c r="F515" t="s">
        <v>141</v>
      </c>
      <c r="G515">
        <v>23204</v>
      </c>
      <c r="H515" t="s">
        <v>206</v>
      </c>
      <c r="I515">
        <v>1</v>
      </c>
      <c r="J515" t="s">
        <v>116</v>
      </c>
      <c r="K515" s="19">
        <v>0.25</v>
      </c>
      <c r="L515" s="19">
        <v>0.58333333333333337</v>
      </c>
      <c r="M515">
        <v>8</v>
      </c>
      <c r="N515">
        <v>436.67</v>
      </c>
      <c r="O515">
        <v>75</v>
      </c>
      <c r="P515">
        <v>76</v>
      </c>
      <c r="Q515" t="s">
        <v>99</v>
      </c>
      <c r="R515">
        <v>30</v>
      </c>
      <c r="S515" s="19">
        <v>0.4375</v>
      </c>
      <c r="T515">
        <v>0</v>
      </c>
      <c r="U515" s="19">
        <v>0</v>
      </c>
      <c r="V515" t="s">
        <v>99</v>
      </c>
      <c r="W515">
        <v>7.5</v>
      </c>
      <c r="X515" t="s">
        <v>102</v>
      </c>
      <c r="Y515" t="b">
        <v>0</v>
      </c>
    </row>
    <row r="516" spans="1:25" x14ac:dyDescent="0.55000000000000004">
      <c r="A516" t="s">
        <v>94</v>
      </c>
      <c r="B516" t="s">
        <v>173</v>
      </c>
      <c r="C516" t="s">
        <v>96</v>
      </c>
      <c r="D516" t="s">
        <v>174</v>
      </c>
      <c r="E516" t="s">
        <v>175</v>
      </c>
      <c r="F516" t="s">
        <v>141</v>
      </c>
      <c r="G516">
        <v>23204</v>
      </c>
      <c r="H516" t="s">
        <v>206</v>
      </c>
      <c r="I516">
        <v>1</v>
      </c>
      <c r="J516" t="s">
        <v>103</v>
      </c>
      <c r="K516" s="19">
        <v>0.25</v>
      </c>
      <c r="L516" s="19">
        <v>0.58333333333333337</v>
      </c>
      <c r="M516">
        <v>8</v>
      </c>
      <c r="N516">
        <v>249.53</v>
      </c>
      <c r="O516">
        <v>75</v>
      </c>
      <c r="P516">
        <v>76</v>
      </c>
      <c r="Q516" t="s">
        <v>99</v>
      </c>
      <c r="R516">
        <v>30</v>
      </c>
      <c r="S516" s="19">
        <v>0.4375</v>
      </c>
      <c r="T516">
        <v>0</v>
      </c>
      <c r="U516" s="19">
        <v>0</v>
      </c>
      <c r="V516" t="s">
        <v>99</v>
      </c>
      <c r="W516">
        <v>7.5</v>
      </c>
      <c r="X516" t="s">
        <v>102</v>
      </c>
      <c r="Y516" t="b">
        <v>0</v>
      </c>
    </row>
    <row r="517" spans="1:25" x14ac:dyDescent="0.55000000000000004">
      <c r="A517" t="s">
        <v>94</v>
      </c>
      <c r="B517" t="s">
        <v>173</v>
      </c>
      <c r="C517" t="s">
        <v>96</v>
      </c>
      <c r="D517" t="s">
        <v>174</v>
      </c>
      <c r="E517" t="s">
        <v>175</v>
      </c>
      <c r="F517" t="s">
        <v>141</v>
      </c>
      <c r="G517">
        <v>23204</v>
      </c>
      <c r="H517" t="s">
        <v>206</v>
      </c>
      <c r="I517">
        <v>1</v>
      </c>
      <c r="J517" t="s">
        <v>104</v>
      </c>
      <c r="K517" s="19">
        <v>0.25</v>
      </c>
      <c r="L517" s="19">
        <v>0.58333333333333337</v>
      </c>
      <c r="M517">
        <v>8</v>
      </c>
      <c r="N517">
        <v>249.53</v>
      </c>
      <c r="O517">
        <v>75</v>
      </c>
      <c r="P517">
        <v>76</v>
      </c>
      <c r="Q517" t="s">
        <v>99</v>
      </c>
      <c r="R517">
        <v>30</v>
      </c>
      <c r="S517" s="19">
        <v>0.4375</v>
      </c>
      <c r="T517">
        <v>0</v>
      </c>
      <c r="U517" s="19">
        <v>0</v>
      </c>
      <c r="V517" t="s">
        <v>99</v>
      </c>
      <c r="W517">
        <v>7.5</v>
      </c>
      <c r="X517" t="s">
        <v>102</v>
      </c>
      <c r="Y517" t="b">
        <v>0</v>
      </c>
    </row>
    <row r="518" spans="1:25" x14ac:dyDescent="0.55000000000000004">
      <c r="A518" t="s">
        <v>94</v>
      </c>
      <c r="B518" t="s">
        <v>173</v>
      </c>
      <c r="C518" t="s">
        <v>96</v>
      </c>
      <c r="D518" t="s">
        <v>174</v>
      </c>
      <c r="E518" t="s">
        <v>175</v>
      </c>
      <c r="F518" t="s">
        <v>141</v>
      </c>
      <c r="G518">
        <v>23204</v>
      </c>
      <c r="H518" t="s">
        <v>206</v>
      </c>
      <c r="I518">
        <v>1</v>
      </c>
      <c r="J518" t="s">
        <v>105</v>
      </c>
      <c r="K518" s="19">
        <v>0.25</v>
      </c>
      <c r="L518" s="19">
        <v>0.58333333333333337</v>
      </c>
      <c r="M518">
        <v>8</v>
      </c>
      <c r="N518">
        <v>249.53</v>
      </c>
      <c r="O518">
        <v>75</v>
      </c>
      <c r="P518">
        <v>76</v>
      </c>
      <c r="Q518" t="s">
        <v>99</v>
      </c>
      <c r="R518">
        <v>30</v>
      </c>
      <c r="S518" s="19">
        <v>0.4375</v>
      </c>
      <c r="T518">
        <v>0</v>
      </c>
      <c r="U518" s="19">
        <v>0</v>
      </c>
      <c r="V518" t="s">
        <v>99</v>
      </c>
      <c r="W518">
        <v>7.5</v>
      </c>
      <c r="X518" t="s">
        <v>102</v>
      </c>
      <c r="Y518" t="b">
        <v>0</v>
      </c>
    </row>
    <row r="519" spans="1:25" x14ac:dyDescent="0.55000000000000004">
      <c r="A519" t="s">
        <v>94</v>
      </c>
      <c r="B519" t="s">
        <v>173</v>
      </c>
      <c r="C519" t="s">
        <v>96</v>
      </c>
      <c r="D519" t="s">
        <v>174</v>
      </c>
      <c r="E519" t="s">
        <v>175</v>
      </c>
      <c r="F519" t="s">
        <v>141</v>
      </c>
      <c r="G519">
        <v>23204</v>
      </c>
      <c r="H519" t="s">
        <v>206</v>
      </c>
      <c r="I519">
        <v>2</v>
      </c>
      <c r="J519" t="s">
        <v>107</v>
      </c>
      <c r="K519" s="19">
        <v>0.25</v>
      </c>
      <c r="L519" s="19">
        <v>0.58333333333333337</v>
      </c>
      <c r="M519">
        <v>8</v>
      </c>
      <c r="N519">
        <v>249.53</v>
      </c>
      <c r="O519">
        <v>75</v>
      </c>
      <c r="P519">
        <v>76</v>
      </c>
      <c r="Q519" t="s">
        <v>99</v>
      </c>
      <c r="R519">
        <v>30</v>
      </c>
      <c r="S519" s="19">
        <v>0.4375</v>
      </c>
      <c r="T519">
        <v>0</v>
      </c>
      <c r="U519" s="19">
        <v>0</v>
      </c>
      <c r="V519" t="s">
        <v>99</v>
      </c>
      <c r="W519">
        <v>7.5</v>
      </c>
      <c r="X519" t="s">
        <v>102</v>
      </c>
      <c r="Y519" t="b">
        <v>0</v>
      </c>
    </row>
    <row r="520" spans="1:25" x14ac:dyDescent="0.55000000000000004">
      <c r="A520" t="s">
        <v>94</v>
      </c>
      <c r="B520" t="s">
        <v>173</v>
      </c>
      <c r="C520" t="s">
        <v>96</v>
      </c>
      <c r="D520" t="s">
        <v>174</v>
      </c>
      <c r="E520" t="s">
        <v>175</v>
      </c>
      <c r="F520" t="s">
        <v>141</v>
      </c>
      <c r="G520">
        <v>23204</v>
      </c>
      <c r="H520" t="s">
        <v>206</v>
      </c>
      <c r="I520">
        <v>2</v>
      </c>
      <c r="J520" t="s">
        <v>101</v>
      </c>
      <c r="K520" s="19">
        <v>0.25</v>
      </c>
      <c r="L520" s="19">
        <v>0.58333333333333337</v>
      </c>
      <c r="M520">
        <v>8</v>
      </c>
      <c r="N520">
        <v>249.53</v>
      </c>
      <c r="O520">
        <v>75</v>
      </c>
      <c r="P520">
        <v>76</v>
      </c>
      <c r="Q520" t="s">
        <v>99</v>
      </c>
      <c r="R520">
        <v>30</v>
      </c>
      <c r="S520" s="19">
        <v>0.4375</v>
      </c>
      <c r="T520">
        <v>0</v>
      </c>
      <c r="U520" s="19">
        <v>0</v>
      </c>
      <c r="V520" t="s">
        <v>99</v>
      </c>
      <c r="W520">
        <v>7.5</v>
      </c>
      <c r="X520" t="s">
        <v>102</v>
      </c>
      <c r="Y520" t="b">
        <v>0</v>
      </c>
    </row>
    <row r="521" spans="1:25" x14ac:dyDescent="0.55000000000000004">
      <c r="A521" t="s">
        <v>94</v>
      </c>
      <c r="B521" t="s">
        <v>173</v>
      </c>
      <c r="C521" t="s">
        <v>96</v>
      </c>
      <c r="D521" t="s">
        <v>174</v>
      </c>
      <c r="E521" t="s">
        <v>175</v>
      </c>
      <c r="F521" t="s">
        <v>141</v>
      </c>
      <c r="G521">
        <v>23204</v>
      </c>
      <c r="H521" t="s">
        <v>206</v>
      </c>
      <c r="I521">
        <v>2</v>
      </c>
      <c r="J521" t="s">
        <v>103</v>
      </c>
      <c r="K521" s="19">
        <v>0.25</v>
      </c>
      <c r="L521" s="19">
        <v>0.58333333333333337</v>
      </c>
      <c r="M521">
        <v>8</v>
      </c>
      <c r="N521">
        <v>249.53</v>
      </c>
      <c r="O521">
        <v>75</v>
      </c>
      <c r="P521">
        <v>76</v>
      </c>
      <c r="Q521" t="s">
        <v>99</v>
      </c>
      <c r="R521">
        <v>30</v>
      </c>
      <c r="S521" s="19">
        <v>0.4375</v>
      </c>
      <c r="T521">
        <v>0</v>
      </c>
      <c r="U521" s="19">
        <v>0</v>
      </c>
      <c r="V521" t="s">
        <v>99</v>
      </c>
      <c r="W521">
        <v>7.5</v>
      </c>
      <c r="X521" t="s">
        <v>102</v>
      </c>
      <c r="Y521" t="b">
        <v>0</v>
      </c>
    </row>
    <row r="522" spans="1:25" x14ac:dyDescent="0.55000000000000004">
      <c r="A522" t="s">
        <v>94</v>
      </c>
      <c r="B522" t="s">
        <v>173</v>
      </c>
      <c r="C522" t="s">
        <v>96</v>
      </c>
      <c r="D522" t="s">
        <v>174</v>
      </c>
      <c r="E522" t="s">
        <v>175</v>
      </c>
      <c r="F522" t="s">
        <v>141</v>
      </c>
      <c r="G522">
        <v>23204</v>
      </c>
      <c r="H522" t="s">
        <v>206</v>
      </c>
      <c r="I522">
        <v>2</v>
      </c>
      <c r="J522" t="s">
        <v>105</v>
      </c>
      <c r="K522" s="19">
        <v>0.25</v>
      </c>
      <c r="L522" s="19">
        <v>0.58333333333333337</v>
      </c>
      <c r="M522">
        <v>8</v>
      </c>
      <c r="N522">
        <v>249.53</v>
      </c>
      <c r="O522">
        <v>75</v>
      </c>
      <c r="P522">
        <v>76</v>
      </c>
      <c r="Q522" t="s">
        <v>99</v>
      </c>
      <c r="R522">
        <v>30</v>
      </c>
      <c r="S522" s="19">
        <v>0.4375</v>
      </c>
      <c r="T522">
        <v>0</v>
      </c>
      <c r="U522" s="19">
        <v>0</v>
      </c>
      <c r="V522" t="s">
        <v>99</v>
      </c>
      <c r="W522">
        <v>7.5</v>
      </c>
      <c r="X522" t="s">
        <v>102</v>
      </c>
      <c r="Y522" t="b">
        <v>0</v>
      </c>
    </row>
    <row r="523" spans="1:25" x14ac:dyDescent="0.55000000000000004">
      <c r="A523" t="s">
        <v>94</v>
      </c>
      <c r="B523" t="s">
        <v>173</v>
      </c>
      <c r="C523" t="s">
        <v>96</v>
      </c>
      <c r="D523" t="s">
        <v>174</v>
      </c>
      <c r="E523" t="s">
        <v>175</v>
      </c>
      <c r="F523" t="s">
        <v>141</v>
      </c>
      <c r="G523">
        <v>24192</v>
      </c>
      <c r="H523" t="s">
        <v>196</v>
      </c>
      <c r="I523">
        <v>1</v>
      </c>
      <c r="J523" t="s">
        <v>107</v>
      </c>
      <c r="K523" s="19">
        <v>0.25</v>
      </c>
      <c r="L523" s="19">
        <v>0.58333333333333337</v>
      </c>
      <c r="M523">
        <v>8</v>
      </c>
      <c r="N523">
        <v>263.32</v>
      </c>
      <c r="O523">
        <v>76</v>
      </c>
      <c r="P523">
        <v>76</v>
      </c>
      <c r="Q523" t="s">
        <v>99</v>
      </c>
      <c r="R523">
        <v>30</v>
      </c>
      <c r="S523" s="19">
        <v>0.45833333333333331</v>
      </c>
      <c r="T523">
        <v>0</v>
      </c>
      <c r="U523" s="19">
        <v>0.54166666666666663</v>
      </c>
      <c r="V523" t="s">
        <v>99</v>
      </c>
      <c r="W523">
        <v>7.5</v>
      </c>
      <c r="X523" t="s">
        <v>102</v>
      </c>
      <c r="Y523" t="b">
        <v>0</v>
      </c>
    </row>
    <row r="524" spans="1:25" x14ac:dyDescent="0.55000000000000004">
      <c r="A524" t="s">
        <v>94</v>
      </c>
      <c r="B524" t="s">
        <v>173</v>
      </c>
      <c r="C524" t="s">
        <v>96</v>
      </c>
      <c r="D524" t="s">
        <v>174</v>
      </c>
      <c r="E524" t="s">
        <v>175</v>
      </c>
      <c r="F524" t="s">
        <v>141</v>
      </c>
      <c r="G524">
        <v>24192</v>
      </c>
      <c r="H524" t="s">
        <v>196</v>
      </c>
      <c r="I524">
        <v>1</v>
      </c>
      <c r="J524" t="s">
        <v>103</v>
      </c>
      <c r="K524" s="19">
        <v>0.25</v>
      </c>
      <c r="L524" s="19">
        <v>0.58333333333333337</v>
      </c>
      <c r="M524">
        <v>8</v>
      </c>
      <c r="N524">
        <v>263.32</v>
      </c>
      <c r="O524">
        <v>76</v>
      </c>
      <c r="P524">
        <v>76</v>
      </c>
      <c r="Q524" t="s">
        <v>99</v>
      </c>
      <c r="R524">
        <v>30</v>
      </c>
      <c r="S524" s="19">
        <v>0.45833333333333331</v>
      </c>
      <c r="T524">
        <v>0</v>
      </c>
      <c r="U524" s="19">
        <v>0.54166666666666663</v>
      </c>
      <c r="V524" t="s">
        <v>99</v>
      </c>
      <c r="W524">
        <v>7.5</v>
      </c>
      <c r="X524" t="s">
        <v>102</v>
      </c>
      <c r="Y524" t="b">
        <v>0</v>
      </c>
    </row>
    <row r="525" spans="1:25" x14ac:dyDescent="0.55000000000000004">
      <c r="A525" t="s">
        <v>94</v>
      </c>
      <c r="B525" t="s">
        <v>173</v>
      </c>
      <c r="C525" t="s">
        <v>96</v>
      </c>
      <c r="D525" t="s">
        <v>174</v>
      </c>
      <c r="E525" t="s">
        <v>175</v>
      </c>
      <c r="F525" t="s">
        <v>141</v>
      </c>
      <c r="G525">
        <v>24217</v>
      </c>
      <c r="H525" t="s">
        <v>200</v>
      </c>
      <c r="I525">
        <v>1</v>
      </c>
      <c r="J525" t="s">
        <v>107</v>
      </c>
      <c r="K525" s="19">
        <v>0.25</v>
      </c>
      <c r="L525" s="19">
        <v>0.58333333333333337</v>
      </c>
      <c r="M525">
        <v>8</v>
      </c>
      <c r="N525">
        <v>263.32</v>
      </c>
      <c r="O525">
        <v>67.5</v>
      </c>
      <c r="P525">
        <v>76</v>
      </c>
      <c r="Q525" t="s">
        <v>99</v>
      </c>
      <c r="R525">
        <v>30</v>
      </c>
      <c r="S525" s="19">
        <v>0.45833333333333331</v>
      </c>
      <c r="T525">
        <v>0</v>
      </c>
      <c r="U525" s="19">
        <v>0</v>
      </c>
      <c r="V525" t="s">
        <v>99</v>
      </c>
      <c r="W525">
        <v>7.5</v>
      </c>
      <c r="X525" t="s">
        <v>102</v>
      </c>
      <c r="Y525" t="b">
        <v>0</v>
      </c>
    </row>
    <row r="526" spans="1:25" x14ac:dyDescent="0.55000000000000004">
      <c r="A526" t="s">
        <v>94</v>
      </c>
      <c r="B526" t="s">
        <v>173</v>
      </c>
      <c r="C526" t="s">
        <v>96</v>
      </c>
      <c r="D526" t="s">
        <v>174</v>
      </c>
      <c r="E526" t="s">
        <v>175</v>
      </c>
      <c r="F526" t="s">
        <v>141</v>
      </c>
      <c r="G526">
        <v>24217</v>
      </c>
      <c r="H526" t="s">
        <v>200</v>
      </c>
      <c r="I526">
        <v>1</v>
      </c>
      <c r="J526" t="s">
        <v>101</v>
      </c>
      <c r="K526" s="19">
        <v>0.25</v>
      </c>
      <c r="L526" s="19">
        <v>0.58333333333333337</v>
      </c>
      <c r="M526">
        <v>8</v>
      </c>
      <c r="N526">
        <v>263.32</v>
      </c>
      <c r="O526">
        <v>67.5</v>
      </c>
      <c r="P526">
        <v>76</v>
      </c>
      <c r="Q526" t="s">
        <v>99</v>
      </c>
      <c r="R526">
        <v>30</v>
      </c>
      <c r="S526" s="19">
        <v>0.45833333333333331</v>
      </c>
      <c r="T526">
        <v>0</v>
      </c>
      <c r="U526" s="19">
        <v>0</v>
      </c>
      <c r="V526" t="s">
        <v>99</v>
      </c>
      <c r="W526">
        <v>7.5</v>
      </c>
      <c r="X526" t="s">
        <v>102</v>
      </c>
      <c r="Y526" t="b">
        <v>0</v>
      </c>
    </row>
    <row r="527" spans="1:25" x14ac:dyDescent="0.55000000000000004">
      <c r="A527" t="s">
        <v>94</v>
      </c>
      <c r="B527" t="s">
        <v>173</v>
      </c>
      <c r="C527" t="s">
        <v>96</v>
      </c>
      <c r="D527" t="s">
        <v>174</v>
      </c>
      <c r="E527" t="s">
        <v>175</v>
      </c>
      <c r="F527" t="s">
        <v>141</v>
      </c>
      <c r="G527">
        <v>24217</v>
      </c>
      <c r="H527" t="s">
        <v>200</v>
      </c>
      <c r="I527">
        <v>1</v>
      </c>
      <c r="J527" t="s">
        <v>103</v>
      </c>
      <c r="K527" s="19">
        <v>0.25</v>
      </c>
      <c r="L527" s="19">
        <v>0.58333333333333337</v>
      </c>
      <c r="M527">
        <v>8</v>
      </c>
      <c r="N527">
        <v>263.32</v>
      </c>
      <c r="O527">
        <v>67.5</v>
      </c>
      <c r="P527">
        <v>76</v>
      </c>
      <c r="Q527" t="s">
        <v>99</v>
      </c>
      <c r="R527">
        <v>30</v>
      </c>
      <c r="S527" s="19">
        <v>0.45833333333333331</v>
      </c>
      <c r="T527">
        <v>0</v>
      </c>
      <c r="U527" s="19">
        <v>0</v>
      </c>
      <c r="V527" t="s">
        <v>99</v>
      </c>
      <c r="W527">
        <v>7.5</v>
      </c>
      <c r="X527" t="s">
        <v>102</v>
      </c>
      <c r="Y527" t="b">
        <v>0</v>
      </c>
    </row>
    <row r="528" spans="1:25" x14ac:dyDescent="0.55000000000000004">
      <c r="A528" t="s">
        <v>94</v>
      </c>
      <c r="B528" t="s">
        <v>173</v>
      </c>
      <c r="C528" t="s">
        <v>96</v>
      </c>
      <c r="D528" t="s">
        <v>174</v>
      </c>
      <c r="E528" t="s">
        <v>175</v>
      </c>
      <c r="F528" t="s">
        <v>141</v>
      </c>
      <c r="G528">
        <v>24217</v>
      </c>
      <c r="H528" t="s">
        <v>200</v>
      </c>
      <c r="I528">
        <v>1</v>
      </c>
      <c r="J528" t="s">
        <v>104</v>
      </c>
      <c r="K528" s="19">
        <v>0.25</v>
      </c>
      <c r="L528" s="19">
        <v>0.58333333333333337</v>
      </c>
      <c r="M528">
        <v>8</v>
      </c>
      <c r="N528">
        <v>263.32</v>
      </c>
      <c r="O528">
        <v>67.5</v>
      </c>
      <c r="P528">
        <v>76</v>
      </c>
      <c r="Q528" t="s">
        <v>99</v>
      </c>
      <c r="R528">
        <v>30</v>
      </c>
      <c r="S528" s="19">
        <v>0.45833333333333331</v>
      </c>
      <c r="T528">
        <v>0</v>
      </c>
      <c r="U528" s="19">
        <v>0</v>
      </c>
      <c r="V528" t="s">
        <v>99</v>
      </c>
      <c r="W528">
        <v>7.5</v>
      </c>
      <c r="X528" t="s">
        <v>102</v>
      </c>
      <c r="Y528" t="b">
        <v>0</v>
      </c>
    </row>
    <row r="529" spans="1:25" x14ac:dyDescent="0.55000000000000004">
      <c r="A529" t="s">
        <v>94</v>
      </c>
      <c r="B529" t="s">
        <v>173</v>
      </c>
      <c r="C529" t="s">
        <v>96</v>
      </c>
      <c r="D529" t="s">
        <v>174</v>
      </c>
      <c r="E529" t="s">
        <v>175</v>
      </c>
      <c r="F529" t="s">
        <v>141</v>
      </c>
      <c r="G529">
        <v>24217</v>
      </c>
      <c r="H529" t="s">
        <v>200</v>
      </c>
      <c r="I529">
        <v>1</v>
      </c>
      <c r="J529" t="s">
        <v>105</v>
      </c>
      <c r="K529" s="19">
        <v>0.25</v>
      </c>
      <c r="L529" s="19">
        <v>0.58333333333333337</v>
      </c>
      <c r="M529">
        <v>8</v>
      </c>
      <c r="N529">
        <v>263.32</v>
      </c>
      <c r="O529">
        <v>67.5</v>
      </c>
      <c r="P529">
        <v>76</v>
      </c>
      <c r="Q529" t="s">
        <v>99</v>
      </c>
      <c r="R529">
        <v>30</v>
      </c>
      <c r="S529" s="19">
        <v>0.45833333333333331</v>
      </c>
      <c r="T529">
        <v>0</v>
      </c>
      <c r="U529" s="19">
        <v>0</v>
      </c>
      <c r="V529" t="s">
        <v>99</v>
      </c>
      <c r="W529">
        <v>7.5</v>
      </c>
      <c r="X529" t="s">
        <v>102</v>
      </c>
      <c r="Y529" t="b">
        <v>0</v>
      </c>
    </row>
    <row r="530" spans="1:25" x14ac:dyDescent="0.55000000000000004">
      <c r="A530" t="s">
        <v>94</v>
      </c>
      <c r="B530" t="s">
        <v>173</v>
      </c>
      <c r="C530" t="s">
        <v>96</v>
      </c>
      <c r="D530" t="s">
        <v>174</v>
      </c>
      <c r="E530" t="s">
        <v>175</v>
      </c>
      <c r="F530" t="s">
        <v>141</v>
      </c>
      <c r="G530">
        <v>24217</v>
      </c>
      <c r="H530" t="s">
        <v>200</v>
      </c>
      <c r="I530">
        <v>2</v>
      </c>
      <c r="J530" t="s">
        <v>104</v>
      </c>
      <c r="K530" s="19">
        <v>0.25</v>
      </c>
      <c r="L530" s="19">
        <v>0.58333333333333337</v>
      </c>
      <c r="M530">
        <v>8</v>
      </c>
      <c r="N530">
        <v>263.32</v>
      </c>
      <c r="O530">
        <v>67.5</v>
      </c>
      <c r="P530">
        <v>76</v>
      </c>
      <c r="Q530" t="s">
        <v>99</v>
      </c>
      <c r="R530">
        <v>30</v>
      </c>
      <c r="S530" s="19">
        <v>0.45833333333333331</v>
      </c>
      <c r="T530">
        <v>0</v>
      </c>
      <c r="U530" s="19">
        <v>0</v>
      </c>
      <c r="V530" t="s">
        <v>99</v>
      </c>
      <c r="W530">
        <v>7.5</v>
      </c>
      <c r="X530" t="s">
        <v>102</v>
      </c>
      <c r="Y530" t="b">
        <v>0</v>
      </c>
    </row>
    <row r="531" spans="1:25" x14ac:dyDescent="0.55000000000000004">
      <c r="A531" t="s">
        <v>94</v>
      </c>
      <c r="B531" t="s">
        <v>173</v>
      </c>
      <c r="C531" t="s">
        <v>96</v>
      </c>
      <c r="D531" t="s">
        <v>174</v>
      </c>
      <c r="E531" t="s">
        <v>175</v>
      </c>
      <c r="F531" t="s">
        <v>141</v>
      </c>
      <c r="G531">
        <v>24241</v>
      </c>
      <c r="H531" t="s">
        <v>185</v>
      </c>
      <c r="I531">
        <v>2</v>
      </c>
      <c r="J531" t="s">
        <v>101</v>
      </c>
      <c r="K531" s="19">
        <v>0.25</v>
      </c>
      <c r="L531" s="19">
        <v>0.58333333333333337</v>
      </c>
      <c r="M531">
        <v>8</v>
      </c>
      <c r="N531">
        <v>263.32</v>
      </c>
      <c r="O531">
        <v>60</v>
      </c>
      <c r="P531">
        <v>76</v>
      </c>
      <c r="Q531" t="s">
        <v>99</v>
      </c>
      <c r="R531">
        <v>30</v>
      </c>
      <c r="S531" s="19">
        <v>0.45833333333333331</v>
      </c>
      <c r="T531">
        <v>0</v>
      </c>
      <c r="U531" s="19">
        <v>0</v>
      </c>
      <c r="V531" t="s">
        <v>99</v>
      </c>
      <c r="W531">
        <v>7.5</v>
      </c>
      <c r="X531" t="s">
        <v>102</v>
      </c>
      <c r="Y531" t="b">
        <v>0</v>
      </c>
    </row>
    <row r="532" spans="1:25" x14ac:dyDescent="0.55000000000000004">
      <c r="A532" t="s">
        <v>94</v>
      </c>
      <c r="B532" t="s">
        <v>173</v>
      </c>
      <c r="C532" t="s">
        <v>96</v>
      </c>
      <c r="D532" t="s">
        <v>174</v>
      </c>
      <c r="E532" t="s">
        <v>175</v>
      </c>
      <c r="F532" t="s">
        <v>141</v>
      </c>
      <c r="G532">
        <v>25209</v>
      </c>
      <c r="H532" t="s">
        <v>190</v>
      </c>
      <c r="I532">
        <v>1</v>
      </c>
      <c r="J532" t="s">
        <v>116</v>
      </c>
      <c r="K532" s="19">
        <v>0.25</v>
      </c>
      <c r="L532" s="19">
        <v>0.58333333333333337</v>
      </c>
      <c r="M532">
        <v>8</v>
      </c>
      <c r="N532">
        <v>460.82</v>
      </c>
      <c r="O532">
        <v>37.5</v>
      </c>
      <c r="P532">
        <v>76</v>
      </c>
      <c r="Q532" t="s">
        <v>99</v>
      </c>
      <c r="R532">
        <v>30</v>
      </c>
      <c r="S532" s="19">
        <v>0.45833333333333331</v>
      </c>
      <c r="T532">
        <v>0</v>
      </c>
      <c r="U532" s="19">
        <v>0.54166666666666663</v>
      </c>
      <c r="V532" t="s">
        <v>99</v>
      </c>
      <c r="W532">
        <v>7.5</v>
      </c>
      <c r="X532" t="s">
        <v>102</v>
      </c>
      <c r="Y532" t="b">
        <v>0</v>
      </c>
    </row>
    <row r="533" spans="1:25" x14ac:dyDescent="0.55000000000000004">
      <c r="A533" t="s">
        <v>94</v>
      </c>
      <c r="B533" t="s">
        <v>173</v>
      </c>
      <c r="C533" t="s">
        <v>96</v>
      </c>
      <c r="D533" t="s">
        <v>174</v>
      </c>
      <c r="E533" t="s">
        <v>175</v>
      </c>
      <c r="F533" t="s">
        <v>141</v>
      </c>
      <c r="G533">
        <v>25989</v>
      </c>
      <c r="H533" t="s">
        <v>202</v>
      </c>
      <c r="I533">
        <v>1</v>
      </c>
      <c r="J533" t="s">
        <v>101</v>
      </c>
      <c r="K533" s="19">
        <v>0.25</v>
      </c>
      <c r="L533" s="19">
        <v>0.58333333333333337</v>
      </c>
      <c r="M533">
        <v>8</v>
      </c>
      <c r="N533">
        <v>329.16</v>
      </c>
      <c r="O533">
        <v>0</v>
      </c>
      <c r="P533">
        <v>76</v>
      </c>
      <c r="Q533" t="s">
        <v>99</v>
      </c>
      <c r="R533">
        <v>30</v>
      </c>
      <c r="S533" s="19">
        <v>0.45833333333333331</v>
      </c>
      <c r="T533">
        <v>0</v>
      </c>
      <c r="U533" s="19">
        <v>0</v>
      </c>
      <c r="V533" t="s">
        <v>99</v>
      </c>
      <c r="W533">
        <v>7.5</v>
      </c>
      <c r="X533" t="s">
        <v>102</v>
      </c>
      <c r="Y533" t="b">
        <v>0</v>
      </c>
    </row>
    <row r="534" spans="1:25" x14ac:dyDescent="0.55000000000000004">
      <c r="A534" t="s">
        <v>94</v>
      </c>
      <c r="B534" t="s">
        <v>173</v>
      </c>
      <c r="C534" t="s">
        <v>96</v>
      </c>
      <c r="D534" t="s">
        <v>174</v>
      </c>
      <c r="E534" t="s">
        <v>175</v>
      </c>
      <c r="F534" t="s">
        <v>141</v>
      </c>
      <c r="G534">
        <v>25989</v>
      </c>
      <c r="H534" t="s">
        <v>202</v>
      </c>
      <c r="I534">
        <v>1</v>
      </c>
      <c r="J534" t="s">
        <v>104</v>
      </c>
      <c r="K534" s="19">
        <v>0.375</v>
      </c>
      <c r="L534" s="19">
        <v>0.54166666666666663</v>
      </c>
      <c r="M534">
        <v>4</v>
      </c>
      <c r="N534">
        <v>175.55</v>
      </c>
      <c r="O534">
        <v>0</v>
      </c>
      <c r="P534">
        <v>76</v>
      </c>
      <c r="Q534" t="s">
        <v>99</v>
      </c>
      <c r="S534" s="19"/>
      <c r="U534" s="19"/>
      <c r="V534" t="s">
        <v>99</v>
      </c>
      <c r="W534">
        <v>4</v>
      </c>
      <c r="X534" t="s">
        <v>102</v>
      </c>
      <c r="Y534" t="b">
        <v>0</v>
      </c>
    </row>
    <row r="535" spans="1:25" x14ac:dyDescent="0.55000000000000004">
      <c r="A535" t="s">
        <v>94</v>
      </c>
      <c r="B535" t="s">
        <v>173</v>
      </c>
      <c r="C535" t="s">
        <v>96</v>
      </c>
      <c r="D535" t="s">
        <v>174</v>
      </c>
      <c r="E535" t="s">
        <v>175</v>
      </c>
      <c r="F535" t="s">
        <v>141</v>
      </c>
      <c r="G535">
        <v>25989</v>
      </c>
      <c r="H535" t="s">
        <v>202</v>
      </c>
      <c r="I535">
        <v>2</v>
      </c>
      <c r="J535" t="s">
        <v>107</v>
      </c>
      <c r="K535" s="19">
        <v>0.25</v>
      </c>
      <c r="L535" s="19">
        <v>0.58333333333333337</v>
      </c>
      <c r="M535">
        <v>8</v>
      </c>
      <c r="N535">
        <v>329.16</v>
      </c>
      <c r="O535">
        <v>0</v>
      </c>
      <c r="P535">
        <v>76</v>
      </c>
      <c r="Q535" t="s">
        <v>99</v>
      </c>
      <c r="R535">
        <v>30</v>
      </c>
      <c r="S535" s="19">
        <v>0.4375</v>
      </c>
      <c r="T535">
        <v>0</v>
      </c>
      <c r="U535" s="19">
        <v>0</v>
      </c>
      <c r="V535" t="s">
        <v>99</v>
      </c>
      <c r="W535">
        <v>7.5</v>
      </c>
      <c r="X535" t="s">
        <v>102</v>
      </c>
      <c r="Y535" t="b">
        <v>0</v>
      </c>
    </row>
    <row r="536" spans="1:25" x14ac:dyDescent="0.55000000000000004">
      <c r="A536" t="s">
        <v>94</v>
      </c>
      <c r="B536" t="s">
        <v>173</v>
      </c>
      <c r="C536" t="s">
        <v>96</v>
      </c>
      <c r="D536" t="s">
        <v>174</v>
      </c>
      <c r="E536" t="s">
        <v>175</v>
      </c>
      <c r="F536" t="s">
        <v>141</v>
      </c>
      <c r="G536">
        <v>25989</v>
      </c>
      <c r="H536" t="s">
        <v>202</v>
      </c>
      <c r="I536">
        <v>2</v>
      </c>
      <c r="J536" t="s">
        <v>115</v>
      </c>
      <c r="K536" s="19">
        <v>0.25</v>
      </c>
      <c r="L536" s="19">
        <v>0.58333333333333337</v>
      </c>
      <c r="M536">
        <v>8</v>
      </c>
      <c r="N536">
        <v>394.99</v>
      </c>
      <c r="O536">
        <v>0</v>
      </c>
      <c r="P536">
        <v>76</v>
      </c>
      <c r="Q536" t="s">
        <v>99</v>
      </c>
      <c r="R536">
        <v>30</v>
      </c>
      <c r="S536" s="19">
        <v>0.45833333333333331</v>
      </c>
      <c r="T536">
        <v>0</v>
      </c>
      <c r="U536" s="19">
        <v>0.54166666666666663</v>
      </c>
      <c r="V536" t="s">
        <v>99</v>
      </c>
      <c r="W536">
        <v>7.5</v>
      </c>
      <c r="X536" t="s">
        <v>102</v>
      </c>
      <c r="Y536" t="b">
        <v>0</v>
      </c>
    </row>
    <row r="537" spans="1:25" x14ac:dyDescent="0.55000000000000004">
      <c r="A537" t="s">
        <v>94</v>
      </c>
      <c r="B537" t="s">
        <v>173</v>
      </c>
      <c r="C537" t="s">
        <v>96</v>
      </c>
      <c r="D537" t="s">
        <v>174</v>
      </c>
      <c r="E537" t="s">
        <v>175</v>
      </c>
      <c r="F537" t="s">
        <v>141</v>
      </c>
      <c r="G537">
        <v>26320</v>
      </c>
      <c r="H537" t="s">
        <v>192</v>
      </c>
      <c r="I537">
        <v>2</v>
      </c>
      <c r="J537" t="s">
        <v>107</v>
      </c>
      <c r="K537" s="19">
        <v>0.25</v>
      </c>
      <c r="L537" s="19">
        <v>0.58333333333333337</v>
      </c>
      <c r="M537">
        <v>8</v>
      </c>
      <c r="N537">
        <v>329.16</v>
      </c>
      <c r="O537">
        <v>0</v>
      </c>
      <c r="P537">
        <v>76</v>
      </c>
      <c r="Q537" t="s">
        <v>99</v>
      </c>
      <c r="R537">
        <v>30</v>
      </c>
      <c r="S537" s="19">
        <v>0.45833333333333331</v>
      </c>
      <c r="T537">
        <v>0</v>
      </c>
      <c r="U537" s="19">
        <v>0.54166666666666663</v>
      </c>
      <c r="V537" t="s">
        <v>99</v>
      </c>
      <c r="W537">
        <v>7.5</v>
      </c>
      <c r="X537" t="s">
        <v>102</v>
      </c>
      <c r="Y537" t="b">
        <v>0</v>
      </c>
    </row>
    <row r="538" spans="1:25" x14ac:dyDescent="0.55000000000000004">
      <c r="A538" t="s">
        <v>94</v>
      </c>
      <c r="B538" t="s">
        <v>173</v>
      </c>
      <c r="C538" t="s">
        <v>96</v>
      </c>
      <c r="D538" t="s">
        <v>174</v>
      </c>
      <c r="E538" t="s">
        <v>175</v>
      </c>
      <c r="F538" t="s">
        <v>141</v>
      </c>
      <c r="G538">
        <v>26407</v>
      </c>
      <c r="H538" t="s">
        <v>193</v>
      </c>
      <c r="I538">
        <v>1</v>
      </c>
      <c r="J538" t="s">
        <v>115</v>
      </c>
      <c r="K538" s="19">
        <v>0.25</v>
      </c>
      <c r="L538" s="19">
        <v>0.58333333333333337</v>
      </c>
      <c r="M538">
        <v>8</v>
      </c>
      <c r="N538">
        <v>394.99</v>
      </c>
      <c r="O538">
        <v>45</v>
      </c>
      <c r="P538">
        <v>76</v>
      </c>
      <c r="Q538" t="s">
        <v>99</v>
      </c>
      <c r="R538">
        <v>30</v>
      </c>
      <c r="S538" s="19">
        <v>0.45833333333333331</v>
      </c>
      <c r="T538">
        <v>0</v>
      </c>
      <c r="U538" s="19">
        <v>0.54166666666666663</v>
      </c>
      <c r="V538" t="s">
        <v>99</v>
      </c>
      <c r="W538">
        <v>7.5</v>
      </c>
      <c r="X538" t="s">
        <v>102</v>
      </c>
      <c r="Y538" t="b">
        <v>0</v>
      </c>
    </row>
    <row r="539" spans="1:25" x14ac:dyDescent="0.55000000000000004">
      <c r="A539" t="s">
        <v>94</v>
      </c>
      <c r="B539" t="s">
        <v>173</v>
      </c>
      <c r="C539" t="s">
        <v>96</v>
      </c>
      <c r="D539" t="s">
        <v>174</v>
      </c>
      <c r="E539" t="s">
        <v>207</v>
      </c>
      <c r="F539" t="s">
        <v>128</v>
      </c>
      <c r="G539">
        <v>22121</v>
      </c>
      <c r="H539" t="s">
        <v>208</v>
      </c>
      <c r="I539">
        <v>1</v>
      </c>
      <c r="J539" t="s">
        <v>107</v>
      </c>
      <c r="K539" s="19">
        <v>0.25</v>
      </c>
      <c r="L539" s="19">
        <v>0.58333333333333337</v>
      </c>
      <c r="M539">
        <v>8</v>
      </c>
      <c r="N539">
        <v>0</v>
      </c>
      <c r="O539">
        <v>75</v>
      </c>
      <c r="P539">
        <v>76</v>
      </c>
      <c r="Q539" t="s">
        <v>99</v>
      </c>
      <c r="R539">
        <v>30</v>
      </c>
      <c r="S539" s="19">
        <v>0.45833333333333331</v>
      </c>
      <c r="T539">
        <v>0</v>
      </c>
      <c r="U539" s="19">
        <v>0</v>
      </c>
      <c r="V539" t="s">
        <v>99</v>
      </c>
      <c r="W539">
        <v>7.5</v>
      </c>
      <c r="X539" t="s">
        <v>102</v>
      </c>
      <c r="Y539" t="b">
        <v>0</v>
      </c>
    </row>
    <row r="540" spans="1:25" x14ac:dyDescent="0.55000000000000004">
      <c r="A540" t="s">
        <v>94</v>
      </c>
      <c r="B540" t="s">
        <v>173</v>
      </c>
      <c r="C540" t="s">
        <v>96</v>
      </c>
      <c r="D540" t="s">
        <v>174</v>
      </c>
      <c r="E540" t="s">
        <v>207</v>
      </c>
      <c r="F540" t="s">
        <v>128</v>
      </c>
      <c r="G540">
        <v>22121</v>
      </c>
      <c r="H540" t="s">
        <v>208</v>
      </c>
      <c r="I540">
        <v>1</v>
      </c>
      <c r="J540" t="s">
        <v>115</v>
      </c>
      <c r="K540" s="19">
        <v>0.25</v>
      </c>
      <c r="L540" s="19">
        <v>0.58333333333333337</v>
      </c>
      <c r="M540">
        <v>8</v>
      </c>
      <c r="N540">
        <v>0</v>
      </c>
      <c r="O540">
        <v>75</v>
      </c>
      <c r="P540">
        <v>76</v>
      </c>
      <c r="Q540" t="s">
        <v>99</v>
      </c>
      <c r="R540">
        <v>30</v>
      </c>
      <c r="S540" s="19">
        <v>0.45833333333333331</v>
      </c>
      <c r="T540">
        <v>0</v>
      </c>
      <c r="U540" s="19">
        <v>0</v>
      </c>
      <c r="V540" t="s">
        <v>99</v>
      </c>
      <c r="W540">
        <v>7.5</v>
      </c>
      <c r="X540" t="s">
        <v>102</v>
      </c>
      <c r="Y540" t="b">
        <v>0</v>
      </c>
    </row>
    <row r="541" spans="1:25" x14ac:dyDescent="0.55000000000000004">
      <c r="A541" t="s">
        <v>94</v>
      </c>
      <c r="B541" t="s">
        <v>173</v>
      </c>
      <c r="C541" t="s">
        <v>96</v>
      </c>
      <c r="D541" t="s">
        <v>174</v>
      </c>
      <c r="E541" t="s">
        <v>207</v>
      </c>
      <c r="F541" t="s">
        <v>128</v>
      </c>
      <c r="G541">
        <v>22121</v>
      </c>
      <c r="H541" t="s">
        <v>208</v>
      </c>
      <c r="I541">
        <v>1</v>
      </c>
      <c r="J541" t="s">
        <v>116</v>
      </c>
      <c r="K541" s="19">
        <v>0.25</v>
      </c>
      <c r="L541" s="19">
        <v>0.58333333333333337</v>
      </c>
      <c r="M541">
        <v>8</v>
      </c>
      <c r="N541">
        <v>0</v>
      </c>
      <c r="O541">
        <v>75</v>
      </c>
      <c r="P541">
        <v>76</v>
      </c>
      <c r="Q541" t="s">
        <v>99</v>
      </c>
      <c r="R541">
        <v>30</v>
      </c>
      <c r="S541" s="19">
        <v>0.45833333333333331</v>
      </c>
      <c r="T541">
        <v>0</v>
      </c>
      <c r="U541" s="19">
        <v>0</v>
      </c>
      <c r="V541" t="s">
        <v>99</v>
      </c>
      <c r="W541">
        <v>7.5</v>
      </c>
      <c r="X541" t="s">
        <v>102</v>
      </c>
      <c r="Y541" t="b">
        <v>0</v>
      </c>
    </row>
    <row r="542" spans="1:25" x14ac:dyDescent="0.55000000000000004">
      <c r="A542" t="s">
        <v>94</v>
      </c>
      <c r="B542" t="s">
        <v>173</v>
      </c>
      <c r="C542" t="s">
        <v>96</v>
      </c>
      <c r="D542" t="s">
        <v>174</v>
      </c>
      <c r="E542" t="s">
        <v>207</v>
      </c>
      <c r="F542" t="s">
        <v>128</v>
      </c>
      <c r="G542">
        <v>22121</v>
      </c>
      <c r="H542" t="s">
        <v>208</v>
      </c>
      <c r="I542">
        <v>1</v>
      </c>
      <c r="J542" t="s">
        <v>103</v>
      </c>
      <c r="K542" s="19">
        <v>0.25</v>
      </c>
      <c r="L542" s="19">
        <v>0.58333333333333337</v>
      </c>
      <c r="M542">
        <v>8</v>
      </c>
      <c r="N542">
        <v>0</v>
      </c>
      <c r="O542">
        <v>75</v>
      </c>
      <c r="P542">
        <v>76</v>
      </c>
      <c r="Q542" t="s">
        <v>99</v>
      </c>
      <c r="R542">
        <v>30</v>
      </c>
      <c r="S542" s="19">
        <v>0.45833333333333331</v>
      </c>
      <c r="T542">
        <v>0</v>
      </c>
      <c r="U542" s="19">
        <v>0</v>
      </c>
      <c r="V542" t="s">
        <v>99</v>
      </c>
      <c r="W542">
        <v>7.5</v>
      </c>
      <c r="X542" t="s">
        <v>102</v>
      </c>
      <c r="Y542" t="b">
        <v>0</v>
      </c>
    </row>
    <row r="543" spans="1:25" x14ac:dyDescent="0.55000000000000004">
      <c r="A543" t="s">
        <v>94</v>
      </c>
      <c r="B543" t="s">
        <v>173</v>
      </c>
      <c r="C543" t="s">
        <v>96</v>
      </c>
      <c r="D543" t="s">
        <v>174</v>
      </c>
      <c r="E543" t="s">
        <v>207</v>
      </c>
      <c r="F543" t="s">
        <v>128</v>
      </c>
      <c r="G543">
        <v>22121</v>
      </c>
      <c r="H543" t="s">
        <v>208</v>
      </c>
      <c r="I543">
        <v>1</v>
      </c>
      <c r="J543" t="s">
        <v>104</v>
      </c>
      <c r="K543" s="19">
        <v>0.25</v>
      </c>
      <c r="L543" s="19">
        <v>0.58333333333333337</v>
      </c>
      <c r="M543">
        <v>8</v>
      </c>
      <c r="N543">
        <v>0</v>
      </c>
      <c r="O543">
        <v>75</v>
      </c>
      <c r="P543">
        <v>76</v>
      </c>
      <c r="Q543" t="s">
        <v>99</v>
      </c>
      <c r="R543">
        <v>30</v>
      </c>
      <c r="S543" s="19">
        <v>0.45833333333333331</v>
      </c>
      <c r="T543">
        <v>0</v>
      </c>
      <c r="U543" s="19">
        <v>0</v>
      </c>
      <c r="V543" t="s">
        <v>99</v>
      </c>
      <c r="W543">
        <v>7.5</v>
      </c>
      <c r="X543" t="s">
        <v>102</v>
      </c>
      <c r="Y543" t="b">
        <v>0</v>
      </c>
    </row>
    <row r="544" spans="1:25" x14ac:dyDescent="0.55000000000000004">
      <c r="A544" t="s">
        <v>94</v>
      </c>
      <c r="B544" t="s">
        <v>173</v>
      </c>
      <c r="C544" t="s">
        <v>96</v>
      </c>
      <c r="D544" t="s">
        <v>174</v>
      </c>
      <c r="E544" t="s">
        <v>207</v>
      </c>
      <c r="F544" t="s">
        <v>128</v>
      </c>
      <c r="G544">
        <v>22121</v>
      </c>
      <c r="H544" t="s">
        <v>208</v>
      </c>
      <c r="I544">
        <v>1</v>
      </c>
      <c r="J544" t="s">
        <v>105</v>
      </c>
      <c r="K544" s="19">
        <v>0.25</v>
      </c>
      <c r="L544" s="19">
        <v>0.58333333333333337</v>
      </c>
      <c r="M544">
        <v>8</v>
      </c>
      <c r="N544">
        <v>0</v>
      </c>
      <c r="O544">
        <v>75</v>
      </c>
      <c r="P544">
        <v>76</v>
      </c>
      <c r="Q544" t="s">
        <v>99</v>
      </c>
      <c r="R544">
        <v>30</v>
      </c>
      <c r="S544" s="19">
        <v>0.45833333333333331</v>
      </c>
      <c r="T544">
        <v>0</v>
      </c>
      <c r="U544" s="19">
        <v>0</v>
      </c>
      <c r="V544" t="s">
        <v>99</v>
      </c>
      <c r="W544">
        <v>7.5</v>
      </c>
      <c r="X544" t="s">
        <v>102</v>
      </c>
      <c r="Y544" t="b">
        <v>0</v>
      </c>
    </row>
    <row r="545" spans="1:25" x14ac:dyDescent="0.55000000000000004">
      <c r="A545" t="s">
        <v>94</v>
      </c>
      <c r="B545" t="s">
        <v>173</v>
      </c>
      <c r="C545" t="s">
        <v>96</v>
      </c>
      <c r="D545" t="s">
        <v>174</v>
      </c>
      <c r="E545" t="s">
        <v>207</v>
      </c>
      <c r="F545" t="s">
        <v>128</v>
      </c>
      <c r="G545">
        <v>22121</v>
      </c>
      <c r="H545" t="s">
        <v>208</v>
      </c>
      <c r="I545">
        <v>2</v>
      </c>
      <c r="J545" t="s">
        <v>107</v>
      </c>
      <c r="K545" s="19">
        <v>0.25</v>
      </c>
      <c r="L545" s="19">
        <v>0.58333333333333337</v>
      </c>
      <c r="M545">
        <v>8</v>
      </c>
      <c r="N545">
        <v>0</v>
      </c>
      <c r="O545">
        <v>75</v>
      </c>
      <c r="P545">
        <v>76</v>
      </c>
      <c r="Q545" t="s">
        <v>99</v>
      </c>
      <c r="R545">
        <v>30</v>
      </c>
      <c r="S545" s="19">
        <v>0.45833333333333331</v>
      </c>
      <c r="T545">
        <v>0</v>
      </c>
      <c r="U545" s="19">
        <v>0</v>
      </c>
      <c r="V545" t="s">
        <v>99</v>
      </c>
      <c r="W545">
        <v>7.5</v>
      </c>
      <c r="X545" t="s">
        <v>102</v>
      </c>
      <c r="Y545" t="b">
        <v>0</v>
      </c>
    </row>
    <row r="546" spans="1:25" x14ac:dyDescent="0.55000000000000004">
      <c r="A546" t="s">
        <v>94</v>
      </c>
      <c r="B546" t="s">
        <v>173</v>
      </c>
      <c r="C546" t="s">
        <v>96</v>
      </c>
      <c r="D546" t="s">
        <v>174</v>
      </c>
      <c r="E546" t="s">
        <v>207</v>
      </c>
      <c r="F546" t="s">
        <v>128</v>
      </c>
      <c r="G546">
        <v>22121</v>
      </c>
      <c r="H546" t="s">
        <v>208</v>
      </c>
      <c r="I546">
        <v>2</v>
      </c>
      <c r="J546" t="s">
        <v>101</v>
      </c>
      <c r="K546" s="19">
        <v>0.25</v>
      </c>
      <c r="L546" s="19">
        <v>0.58333333333333337</v>
      </c>
      <c r="M546">
        <v>8</v>
      </c>
      <c r="N546">
        <v>0</v>
      </c>
      <c r="O546">
        <v>75</v>
      </c>
      <c r="P546">
        <v>76</v>
      </c>
      <c r="Q546" t="s">
        <v>99</v>
      </c>
      <c r="R546">
        <v>30</v>
      </c>
      <c r="S546" s="19">
        <v>0.45833333333333331</v>
      </c>
      <c r="T546">
        <v>0</v>
      </c>
      <c r="U546" s="19">
        <v>0</v>
      </c>
      <c r="V546" t="s">
        <v>99</v>
      </c>
      <c r="W546">
        <v>7.5</v>
      </c>
      <c r="X546" t="s">
        <v>102</v>
      </c>
      <c r="Y546" t="b">
        <v>0</v>
      </c>
    </row>
    <row r="547" spans="1:25" x14ac:dyDescent="0.55000000000000004">
      <c r="A547" t="s">
        <v>94</v>
      </c>
      <c r="B547" t="s">
        <v>173</v>
      </c>
      <c r="C547" t="s">
        <v>96</v>
      </c>
      <c r="D547" t="s">
        <v>174</v>
      </c>
      <c r="E547" t="s">
        <v>207</v>
      </c>
      <c r="F547" t="s">
        <v>128</v>
      </c>
      <c r="G547">
        <v>22121</v>
      </c>
      <c r="H547" t="s">
        <v>208</v>
      </c>
      <c r="I547">
        <v>2</v>
      </c>
      <c r="J547" t="s">
        <v>103</v>
      </c>
      <c r="K547" s="19">
        <v>0.25</v>
      </c>
      <c r="L547" s="19">
        <v>0.58333333333333337</v>
      </c>
      <c r="M547">
        <v>8</v>
      </c>
      <c r="N547">
        <v>0</v>
      </c>
      <c r="O547">
        <v>75</v>
      </c>
      <c r="P547">
        <v>76</v>
      </c>
      <c r="Q547" t="s">
        <v>99</v>
      </c>
      <c r="R547">
        <v>30</v>
      </c>
      <c r="S547" s="19">
        <v>0.45833333333333331</v>
      </c>
      <c r="T547">
        <v>0</v>
      </c>
      <c r="U547" s="19">
        <v>0</v>
      </c>
      <c r="V547" t="s">
        <v>99</v>
      </c>
      <c r="W547">
        <v>7.5</v>
      </c>
      <c r="X547" t="s">
        <v>102</v>
      </c>
      <c r="Y547" t="b">
        <v>0</v>
      </c>
    </row>
    <row r="548" spans="1:25" x14ac:dyDescent="0.55000000000000004">
      <c r="A548" t="s">
        <v>94</v>
      </c>
      <c r="B548" t="s">
        <v>173</v>
      </c>
      <c r="C548" t="s">
        <v>96</v>
      </c>
      <c r="D548" t="s">
        <v>174</v>
      </c>
      <c r="E548" t="s">
        <v>207</v>
      </c>
      <c r="F548" t="s">
        <v>128</v>
      </c>
      <c r="G548">
        <v>22121</v>
      </c>
      <c r="H548" t="s">
        <v>208</v>
      </c>
      <c r="I548">
        <v>2</v>
      </c>
      <c r="J548" t="s">
        <v>105</v>
      </c>
      <c r="K548" s="19">
        <v>0.25</v>
      </c>
      <c r="L548" s="19">
        <v>0.58333333333333337</v>
      </c>
      <c r="M548">
        <v>8</v>
      </c>
      <c r="N548">
        <v>0</v>
      </c>
      <c r="O548">
        <v>75</v>
      </c>
      <c r="P548">
        <v>76</v>
      </c>
      <c r="Q548" t="s">
        <v>99</v>
      </c>
      <c r="R548">
        <v>30</v>
      </c>
      <c r="S548" s="19">
        <v>0.45833333333333331</v>
      </c>
      <c r="T548">
        <v>0</v>
      </c>
      <c r="U548" s="19">
        <v>0</v>
      </c>
      <c r="V548" t="s">
        <v>99</v>
      </c>
      <c r="W548">
        <v>7.5</v>
      </c>
      <c r="X548" t="s">
        <v>102</v>
      </c>
      <c r="Y548" t="b">
        <v>0</v>
      </c>
    </row>
    <row r="549" spans="1:25" x14ac:dyDescent="0.55000000000000004">
      <c r="A549" t="s">
        <v>94</v>
      </c>
      <c r="B549" t="s">
        <v>173</v>
      </c>
      <c r="C549" t="s">
        <v>96</v>
      </c>
      <c r="D549" t="s">
        <v>174</v>
      </c>
      <c r="E549" t="s">
        <v>207</v>
      </c>
      <c r="F549" t="s">
        <v>128</v>
      </c>
      <c r="G549">
        <v>24192</v>
      </c>
      <c r="H549" t="s">
        <v>196</v>
      </c>
      <c r="I549">
        <v>1</v>
      </c>
      <c r="J549" t="s">
        <v>101</v>
      </c>
      <c r="K549" s="19">
        <v>0.25</v>
      </c>
      <c r="L549" s="19">
        <v>0.60416666666666663</v>
      </c>
      <c r="M549">
        <v>8.5</v>
      </c>
      <c r="N549">
        <v>280.88</v>
      </c>
      <c r="O549">
        <v>76</v>
      </c>
      <c r="P549">
        <v>76</v>
      </c>
      <c r="Q549" t="s">
        <v>99</v>
      </c>
      <c r="R549">
        <v>30</v>
      </c>
      <c r="S549" s="19">
        <v>0.45833333333333331</v>
      </c>
      <c r="T549">
        <v>0</v>
      </c>
      <c r="U549" s="19">
        <v>0.54166666666666663</v>
      </c>
      <c r="V549" t="s">
        <v>99</v>
      </c>
      <c r="W549">
        <v>8</v>
      </c>
      <c r="X549" t="s">
        <v>102</v>
      </c>
      <c r="Y549" t="b">
        <v>0</v>
      </c>
    </row>
    <row r="550" spans="1:25" x14ac:dyDescent="0.55000000000000004">
      <c r="A550" t="s">
        <v>94</v>
      </c>
      <c r="B550" t="s">
        <v>173</v>
      </c>
      <c r="C550" t="s">
        <v>96</v>
      </c>
      <c r="D550" t="s">
        <v>174</v>
      </c>
      <c r="E550" t="s">
        <v>207</v>
      </c>
      <c r="F550" t="s">
        <v>128</v>
      </c>
      <c r="G550">
        <v>24192</v>
      </c>
      <c r="H550" t="s">
        <v>196</v>
      </c>
      <c r="I550">
        <v>2</v>
      </c>
      <c r="J550" t="s">
        <v>104</v>
      </c>
      <c r="K550" s="19">
        <v>0.25</v>
      </c>
      <c r="L550" s="19">
        <v>0.58333333333333337</v>
      </c>
      <c r="M550">
        <v>8</v>
      </c>
      <c r="N550">
        <v>263.32</v>
      </c>
      <c r="O550">
        <v>76</v>
      </c>
      <c r="P550">
        <v>76</v>
      </c>
      <c r="Q550" t="s">
        <v>99</v>
      </c>
      <c r="R550">
        <v>30</v>
      </c>
      <c r="S550" s="19">
        <v>0.45833333333333331</v>
      </c>
      <c r="T550">
        <v>0</v>
      </c>
      <c r="U550" s="19">
        <v>0.54166666666666663</v>
      </c>
      <c r="V550" t="s">
        <v>99</v>
      </c>
      <c r="W550">
        <v>7.5</v>
      </c>
      <c r="X550" t="s">
        <v>102</v>
      </c>
      <c r="Y550" t="b">
        <v>0</v>
      </c>
    </row>
    <row r="551" spans="1:25" x14ac:dyDescent="0.55000000000000004">
      <c r="A551" t="s">
        <v>94</v>
      </c>
      <c r="B551" t="s">
        <v>173</v>
      </c>
      <c r="C551" t="s">
        <v>96</v>
      </c>
      <c r="D551" t="s">
        <v>174</v>
      </c>
      <c r="E551" t="s">
        <v>207</v>
      </c>
      <c r="F551" t="s">
        <v>128</v>
      </c>
      <c r="G551">
        <v>24336</v>
      </c>
      <c r="H551" t="s">
        <v>186</v>
      </c>
      <c r="I551">
        <v>2</v>
      </c>
      <c r="J551" t="s">
        <v>115</v>
      </c>
      <c r="K551" s="19">
        <v>0.25</v>
      </c>
      <c r="L551" s="19">
        <v>0.60416666666666663</v>
      </c>
      <c r="M551">
        <v>8.5</v>
      </c>
      <c r="N551">
        <v>0</v>
      </c>
      <c r="O551">
        <v>16</v>
      </c>
      <c r="P551">
        <v>76</v>
      </c>
      <c r="Q551" t="s">
        <v>99</v>
      </c>
      <c r="R551">
        <v>30</v>
      </c>
      <c r="S551" s="19">
        <v>0.45833333333333331</v>
      </c>
      <c r="T551">
        <v>0</v>
      </c>
      <c r="U551" s="19">
        <v>0.54166666666666663</v>
      </c>
      <c r="V551" t="s">
        <v>99</v>
      </c>
      <c r="W551">
        <v>8</v>
      </c>
      <c r="X551" t="s">
        <v>102</v>
      </c>
      <c r="Y551" t="b">
        <v>0</v>
      </c>
    </row>
    <row r="552" spans="1:25" x14ac:dyDescent="0.55000000000000004">
      <c r="A552" t="s">
        <v>94</v>
      </c>
      <c r="B552" t="s">
        <v>173</v>
      </c>
      <c r="C552" t="s">
        <v>96</v>
      </c>
      <c r="D552" t="s">
        <v>174</v>
      </c>
      <c r="E552" t="s">
        <v>207</v>
      </c>
      <c r="F552" t="s">
        <v>128</v>
      </c>
      <c r="G552">
        <v>25175</v>
      </c>
      <c r="H552" t="s">
        <v>201</v>
      </c>
      <c r="I552">
        <v>2</v>
      </c>
      <c r="J552" t="s">
        <v>116</v>
      </c>
      <c r="K552" s="19">
        <v>0.25</v>
      </c>
      <c r="L552" s="19">
        <v>0.58333333333333337</v>
      </c>
      <c r="M552">
        <v>8</v>
      </c>
      <c r="N552">
        <v>460.82</v>
      </c>
      <c r="O552">
        <v>75</v>
      </c>
      <c r="P552">
        <v>76</v>
      </c>
      <c r="Q552" t="s">
        <v>99</v>
      </c>
      <c r="R552">
        <v>30</v>
      </c>
      <c r="S552" s="19">
        <v>0.45833333333333331</v>
      </c>
      <c r="T552">
        <v>0</v>
      </c>
      <c r="U552" s="19">
        <v>0.54166666666666663</v>
      </c>
      <c r="V552" t="s">
        <v>99</v>
      </c>
      <c r="W552">
        <v>7.5</v>
      </c>
      <c r="X552" t="s">
        <v>102</v>
      </c>
      <c r="Y552" t="b">
        <v>0</v>
      </c>
    </row>
    <row r="553" spans="1:25" x14ac:dyDescent="0.55000000000000004">
      <c r="A553" t="s">
        <v>94</v>
      </c>
      <c r="B553" t="s">
        <v>173</v>
      </c>
      <c r="C553" t="s">
        <v>96</v>
      </c>
      <c r="D553" t="s">
        <v>174</v>
      </c>
      <c r="E553" t="s">
        <v>209</v>
      </c>
      <c r="F553" t="s">
        <v>128</v>
      </c>
      <c r="H553" t="s">
        <v>99</v>
      </c>
      <c r="I553">
        <v>2</v>
      </c>
      <c r="J553" t="s">
        <v>101</v>
      </c>
      <c r="K553" s="19">
        <v>0.58333333333333337</v>
      </c>
      <c r="L553" s="19">
        <v>0.91666666666666663</v>
      </c>
      <c r="M553">
        <v>8</v>
      </c>
      <c r="N553">
        <v>0</v>
      </c>
      <c r="O553">
        <v>0</v>
      </c>
      <c r="P553">
        <v>0</v>
      </c>
      <c r="Q553" t="s">
        <v>99</v>
      </c>
      <c r="R553">
        <v>30</v>
      </c>
      <c r="S553" s="19">
        <v>0.79166666666666663</v>
      </c>
      <c r="T553">
        <v>0</v>
      </c>
      <c r="U553" s="19">
        <v>0</v>
      </c>
      <c r="V553" t="s">
        <v>99</v>
      </c>
      <c r="W553">
        <v>7.5</v>
      </c>
      <c r="X553" t="s">
        <v>102</v>
      </c>
      <c r="Y553" t="b">
        <v>0</v>
      </c>
    </row>
    <row r="554" spans="1:25" x14ac:dyDescent="0.55000000000000004">
      <c r="A554" t="s">
        <v>94</v>
      </c>
      <c r="B554" t="s">
        <v>173</v>
      </c>
      <c r="C554" t="s">
        <v>96</v>
      </c>
      <c r="D554" t="s">
        <v>174</v>
      </c>
      <c r="E554" t="s">
        <v>209</v>
      </c>
      <c r="F554" t="s">
        <v>128</v>
      </c>
      <c r="H554" t="s">
        <v>99</v>
      </c>
      <c r="I554">
        <v>2</v>
      </c>
      <c r="J554" t="s">
        <v>115</v>
      </c>
      <c r="K554" s="19">
        <v>0.58333333333333337</v>
      </c>
      <c r="L554" s="19">
        <v>0.91666666666666663</v>
      </c>
      <c r="M554">
        <v>8</v>
      </c>
      <c r="N554">
        <v>375.19</v>
      </c>
      <c r="O554">
        <v>0</v>
      </c>
      <c r="P554">
        <v>0</v>
      </c>
      <c r="Q554" t="s">
        <v>99</v>
      </c>
      <c r="R554">
        <v>30</v>
      </c>
      <c r="S554" s="19">
        <v>0.79166666666666663</v>
      </c>
      <c r="T554">
        <v>0</v>
      </c>
      <c r="U554" s="19">
        <v>0</v>
      </c>
      <c r="V554" t="s">
        <v>99</v>
      </c>
      <c r="W554">
        <v>7.5</v>
      </c>
      <c r="X554" t="s">
        <v>102</v>
      </c>
      <c r="Y554" t="b">
        <v>0</v>
      </c>
    </row>
    <row r="555" spans="1:25" x14ac:dyDescent="0.55000000000000004">
      <c r="A555" t="s">
        <v>94</v>
      </c>
      <c r="B555" t="s">
        <v>173</v>
      </c>
      <c r="C555" t="s">
        <v>96</v>
      </c>
      <c r="D555" t="s">
        <v>174</v>
      </c>
      <c r="E555" t="s">
        <v>209</v>
      </c>
      <c r="F555" t="s">
        <v>128</v>
      </c>
      <c r="H555" t="s">
        <v>99</v>
      </c>
      <c r="I555">
        <v>2</v>
      </c>
      <c r="J555" t="s">
        <v>116</v>
      </c>
      <c r="K555" s="19">
        <v>0.58333333333333337</v>
      </c>
      <c r="L555" s="19">
        <v>0.91666666666666663</v>
      </c>
      <c r="M555">
        <v>8</v>
      </c>
      <c r="N555">
        <v>0</v>
      </c>
      <c r="O555">
        <v>0</v>
      </c>
      <c r="P555">
        <v>0</v>
      </c>
      <c r="Q555" t="s">
        <v>99</v>
      </c>
      <c r="R555">
        <v>30</v>
      </c>
      <c r="S555" s="19">
        <v>0.79166666666666663</v>
      </c>
      <c r="T555">
        <v>0</v>
      </c>
      <c r="U555" s="19">
        <v>0</v>
      </c>
      <c r="V555" t="s">
        <v>99</v>
      </c>
      <c r="W555">
        <v>7.5</v>
      </c>
      <c r="X555" t="s">
        <v>102</v>
      </c>
      <c r="Y555" t="b">
        <v>0</v>
      </c>
    </row>
    <row r="556" spans="1:25" x14ac:dyDescent="0.55000000000000004">
      <c r="A556" t="s">
        <v>94</v>
      </c>
      <c r="B556" t="s">
        <v>173</v>
      </c>
      <c r="C556" t="s">
        <v>96</v>
      </c>
      <c r="D556" t="s">
        <v>174</v>
      </c>
      <c r="E556" t="s">
        <v>209</v>
      </c>
      <c r="F556" t="s">
        <v>128</v>
      </c>
      <c r="G556">
        <v>19802</v>
      </c>
      <c r="H556" t="s">
        <v>210</v>
      </c>
      <c r="I556">
        <v>1</v>
      </c>
      <c r="J556" t="s">
        <v>107</v>
      </c>
      <c r="K556" s="19">
        <v>0.58333333333333337</v>
      </c>
      <c r="L556" s="19">
        <v>0.91666666666666663</v>
      </c>
      <c r="M556">
        <v>8</v>
      </c>
      <c r="N556">
        <v>0</v>
      </c>
      <c r="O556">
        <v>75</v>
      </c>
      <c r="P556">
        <v>76</v>
      </c>
      <c r="Q556" t="s">
        <v>99</v>
      </c>
      <c r="R556">
        <v>30</v>
      </c>
      <c r="S556" s="19">
        <v>0.79166666666666663</v>
      </c>
      <c r="T556">
        <v>0</v>
      </c>
      <c r="U556" s="19">
        <v>0</v>
      </c>
      <c r="V556" t="s">
        <v>99</v>
      </c>
      <c r="W556">
        <v>7.5</v>
      </c>
      <c r="X556" t="s">
        <v>102</v>
      </c>
      <c r="Y556" t="b">
        <v>0</v>
      </c>
    </row>
    <row r="557" spans="1:25" x14ac:dyDescent="0.55000000000000004">
      <c r="A557" t="s">
        <v>94</v>
      </c>
      <c r="B557" t="s">
        <v>173</v>
      </c>
      <c r="C557" t="s">
        <v>96</v>
      </c>
      <c r="D557" t="s">
        <v>174</v>
      </c>
      <c r="E557" t="s">
        <v>209</v>
      </c>
      <c r="F557" t="s">
        <v>128</v>
      </c>
      <c r="G557">
        <v>19802</v>
      </c>
      <c r="H557" t="s">
        <v>210</v>
      </c>
      <c r="I557">
        <v>1</v>
      </c>
      <c r="J557" t="s">
        <v>101</v>
      </c>
      <c r="K557" s="19">
        <v>0.58333333333333337</v>
      </c>
      <c r="L557" s="19">
        <v>0.91666666666666663</v>
      </c>
      <c r="M557">
        <v>8</v>
      </c>
      <c r="N557">
        <v>0</v>
      </c>
      <c r="O557">
        <v>75</v>
      </c>
      <c r="P557">
        <v>76</v>
      </c>
      <c r="Q557" t="s">
        <v>99</v>
      </c>
      <c r="R557">
        <v>30</v>
      </c>
      <c r="S557" s="19">
        <v>0.79166666666666663</v>
      </c>
      <c r="T557">
        <v>0</v>
      </c>
      <c r="U557" s="19">
        <v>0</v>
      </c>
      <c r="V557" t="s">
        <v>99</v>
      </c>
      <c r="W557">
        <v>7.5</v>
      </c>
      <c r="X557" t="s">
        <v>102</v>
      </c>
      <c r="Y557" t="b">
        <v>0</v>
      </c>
    </row>
    <row r="558" spans="1:25" x14ac:dyDescent="0.55000000000000004">
      <c r="A558" t="s">
        <v>94</v>
      </c>
      <c r="B558" t="s">
        <v>173</v>
      </c>
      <c r="C558" t="s">
        <v>96</v>
      </c>
      <c r="D558" t="s">
        <v>174</v>
      </c>
      <c r="E558" t="s">
        <v>209</v>
      </c>
      <c r="F558" t="s">
        <v>128</v>
      </c>
      <c r="G558">
        <v>19802</v>
      </c>
      <c r="H558" t="s">
        <v>210</v>
      </c>
      <c r="I558">
        <v>1</v>
      </c>
      <c r="J558" t="s">
        <v>115</v>
      </c>
      <c r="K558" s="19">
        <v>0.58333333333333337</v>
      </c>
      <c r="L558" s="19">
        <v>0.91666666666666663</v>
      </c>
      <c r="M558">
        <v>8</v>
      </c>
      <c r="N558">
        <v>0</v>
      </c>
      <c r="O558">
        <v>75</v>
      </c>
      <c r="P558">
        <v>76</v>
      </c>
      <c r="Q558" t="s">
        <v>99</v>
      </c>
      <c r="R558">
        <v>30</v>
      </c>
      <c r="S558" s="19">
        <v>0.79166666666666663</v>
      </c>
      <c r="T558">
        <v>0</v>
      </c>
      <c r="U558" s="19">
        <v>0</v>
      </c>
      <c r="V558" t="s">
        <v>99</v>
      </c>
      <c r="W558">
        <v>7.5</v>
      </c>
      <c r="X558" t="s">
        <v>102</v>
      </c>
      <c r="Y558" t="b">
        <v>0</v>
      </c>
    </row>
    <row r="559" spans="1:25" x14ac:dyDescent="0.55000000000000004">
      <c r="A559" t="s">
        <v>94</v>
      </c>
      <c r="B559" t="s">
        <v>173</v>
      </c>
      <c r="C559" t="s">
        <v>96</v>
      </c>
      <c r="D559" t="s">
        <v>174</v>
      </c>
      <c r="E559" t="s">
        <v>209</v>
      </c>
      <c r="F559" t="s">
        <v>128</v>
      </c>
      <c r="G559">
        <v>19802</v>
      </c>
      <c r="H559" t="s">
        <v>210</v>
      </c>
      <c r="I559">
        <v>1</v>
      </c>
      <c r="J559" t="s">
        <v>116</v>
      </c>
      <c r="K559" s="19">
        <v>0.58333333333333337</v>
      </c>
      <c r="L559" s="19">
        <v>0.91666666666666663</v>
      </c>
      <c r="M559">
        <v>8</v>
      </c>
      <c r="N559">
        <v>0</v>
      </c>
      <c r="O559">
        <v>75</v>
      </c>
      <c r="P559">
        <v>76</v>
      </c>
      <c r="Q559" t="s">
        <v>99</v>
      </c>
      <c r="R559">
        <v>30</v>
      </c>
      <c r="S559" s="19">
        <v>0.79166666666666663</v>
      </c>
      <c r="T559">
        <v>0</v>
      </c>
      <c r="U559" s="19">
        <v>0</v>
      </c>
      <c r="V559" t="s">
        <v>99</v>
      </c>
      <c r="W559">
        <v>7.5</v>
      </c>
      <c r="X559" t="s">
        <v>102</v>
      </c>
      <c r="Y559" t="b">
        <v>0</v>
      </c>
    </row>
    <row r="560" spans="1:25" x14ac:dyDescent="0.55000000000000004">
      <c r="A560" t="s">
        <v>94</v>
      </c>
      <c r="B560" t="s">
        <v>173</v>
      </c>
      <c r="C560" t="s">
        <v>96</v>
      </c>
      <c r="D560" t="s">
        <v>174</v>
      </c>
      <c r="E560" t="s">
        <v>209</v>
      </c>
      <c r="F560" t="s">
        <v>128</v>
      </c>
      <c r="G560">
        <v>19802</v>
      </c>
      <c r="H560" t="s">
        <v>210</v>
      </c>
      <c r="I560">
        <v>1</v>
      </c>
      <c r="J560" t="s">
        <v>104</v>
      </c>
      <c r="K560" s="19">
        <v>0.58333333333333337</v>
      </c>
      <c r="L560" s="19">
        <v>0.91666666666666663</v>
      </c>
      <c r="M560">
        <v>8</v>
      </c>
      <c r="N560">
        <v>0</v>
      </c>
      <c r="O560">
        <v>75</v>
      </c>
      <c r="P560">
        <v>76</v>
      </c>
      <c r="Q560" t="s">
        <v>99</v>
      </c>
      <c r="R560">
        <v>30</v>
      </c>
      <c r="S560" s="19">
        <v>0.79166666666666663</v>
      </c>
      <c r="T560">
        <v>0</v>
      </c>
      <c r="U560" s="19">
        <v>0</v>
      </c>
      <c r="V560" t="s">
        <v>99</v>
      </c>
      <c r="W560">
        <v>7.5</v>
      </c>
      <c r="X560" t="s">
        <v>102</v>
      </c>
      <c r="Y560" t="b">
        <v>0</v>
      </c>
    </row>
    <row r="561" spans="1:25" x14ac:dyDescent="0.55000000000000004">
      <c r="A561" t="s">
        <v>94</v>
      </c>
      <c r="B561" t="s">
        <v>173</v>
      </c>
      <c r="C561" t="s">
        <v>96</v>
      </c>
      <c r="D561" t="s">
        <v>174</v>
      </c>
      <c r="E561" t="s">
        <v>209</v>
      </c>
      <c r="F561" t="s">
        <v>128</v>
      </c>
      <c r="G561">
        <v>19802</v>
      </c>
      <c r="H561" t="s">
        <v>210</v>
      </c>
      <c r="I561">
        <v>1</v>
      </c>
      <c r="J561" t="s">
        <v>105</v>
      </c>
      <c r="K561" s="19">
        <v>0.58333333333333337</v>
      </c>
      <c r="L561" s="19">
        <v>0.91666666666666663</v>
      </c>
      <c r="M561">
        <v>8</v>
      </c>
      <c r="N561">
        <v>0</v>
      </c>
      <c r="O561">
        <v>75</v>
      </c>
      <c r="P561">
        <v>76</v>
      </c>
      <c r="Q561" t="s">
        <v>99</v>
      </c>
      <c r="R561">
        <v>30</v>
      </c>
      <c r="S561" s="19">
        <v>0.79166666666666663</v>
      </c>
      <c r="T561">
        <v>0</v>
      </c>
      <c r="U561" s="19">
        <v>0</v>
      </c>
      <c r="V561" t="s">
        <v>99</v>
      </c>
      <c r="W561">
        <v>7.5</v>
      </c>
      <c r="X561" t="s">
        <v>102</v>
      </c>
      <c r="Y561" t="b">
        <v>0</v>
      </c>
    </row>
    <row r="562" spans="1:25" x14ac:dyDescent="0.55000000000000004">
      <c r="A562" t="s">
        <v>94</v>
      </c>
      <c r="B562" t="s">
        <v>173</v>
      </c>
      <c r="C562" t="s">
        <v>96</v>
      </c>
      <c r="D562" t="s">
        <v>174</v>
      </c>
      <c r="E562" t="s">
        <v>209</v>
      </c>
      <c r="F562" t="s">
        <v>128</v>
      </c>
      <c r="G562">
        <v>19802</v>
      </c>
      <c r="H562" t="s">
        <v>210</v>
      </c>
      <c r="I562">
        <v>2</v>
      </c>
      <c r="J562" t="s">
        <v>107</v>
      </c>
      <c r="K562" s="19">
        <v>0.58333333333333337</v>
      </c>
      <c r="L562" s="19">
        <v>0.91666666666666663</v>
      </c>
      <c r="M562">
        <v>8</v>
      </c>
      <c r="N562">
        <v>0</v>
      </c>
      <c r="O562">
        <v>75</v>
      </c>
      <c r="P562">
        <v>76</v>
      </c>
      <c r="Q562" t="s">
        <v>99</v>
      </c>
      <c r="R562">
        <v>30</v>
      </c>
      <c r="S562" s="19">
        <v>0.79166666666666663</v>
      </c>
      <c r="T562">
        <v>0</v>
      </c>
      <c r="U562" s="19">
        <v>0</v>
      </c>
      <c r="V562" t="s">
        <v>99</v>
      </c>
      <c r="W562">
        <v>7.5</v>
      </c>
      <c r="X562" t="s">
        <v>102</v>
      </c>
      <c r="Y562" t="b">
        <v>0</v>
      </c>
    </row>
    <row r="563" spans="1:25" x14ac:dyDescent="0.55000000000000004">
      <c r="A563" t="s">
        <v>94</v>
      </c>
      <c r="B563" t="s">
        <v>173</v>
      </c>
      <c r="C563" t="s">
        <v>96</v>
      </c>
      <c r="D563" t="s">
        <v>174</v>
      </c>
      <c r="E563" t="s">
        <v>209</v>
      </c>
      <c r="F563" t="s">
        <v>128</v>
      </c>
      <c r="G563">
        <v>19802</v>
      </c>
      <c r="H563" t="s">
        <v>210</v>
      </c>
      <c r="I563">
        <v>2</v>
      </c>
      <c r="J563" t="s">
        <v>103</v>
      </c>
      <c r="K563" s="19">
        <v>0.58333333333333337</v>
      </c>
      <c r="L563" s="19">
        <v>0.91666666666666663</v>
      </c>
      <c r="M563">
        <v>8</v>
      </c>
      <c r="N563">
        <v>0</v>
      </c>
      <c r="O563">
        <v>75</v>
      </c>
      <c r="P563">
        <v>76</v>
      </c>
      <c r="Q563" t="s">
        <v>99</v>
      </c>
      <c r="R563">
        <v>30</v>
      </c>
      <c r="S563" s="19">
        <v>0.79166666666666663</v>
      </c>
      <c r="T563">
        <v>0</v>
      </c>
      <c r="U563" s="19">
        <v>0</v>
      </c>
      <c r="V563" t="s">
        <v>99</v>
      </c>
      <c r="W563">
        <v>7.5</v>
      </c>
      <c r="X563" t="s">
        <v>102</v>
      </c>
      <c r="Y563" t="b">
        <v>0</v>
      </c>
    </row>
    <row r="564" spans="1:25" x14ac:dyDescent="0.55000000000000004">
      <c r="A564" t="s">
        <v>94</v>
      </c>
      <c r="B564" t="s">
        <v>173</v>
      </c>
      <c r="C564" t="s">
        <v>96</v>
      </c>
      <c r="D564" t="s">
        <v>174</v>
      </c>
      <c r="E564" t="s">
        <v>209</v>
      </c>
      <c r="F564" t="s">
        <v>128</v>
      </c>
      <c r="G564">
        <v>19802</v>
      </c>
      <c r="H564" t="s">
        <v>210</v>
      </c>
      <c r="I564">
        <v>2</v>
      </c>
      <c r="J564" t="s">
        <v>104</v>
      </c>
      <c r="K564" s="19">
        <v>0.58333333333333337</v>
      </c>
      <c r="L564" s="19">
        <v>0.91666666666666663</v>
      </c>
      <c r="M564">
        <v>8</v>
      </c>
      <c r="N564">
        <v>0</v>
      </c>
      <c r="O564">
        <v>75</v>
      </c>
      <c r="P564">
        <v>76</v>
      </c>
      <c r="Q564" t="s">
        <v>99</v>
      </c>
      <c r="R564">
        <v>30</v>
      </c>
      <c r="S564" s="19">
        <v>0.79166666666666663</v>
      </c>
      <c r="T564">
        <v>0</v>
      </c>
      <c r="U564" s="19">
        <v>0</v>
      </c>
      <c r="V564" t="s">
        <v>99</v>
      </c>
      <c r="W564">
        <v>7.5</v>
      </c>
      <c r="X564" t="s">
        <v>102</v>
      </c>
      <c r="Y564" t="b">
        <v>0</v>
      </c>
    </row>
    <row r="565" spans="1:25" x14ac:dyDescent="0.55000000000000004">
      <c r="A565" t="s">
        <v>94</v>
      </c>
      <c r="B565" t="s">
        <v>173</v>
      </c>
      <c r="C565" t="s">
        <v>96</v>
      </c>
      <c r="D565" t="s">
        <v>174</v>
      </c>
      <c r="E565" t="s">
        <v>209</v>
      </c>
      <c r="F565" t="s">
        <v>128</v>
      </c>
      <c r="G565">
        <v>19802</v>
      </c>
      <c r="H565" t="s">
        <v>210</v>
      </c>
      <c r="I565">
        <v>2</v>
      </c>
      <c r="J565" t="s">
        <v>105</v>
      </c>
      <c r="K565" s="19">
        <v>0.58333333333333337</v>
      </c>
      <c r="L565" s="19">
        <v>0.91666666666666663</v>
      </c>
      <c r="M565">
        <v>8</v>
      </c>
      <c r="N565">
        <v>0</v>
      </c>
      <c r="O565">
        <v>75</v>
      </c>
      <c r="P565">
        <v>76</v>
      </c>
      <c r="Q565" t="s">
        <v>99</v>
      </c>
      <c r="R565">
        <v>30</v>
      </c>
      <c r="S565" s="19">
        <v>0.79166666666666663</v>
      </c>
      <c r="T565">
        <v>0</v>
      </c>
      <c r="U565" s="19">
        <v>0</v>
      </c>
      <c r="V565" t="s">
        <v>99</v>
      </c>
      <c r="W565">
        <v>7.5</v>
      </c>
      <c r="X565" t="s">
        <v>102</v>
      </c>
      <c r="Y565" t="b">
        <v>0</v>
      </c>
    </row>
    <row r="566" spans="1:25" x14ac:dyDescent="0.55000000000000004">
      <c r="A566" t="s">
        <v>94</v>
      </c>
      <c r="B566" t="s">
        <v>173</v>
      </c>
      <c r="C566" t="s">
        <v>96</v>
      </c>
      <c r="D566" t="s">
        <v>174</v>
      </c>
      <c r="E566" t="s">
        <v>209</v>
      </c>
      <c r="F566" t="s">
        <v>128</v>
      </c>
      <c r="G566">
        <v>25175</v>
      </c>
      <c r="H566" t="s">
        <v>201</v>
      </c>
      <c r="I566">
        <v>1</v>
      </c>
      <c r="J566" t="s">
        <v>103</v>
      </c>
      <c r="K566" s="19">
        <v>0.58333333333333337</v>
      </c>
      <c r="L566" s="19">
        <v>0.91666666666666663</v>
      </c>
      <c r="M566">
        <v>8</v>
      </c>
      <c r="N566">
        <v>296.24</v>
      </c>
      <c r="O566">
        <v>75</v>
      </c>
      <c r="P566">
        <v>76</v>
      </c>
      <c r="Q566" t="s">
        <v>99</v>
      </c>
      <c r="R566">
        <v>30</v>
      </c>
      <c r="S566" s="19">
        <v>0.79166666666666663</v>
      </c>
      <c r="T566">
        <v>0</v>
      </c>
      <c r="U566" s="19">
        <v>0.54166666666666663</v>
      </c>
      <c r="V566" t="s">
        <v>99</v>
      </c>
      <c r="W566">
        <v>7.5</v>
      </c>
      <c r="X566" t="s">
        <v>102</v>
      </c>
      <c r="Y566" t="b">
        <v>0</v>
      </c>
    </row>
    <row r="567" spans="1:25" x14ac:dyDescent="0.55000000000000004">
      <c r="A567" t="s">
        <v>94</v>
      </c>
      <c r="B567" t="s">
        <v>173</v>
      </c>
      <c r="C567" t="s">
        <v>96</v>
      </c>
      <c r="D567" t="s">
        <v>174</v>
      </c>
      <c r="E567" t="s">
        <v>211</v>
      </c>
      <c r="F567" t="s">
        <v>118</v>
      </c>
      <c r="G567">
        <v>19822</v>
      </c>
      <c r="H567" t="s">
        <v>212</v>
      </c>
      <c r="I567">
        <v>1</v>
      </c>
      <c r="J567" t="s">
        <v>101</v>
      </c>
      <c r="K567" s="19">
        <v>0.91666666666666663</v>
      </c>
      <c r="L567" s="19">
        <v>0.25</v>
      </c>
      <c r="M567">
        <v>8</v>
      </c>
      <c r="N567">
        <v>306.36</v>
      </c>
      <c r="O567">
        <v>67.5</v>
      </c>
      <c r="P567">
        <v>76</v>
      </c>
      <c r="Q567" t="s">
        <v>99</v>
      </c>
      <c r="R567">
        <v>30</v>
      </c>
      <c r="S567" s="19">
        <v>0</v>
      </c>
      <c r="T567">
        <v>0</v>
      </c>
      <c r="U567" s="19">
        <v>0.54166666666666663</v>
      </c>
      <c r="V567" t="s">
        <v>99</v>
      </c>
      <c r="W567">
        <v>7.5</v>
      </c>
      <c r="X567" t="s">
        <v>102</v>
      </c>
      <c r="Y567" t="b">
        <v>0</v>
      </c>
    </row>
    <row r="568" spans="1:25" x14ac:dyDescent="0.55000000000000004">
      <c r="A568" t="s">
        <v>94</v>
      </c>
      <c r="B568" t="s">
        <v>173</v>
      </c>
      <c r="C568" t="s">
        <v>96</v>
      </c>
      <c r="D568" t="s">
        <v>174</v>
      </c>
      <c r="E568" t="s">
        <v>211</v>
      </c>
      <c r="F568" t="s">
        <v>118</v>
      </c>
      <c r="G568">
        <v>19822</v>
      </c>
      <c r="H568" t="s">
        <v>212</v>
      </c>
      <c r="I568">
        <v>1</v>
      </c>
      <c r="J568" t="s">
        <v>104</v>
      </c>
      <c r="K568" s="19">
        <v>0.91666666666666663</v>
      </c>
      <c r="L568" s="19">
        <v>0.25</v>
      </c>
      <c r="M568">
        <v>8</v>
      </c>
      <c r="N568">
        <v>306.36</v>
      </c>
      <c r="O568">
        <v>67.5</v>
      </c>
      <c r="P568">
        <v>76</v>
      </c>
      <c r="Q568" t="s">
        <v>99</v>
      </c>
      <c r="R568">
        <v>30</v>
      </c>
      <c r="S568" s="19">
        <v>0</v>
      </c>
      <c r="T568">
        <v>0</v>
      </c>
      <c r="U568" s="19">
        <v>0.54166666666666663</v>
      </c>
      <c r="V568" t="s">
        <v>99</v>
      </c>
      <c r="W568">
        <v>7.5</v>
      </c>
      <c r="X568" t="s">
        <v>102</v>
      </c>
      <c r="Y568" t="b">
        <v>0</v>
      </c>
    </row>
    <row r="569" spans="1:25" x14ac:dyDescent="0.55000000000000004">
      <c r="A569" t="s">
        <v>94</v>
      </c>
      <c r="B569" t="s">
        <v>173</v>
      </c>
      <c r="C569" t="s">
        <v>96</v>
      </c>
      <c r="D569" t="s">
        <v>174</v>
      </c>
      <c r="E569" t="s">
        <v>211</v>
      </c>
      <c r="F569" t="s">
        <v>118</v>
      </c>
      <c r="G569">
        <v>19822</v>
      </c>
      <c r="H569" t="s">
        <v>212</v>
      </c>
      <c r="I569">
        <v>1</v>
      </c>
      <c r="J569" t="s">
        <v>105</v>
      </c>
      <c r="K569" s="19">
        <v>0.91666666666666663</v>
      </c>
      <c r="L569" s="19">
        <v>0.25</v>
      </c>
      <c r="M569">
        <v>8</v>
      </c>
      <c r="N569">
        <v>306.36</v>
      </c>
      <c r="O569">
        <v>67.5</v>
      </c>
      <c r="P569">
        <v>76</v>
      </c>
      <c r="Q569" t="s">
        <v>99</v>
      </c>
      <c r="R569">
        <v>30</v>
      </c>
      <c r="S569" s="19">
        <v>0</v>
      </c>
      <c r="T569">
        <v>0</v>
      </c>
      <c r="U569" s="19">
        <v>0.54166666666666663</v>
      </c>
      <c r="V569" t="s">
        <v>99</v>
      </c>
      <c r="W569">
        <v>7.5</v>
      </c>
      <c r="X569" t="s">
        <v>102</v>
      </c>
      <c r="Y569" t="b">
        <v>0</v>
      </c>
    </row>
    <row r="570" spans="1:25" x14ac:dyDescent="0.55000000000000004">
      <c r="A570" t="s">
        <v>94</v>
      </c>
      <c r="B570" t="s">
        <v>173</v>
      </c>
      <c r="C570" t="s">
        <v>96</v>
      </c>
      <c r="D570" t="s">
        <v>174</v>
      </c>
      <c r="E570" t="s">
        <v>211</v>
      </c>
      <c r="F570" t="s">
        <v>118</v>
      </c>
      <c r="G570">
        <v>19822</v>
      </c>
      <c r="H570" t="s">
        <v>212</v>
      </c>
      <c r="I570">
        <v>2</v>
      </c>
      <c r="J570" t="s">
        <v>115</v>
      </c>
      <c r="K570" s="19">
        <v>0.91666666666666663</v>
      </c>
      <c r="L570" s="19">
        <v>0.25</v>
      </c>
      <c r="M570">
        <v>8</v>
      </c>
      <c r="N570">
        <v>448.44</v>
      </c>
      <c r="O570">
        <v>67.5</v>
      </c>
      <c r="P570">
        <v>76</v>
      </c>
      <c r="Q570" t="s">
        <v>99</v>
      </c>
      <c r="R570">
        <v>30</v>
      </c>
      <c r="S570" s="19">
        <v>0</v>
      </c>
      <c r="T570">
        <v>0</v>
      </c>
      <c r="U570" s="19">
        <v>0.54166666666666663</v>
      </c>
      <c r="V570" t="s">
        <v>99</v>
      </c>
      <c r="W570">
        <v>7.5</v>
      </c>
      <c r="X570" t="s">
        <v>102</v>
      </c>
      <c r="Y570" t="b">
        <v>0</v>
      </c>
    </row>
    <row r="571" spans="1:25" x14ac:dyDescent="0.55000000000000004">
      <c r="A571" t="s">
        <v>94</v>
      </c>
      <c r="B571" t="s">
        <v>173</v>
      </c>
      <c r="C571" t="s">
        <v>96</v>
      </c>
      <c r="D571" t="s">
        <v>174</v>
      </c>
      <c r="E571" t="s">
        <v>211</v>
      </c>
      <c r="F571" t="s">
        <v>118</v>
      </c>
      <c r="G571">
        <v>19822</v>
      </c>
      <c r="H571" t="s">
        <v>212</v>
      </c>
      <c r="I571">
        <v>2</v>
      </c>
      <c r="J571" t="s">
        <v>116</v>
      </c>
      <c r="K571" s="19">
        <v>0.91666666666666663</v>
      </c>
      <c r="L571" s="19">
        <v>0.25</v>
      </c>
      <c r="M571">
        <v>8</v>
      </c>
      <c r="N571">
        <v>348.98</v>
      </c>
      <c r="O571">
        <v>67.5</v>
      </c>
      <c r="P571">
        <v>76</v>
      </c>
      <c r="Q571" t="s">
        <v>99</v>
      </c>
      <c r="R571">
        <v>30</v>
      </c>
      <c r="S571" s="19">
        <v>0</v>
      </c>
      <c r="T571">
        <v>0</v>
      </c>
      <c r="U571" s="19">
        <v>0.54166666666666663</v>
      </c>
      <c r="V571" t="s">
        <v>99</v>
      </c>
      <c r="W571">
        <v>7.5</v>
      </c>
      <c r="X571" t="s">
        <v>102</v>
      </c>
      <c r="Y571" t="b">
        <v>0</v>
      </c>
    </row>
    <row r="572" spans="1:25" x14ac:dyDescent="0.55000000000000004">
      <c r="A572" t="s">
        <v>94</v>
      </c>
      <c r="B572" t="s">
        <v>173</v>
      </c>
      <c r="C572" t="s">
        <v>96</v>
      </c>
      <c r="D572" t="s">
        <v>174</v>
      </c>
      <c r="E572" t="s">
        <v>211</v>
      </c>
      <c r="F572" t="s">
        <v>118</v>
      </c>
      <c r="G572">
        <v>19822</v>
      </c>
      <c r="H572" t="s">
        <v>212</v>
      </c>
      <c r="I572">
        <v>2</v>
      </c>
      <c r="J572" t="s">
        <v>105</v>
      </c>
      <c r="K572" s="19">
        <v>0.91666666666666663</v>
      </c>
      <c r="L572" s="19">
        <v>0.25</v>
      </c>
      <c r="M572">
        <v>8</v>
      </c>
      <c r="N572">
        <v>306.36</v>
      </c>
      <c r="O572">
        <v>67.5</v>
      </c>
      <c r="P572">
        <v>76</v>
      </c>
      <c r="Q572" t="s">
        <v>99</v>
      </c>
      <c r="R572">
        <v>30</v>
      </c>
      <c r="S572" s="19">
        <v>0</v>
      </c>
      <c r="T572">
        <v>0</v>
      </c>
      <c r="U572" s="19">
        <v>0.54166666666666663</v>
      </c>
      <c r="V572" t="s">
        <v>99</v>
      </c>
      <c r="W572">
        <v>7.5</v>
      </c>
      <c r="X572" t="s">
        <v>102</v>
      </c>
      <c r="Y572" t="b">
        <v>0</v>
      </c>
    </row>
    <row r="573" spans="1:25" x14ac:dyDescent="0.55000000000000004">
      <c r="A573" t="s">
        <v>94</v>
      </c>
      <c r="B573" t="s">
        <v>173</v>
      </c>
      <c r="C573" t="s">
        <v>96</v>
      </c>
      <c r="D573" t="s">
        <v>174</v>
      </c>
      <c r="E573" t="s">
        <v>211</v>
      </c>
      <c r="F573" t="s">
        <v>118</v>
      </c>
      <c r="G573">
        <v>22263</v>
      </c>
      <c r="H573" t="s">
        <v>213</v>
      </c>
      <c r="I573">
        <v>1</v>
      </c>
      <c r="J573" t="s">
        <v>115</v>
      </c>
      <c r="K573" s="19">
        <v>0.91666666666666663</v>
      </c>
      <c r="L573" s="19">
        <v>0.25</v>
      </c>
      <c r="M573">
        <v>8</v>
      </c>
      <c r="N573">
        <v>443.26</v>
      </c>
      <c r="O573">
        <v>52.5</v>
      </c>
      <c r="P573">
        <v>76</v>
      </c>
      <c r="Q573" t="s">
        <v>99</v>
      </c>
      <c r="R573">
        <v>30</v>
      </c>
      <c r="S573" s="19">
        <v>0</v>
      </c>
      <c r="T573">
        <v>0</v>
      </c>
      <c r="U573" s="19">
        <v>0</v>
      </c>
      <c r="V573" t="s">
        <v>99</v>
      </c>
      <c r="W573">
        <v>7.5</v>
      </c>
      <c r="X573" t="s">
        <v>102</v>
      </c>
      <c r="Y573" t="b">
        <v>0</v>
      </c>
    </row>
    <row r="574" spans="1:25" x14ac:dyDescent="0.55000000000000004">
      <c r="A574" t="s">
        <v>94</v>
      </c>
      <c r="B574" t="s">
        <v>173</v>
      </c>
      <c r="C574" t="s">
        <v>96</v>
      </c>
      <c r="D574" t="s">
        <v>174</v>
      </c>
      <c r="E574" t="s">
        <v>211</v>
      </c>
      <c r="F574" t="s">
        <v>118</v>
      </c>
      <c r="G574">
        <v>22263</v>
      </c>
      <c r="H574" t="s">
        <v>213</v>
      </c>
      <c r="I574">
        <v>1</v>
      </c>
      <c r="J574" t="s">
        <v>116</v>
      </c>
      <c r="K574" s="19">
        <v>0.91666666666666663</v>
      </c>
      <c r="L574" s="19">
        <v>0.25</v>
      </c>
      <c r="M574">
        <v>8</v>
      </c>
      <c r="N574">
        <v>344.96</v>
      </c>
      <c r="O574">
        <v>52.5</v>
      </c>
      <c r="P574">
        <v>76</v>
      </c>
      <c r="Q574" t="s">
        <v>99</v>
      </c>
      <c r="R574">
        <v>30</v>
      </c>
      <c r="S574" s="19">
        <v>0</v>
      </c>
      <c r="T574">
        <v>0</v>
      </c>
      <c r="U574" s="19">
        <v>0</v>
      </c>
      <c r="V574" t="s">
        <v>99</v>
      </c>
      <c r="W574">
        <v>7.5</v>
      </c>
      <c r="X574" t="s">
        <v>102</v>
      </c>
      <c r="Y574" t="b">
        <v>0</v>
      </c>
    </row>
    <row r="575" spans="1:25" x14ac:dyDescent="0.55000000000000004">
      <c r="A575" t="s">
        <v>94</v>
      </c>
      <c r="B575" t="s">
        <v>173</v>
      </c>
      <c r="C575" t="s">
        <v>96</v>
      </c>
      <c r="D575" t="s">
        <v>174</v>
      </c>
      <c r="E575" t="s">
        <v>211</v>
      </c>
      <c r="F575" t="s">
        <v>118</v>
      </c>
      <c r="G575">
        <v>22263</v>
      </c>
      <c r="H575" t="s">
        <v>213</v>
      </c>
      <c r="I575">
        <v>2</v>
      </c>
      <c r="J575" t="s">
        <v>101</v>
      </c>
      <c r="K575" s="19">
        <v>0.91666666666666663</v>
      </c>
      <c r="L575" s="19">
        <v>0.25</v>
      </c>
      <c r="M575">
        <v>8</v>
      </c>
      <c r="N575">
        <v>302.82</v>
      </c>
      <c r="O575">
        <v>52.5</v>
      </c>
      <c r="P575">
        <v>76</v>
      </c>
      <c r="Q575" t="s">
        <v>99</v>
      </c>
      <c r="R575">
        <v>30</v>
      </c>
      <c r="S575" s="19">
        <v>0</v>
      </c>
      <c r="T575">
        <v>0</v>
      </c>
      <c r="U575" s="19">
        <v>0</v>
      </c>
      <c r="V575" t="s">
        <v>99</v>
      </c>
      <c r="W575">
        <v>7.5</v>
      </c>
      <c r="X575" t="s">
        <v>102</v>
      </c>
      <c r="Y575" t="b">
        <v>0</v>
      </c>
    </row>
    <row r="576" spans="1:25" x14ac:dyDescent="0.55000000000000004">
      <c r="A576" t="s">
        <v>94</v>
      </c>
      <c r="B576" t="s">
        <v>173</v>
      </c>
      <c r="C576" t="s">
        <v>96</v>
      </c>
      <c r="D576" t="s">
        <v>174</v>
      </c>
      <c r="E576" t="s">
        <v>211</v>
      </c>
      <c r="F576" t="s">
        <v>118</v>
      </c>
      <c r="G576">
        <v>22263</v>
      </c>
      <c r="H576" t="s">
        <v>213</v>
      </c>
      <c r="I576">
        <v>2</v>
      </c>
      <c r="J576" t="s">
        <v>104</v>
      </c>
      <c r="K576" s="19">
        <v>0.91666666666666663</v>
      </c>
      <c r="L576" s="19">
        <v>0.25</v>
      </c>
      <c r="M576">
        <v>8</v>
      </c>
      <c r="N576">
        <v>302.82</v>
      </c>
      <c r="O576">
        <v>52.5</v>
      </c>
      <c r="P576">
        <v>76</v>
      </c>
      <c r="Q576" t="s">
        <v>99</v>
      </c>
      <c r="R576">
        <v>30</v>
      </c>
      <c r="S576" s="19">
        <v>0</v>
      </c>
      <c r="T576">
        <v>0</v>
      </c>
      <c r="U576" s="19">
        <v>0</v>
      </c>
      <c r="V576" t="s">
        <v>99</v>
      </c>
      <c r="W576">
        <v>7.5</v>
      </c>
      <c r="X576" t="s">
        <v>102</v>
      </c>
      <c r="Y576" t="b">
        <v>0</v>
      </c>
    </row>
    <row r="577" spans="1:25" x14ac:dyDescent="0.55000000000000004">
      <c r="A577" t="s">
        <v>94</v>
      </c>
      <c r="B577" t="s">
        <v>173</v>
      </c>
      <c r="C577" t="s">
        <v>96</v>
      </c>
      <c r="D577" t="s">
        <v>174</v>
      </c>
      <c r="E577" t="s">
        <v>211</v>
      </c>
      <c r="F577" t="s">
        <v>118</v>
      </c>
      <c r="G577">
        <v>22301</v>
      </c>
      <c r="H577" t="s">
        <v>214</v>
      </c>
      <c r="I577">
        <v>1</v>
      </c>
      <c r="J577" t="s">
        <v>107</v>
      </c>
      <c r="K577" s="19">
        <v>0.91666666666666663</v>
      </c>
      <c r="L577" s="19">
        <v>0.25</v>
      </c>
      <c r="M577">
        <v>8</v>
      </c>
      <c r="N577">
        <v>370.41</v>
      </c>
      <c r="O577">
        <v>45</v>
      </c>
      <c r="P577">
        <v>76</v>
      </c>
      <c r="Q577" t="s">
        <v>99</v>
      </c>
      <c r="R577">
        <v>30</v>
      </c>
      <c r="S577" s="19">
        <v>0</v>
      </c>
      <c r="T577">
        <v>0</v>
      </c>
      <c r="U577" s="19">
        <v>0.54166666666666663</v>
      </c>
      <c r="V577" t="s">
        <v>99</v>
      </c>
      <c r="W577">
        <v>7.5</v>
      </c>
      <c r="X577" t="s">
        <v>102</v>
      </c>
      <c r="Y577" t="b">
        <v>0</v>
      </c>
    </row>
    <row r="578" spans="1:25" x14ac:dyDescent="0.55000000000000004">
      <c r="A578" t="s">
        <v>94</v>
      </c>
      <c r="B578" t="s">
        <v>173</v>
      </c>
      <c r="C578" t="s">
        <v>96</v>
      </c>
      <c r="D578" t="s">
        <v>174</v>
      </c>
      <c r="E578" t="s">
        <v>211</v>
      </c>
      <c r="F578" t="s">
        <v>118</v>
      </c>
      <c r="G578">
        <v>22301</v>
      </c>
      <c r="H578" t="s">
        <v>214</v>
      </c>
      <c r="I578">
        <v>1</v>
      </c>
      <c r="J578" t="s">
        <v>103</v>
      </c>
      <c r="K578" s="19">
        <v>0.91666666666666663</v>
      </c>
      <c r="L578" s="19">
        <v>0.25</v>
      </c>
      <c r="M578">
        <v>8</v>
      </c>
      <c r="N578">
        <v>302.82</v>
      </c>
      <c r="O578">
        <v>45</v>
      </c>
      <c r="P578">
        <v>76</v>
      </c>
      <c r="Q578" t="s">
        <v>99</v>
      </c>
      <c r="R578">
        <v>30</v>
      </c>
      <c r="S578" s="19">
        <v>0</v>
      </c>
      <c r="T578">
        <v>0</v>
      </c>
      <c r="U578" s="19">
        <v>0.54166666666666663</v>
      </c>
      <c r="V578" t="s">
        <v>99</v>
      </c>
      <c r="W578">
        <v>7.5</v>
      </c>
      <c r="X578" t="s">
        <v>102</v>
      </c>
      <c r="Y578" t="b">
        <v>0</v>
      </c>
    </row>
    <row r="579" spans="1:25" x14ac:dyDescent="0.55000000000000004">
      <c r="A579" t="s">
        <v>94</v>
      </c>
      <c r="B579" t="s">
        <v>173</v>
      </c>
      <c r="C579" t="s">
        <v>96</v>
      </c>
      <c r="D579" t="s">
        <v>174</v>
      </c>
      <c r="E579" t="s">
        <v>211</v>
      </c>
      <c r="F579" t="s">
        <v>118</v>
      </c>
      <c r="G579">
        <v>22301</v>
      </c>
      <c r="H579" t="s">
        <v>214</v>
      </c>
      <c r="I579">
        <v>2</v>
      </c>
      <c r="J579" t="s">
        <v>107</v>
      </c>
      <c r="K579" s="19">
        <v>0.91666666666666663</v>
      </c>
      <c r="L579" s="19">
        <v>0.25</v>
      </c>
      <c r="M579">
        <v>8</v>
      </c>
      <c r="N579">
        <v>370.41</v>
      </c>
      <c r="O579">
        <v>45</v>
      </c>
      <c r="P579">
        <v>76</v>
      </c>
      <c r="Q579" t="s">
        <v>99</v>
      </c>
      <c r="R579">
        <v>30</v>
      </c>
      <c r="S579" s="19">
        <v>0</v>
      </c>
      <c r="T579">
        <v>0</v>
      </c>
      <c r="U579" s="19">
        <v>0.54166666666666663</v>
      </c>
      <c r="V579" t="s">
        <v>99</v>
      </c>
      <c r="W579">
        <v>7.5</v>
      </c>
      <c r="X579" t="s">
        <v>102</v>
      </c>
      <c r="Y579" t="b">
        <v>0</v>
      </c>
    </row>
    <row r="580" spans="1:25" x14ac:dyDescent="0.55000000000000004">
      <c r="A580" t="s">
        <v>94</v>
      </c>
      <c r="B580" t="s">
        <v>173</v>
      </c>
      <c r="C580" t="s">
        <v>96</v>
      </c>
      <c r="D580" t="s">
        <v>174</v>
      </c>
      <c r="E580" t="s">
        <v>211</v>
      </c>
      <c r="F580" t="s">
        <v>118</v>
      </c>
      <c r="G580">
        <v>22301</v>
      </c>
      <c r="H580" t="s">
        <v>214</v>
      </c>
      <c r="I580">
        <v>2</v>
      </c>
      <c r="J580" t="s">
        <v>103</v>
      </c>
      <c r="K580" s="19">
        <v>0.91666666666666663</v>
      </c>
      <c r="L580" s="19">
        <v>0.25</v>
      </c>
      <c r="M580">
        <v>8</v>
      </c>
      <c r="N580">
        <v>302.82</v>
      </c>
      <c r="O580">
        <v>45</v>
      </c>
      <c r="P580">
        <v>76</v>
      </c>
      <c r="Q580" t="s">
        <v>99</v>
      </c>
      <c r="R580">
        <v>30</v>
      </c>
      <c r="S580" s="19">
        <v>0</v>
      </c>
      <c r="T580">
        <v>0</v>
      </c>
      <c r="U580" s="19">
        <v>0.54166666666666663</v>
      </c>
      <c r="V580" t="s">
        <v>99</v>
      </c>
      <c r="W580">
        <v>7.5</v>
      </c>
      <c r="X580" t="s">
        <v>102</v>
      </c>
      <c r="Y580" t="b">
        <v>0</v>
      </c>
    </row>
    <row r="581" spans="1:25" x14ac:dyDescent="0.55000000000000004">
      <c r="A581" t="s">
        <v>94</v>
      </c>
      <c r="B581" t="s">
        <v>173</v>
      </c>
      <c r="C581" t="s">
        <v>96</v>
      </c>
      <c r="D581" t="s">
        <v>174</v>
      </c>
      <c r="E581" t="s">
        <v>211</v>
      </c>
      <c r="F581" t="s">
        <v>215</v>
      </c>
      <c r="G581">
        <v>19822</v>
      </c>
      <c r="H581" t="s">
        <v>212</v>
      </c>
      <c r="I581">
        <v>1</v>
      </c>
      <c r="J581" t="s">
        <v>107</v>
      </c>
      <c r="K581" s="19">
        <v>0.91666666666666663</v>
      </c>
      <c r="L581" s="19">
        <v>0.25</v>
      </c>
      <c r="M581">
        <v>8</v>
      </c>
      <c r="N581">
        <v>374.74</v>
      </c>
      <c r="O581">
        <v>67.5</v>
      </c>
      <c r="P581">
        <v>76</v>
      </c>
      <c r="Q581" t="s">
        <v>99</v>
      </c>
      <c r="R581">
        <v>30</v>
      </c>
      <c r="S581" s="19">
        <v>0</v>
      </c>
      <c r="T581">
        <v>0</v>
      </c>
      <c r="U581" s="19">
        <v>0.54166666666666663</v>
      </c>
      <c r="V581" t="s">
        <v>99</v>
      </c>
      <c r="W581">
        <v>7.5</v>
      </c>
      <c r="X581" t="s">
        <v>102</v>
      </c>
      <c r="Y581" t="b">
        <v>0</v>
      </c>
    </row>
    <row r="582" spans="1:25" x14ac:dyDescent="0.55000000000000004">
      <c r="A582" t="s">
        <v>94</v>
      </c>
      <c r="B582" t="s">
        <v>173</v>
      </c>
      <c r="C582" t="s">
        <v>96</v>
      </c>
      <c r="D582" t="s">
        <v>174</v>
      </c>
      <c r="E582" t="s">
        <v>211</v>
      </c>
      <c r="F582" t="s">
        <v>215</v>
      </c>
      <c r="G582">
        <v>19822</v>
      </c>
      <c r="H582" t="s">
        <v>212</v>
      </c>
      <c r="I582">
        <v>1</v>
      </c>
      <c r="J582" t="s">
        <v>103</v>
      </c>
      <c r="K582" s="19">
        <v>0.91666666666666663</v>
      </c>
      <c r="L582" s="19">
        <v>0.25</v>
      </c>
      <c r="M582">
        <v>8</v>
      </c>
      <c r="N582">
        <v>306.36</v>
      </c>
      <c r="O582">
        <v>67.5</v>
      </c>
      <c r="P582">
        <v>76</v>
      </c>
      <c r="Q582" t="s">
        <v>99</v>
      </c>
      <c r="R582">
        <v>30</v>
      </c>
      <c r="S582" s="19">
        <v>0</v>
      </c>
      <c r="T582">
        <v>0</v>
      </c>
      <c r="U582" s="19">
        <v>0.54166666666666663</v>
      </c>
      <c r="V582" t="s">
        <v>99</v>
      </c>
      <c r="W582">
        <v>7.5</v>
      </c>
      <c r="X582" t="s">
        <v>102</v>
      </c>
      <c r="Y582" t="b">
        <v>0</v>
      </c>
    </row>
    <row r="583" spans="1:25" x14ac:dyDescent="0.55000000000000004">
      <c r="A583" t="s">
        <v>94</v>
      </c>
      <c r="B583" t="s">
        <v>173</v>
      </c>
      <c r="C583" t="s">
        <v>96</v>
      </c>
      <c r="D583" t="s">
        <v>174</v>
      </c>
      <c r="E583" t="s">
        <v>211</v>
      </c>
      <c r="F583" t="s">
        <v>215</v>
      </c>
      <c r="G583">
        <v>19822</v>
      </c>
      <c r="H583" t="s">
        <v>212</v>
      </c>
      <c r="I583">
        <v>2</v>
      </c>
      <c r="J583" t="s">
        <v>107</v>
      </c>
      <c r="K583" s="19">
        <v>0.91666666666666663</v>
      </c>
      <c r="L583" s="19">
        <v>0.25</v>
      </c>
      <c r="M583">
        <v>8</v>
      </c>
      <c r="N583">
        <v>374.74</v>
      </c>
      <c r="O583">
        <v>67.5</v>
      </c>
      <c r="P583">
        <v>76</v>
      </c>
      <c r="Q583" t="s">
        <v>99</v>
      </c>
      <c r="R583">
        <v>30</v>
      </c>
      <c r="S583" s="19">
        <v>0</v>
      </c>
      <c r="T583">
        <v>0</v>
      </c>
      <c r="U583" s="19">
        <v>0.54166666666666663</v>
      </c>
      <c r="V583" t="s">
        <v>99</v>
      </c>
      <c r="W583">
        <v>7.5</v>
      </c>
      <c r="X583" t="s">
        <v>102</v>
      </c>
      <c r="Y583" t="b">
        <v>0</v>
      </c>
    </row>
    <row r="584" spans="1:25" x14ac:dyDescent="0.55000000000000004">
      <c r="A584" t="s">
        <v>94</v>
      </c>
      <c r="B584" t="s">
        <v>173</v>
      </c>
      <c r="C584" t="s">
        <v>96</v>
      </c>
      <c r="D584" t="s">
        <v>174</v>
      </c>
      <c r="E584" t="s">
        <v>211</v>
      </c>
      <c r="F584" t="s">
        <v>215</v>
      </c>
      <c r="G584">
        <v>22301</v>
      </c>
      <c r="H584" t="s">
        <v>214</v>
      </c>
      <c r="I584">
        <v>2</v>
      </c>
      <c r="J584" t="s">
        <v>115</v>
      </c>
      <c r="K584" s="19">
        <v>0.91666666666666663</v>
      </c>
      <c r="L584" s="19">
        <v>0.25</v>
      </c>
      <c r="M584">
        <v>8</v>
      </c>
      <c r="N584">
        <v>443.26</v>
      </c>
      <c r="O584">
        <v>45</v>
      </c>
      <c r="P584">
        <v>76</v>
      </c>
      <c r="Q584" t="s">
        <v>99</v>
      </c>
      <c r="R584">
        <v>30</v>
      </c>
      <c r="S584" s="19">
        <v>0</v>
      </c>
      <c r="T584">
        <v>0</v>
      </c>
      <c r="U584" s="19">
        <v>0.54166666666666663</v>
      </c>
      <c r="V584" t="s">
        <v>99</v>
      </c>
      <c r="W584">
        <v>7.5</v>
      </c>
      <c r="X584" t="s">
        <v>102</v>
      </c>
      <c r="Y584" t="b">
        <v>0</v>
      </c>
    </row>
    <row r="585" spans="1:25" x14ac:dyDescent="0.55000000000000004">
      <c r="A585" t="s">
        <v>94</v>
      </c>
      <c r="B585" t="s">
        <v>173</v>
      </c>
      <c r="C585" t="s">
        <v>96</v>
      </c>
      <c r="D585" t="s">
        <v>174</v>
      </c>
      <c r="E585" t="s">
        <v>211</v>
      </c>
      <c r="F585" t="s">
        <v>215</v>
      </c>
      <c r="G585">
        <v>22301</v>
      </c>
      <c r="H585" t="s">
        <v>214</v>
      </c>
      <c r="I585">
        <v>2</v>
      </c>
      <c r="J585" t="s">
        <v>116</v>
      </c>
      <c r="K585" s="19">
        <v>0.91666666666666663</v>
      </c>
      <c r="L585" s="19">
        <v>0.25</v>
      </c>
      <c r="M585">
        <v>8</v>
      </c>
      <c r="N585">
        <v>344.96</v>
      </c>
      <c r="O585">
        <v>45</v>
      </c>
      <c r="P585">
        <v>76</v>
      </c>
      <c r="Q585" t="s">
        <v>99</v>
      </c>
      <c r="R585">
        <v>30</v>
      </c>
      <c r="S585" s="19">
        <v>0</v>
      </c>
      <c r="T585">
        <v>0</v>
      </c>
      <c r="U585" s="19">
        <v>0.54166666666666663</v>
      </c>
      <c r="V585" t="s">
        <v>99</v>
      </c>
      <c r="W585">
        <v>7.5</v>
      </c>
      <c r="X585" t="s">
        <v>102</v>
      </c>
      <c r="Y585" t="b">
        <v>0</v>
      </c>
    </row>
    <row r="586" spans="1:25" x14ac:dyDescent="0.55000000000000004">
      <c r="A586" t="s">
        <v>94</v>
      </c>
      <c r="B586" t="s">
        <v>173</v>
      </c>
      <c r="C586" t="s">
        <v>96</v>
      </c>
      <c r="D586" t="s">
        <v>174</v>
      </c>
      <c r="E586" t="s">
        <v>211</v>
      </c>
      <c r="F586" t="s">
        <v>215</v>
      </c>
      <c r="G586">
        <v>23522</v>
      </c>
      <c r="H586" t="s">
        <v>216</v>
      </c>
      <c r="I586">
        <v>1</v>
      </c>
      <c r="J586" t="s">
        <v>101</v>
      </c>
      <c r="K586" s="19">
        <v>0.91666666666666663</v>
      </c>
      <c r="L586" s="19">
        <v>0.25</v>
      </c>
      <c r="M586">
        <v>8</v>
      </c>
      <c r="N586">
        <v>302.82</v>
      </c>
      <c r="O586">
        <v>60</v>
      </c>
      <c r="P586">
        <v>76</v>
      </c>
      <c r="Q586" t="s">
        <v>99</v>
      </c>
      <c r="R586">
        <v>30</v>
      </c>
      <c r="S586" s="19">
        <v>0.125</v>
      </c>
      <c r="T586">
        <v>0</v>
      </c>
      <c r="U586" s="19">
        <v>0.54166666666666663</v>
      </c>
      <c r="V586" t="s">
        <v>99</v>
      </c>
      <c r="W586">
        <v>7.5</v>
      </c>
      <c r="X586" t="s">
        <v>102</v>
      </c>
      <c r="Y586" t="b">
        <v>0</v>
      </c>
    </row>
    <row r="587" spans="1:25" x14ac:dyDescent="0.55000000000000004">
      <c r="A587" t="s">
        <v>94</v>
      </c>
      <c r="B587" t="s">
        <v>173</v>
      </c>
      <c r="C587" t="s">
        <v>96</v>
      </c>
      <c r="D587" t="s">
        <v>174</v>
      </c>
      <c r="E587" t="s">
        <v>211</v>
      </c>
      <c r="F587" t="s">
        <v>215</v>
      </c>
      <c r="G587">
        <v>23522</v>
      </c>
      <c r="H587" t="s">
        <v>216</v>
      </c>
      <c r="I587">
        <v>1</v>
      </c>
      <c r="J587" t="s">
        <v>115</v>
      </c>
      <c r="K587" s="19">
        <v>0.91666666666666663</v>
      </c>
      <c r="L587" s="19">
        <v>0.25</v>
      </c>
      <c r="M587">
        <v>8</v>
      </c>
      <c r="N587">
        <v>443.26</v>
      </c>
      <c r="O587">
        <v>60</v>
      </c>
      <c r="P587">
        <v>76</v>
      </c>
      <c r="Q587" t="s">
        <v>99</v>
      </c>
      <c r="R587">
        <v>30</v>
      </c>
      <c r="S587" s="19">
        <v>0.125</v>
      </c>
      <c r="T587">
        <v>0</v>
      </c>
      <c r="U587" s="19">
        <v>0.54166666666666663</v>
      </c>
      <c r="V587" t="s">
        <v>99</v>
      </c>
      <c r="W587">
        <v>7.5</v>
      </c>
      <c r="X587" t="s">
        <v>102</v>
      </c>
      <c r="Y587" t="b">
        <v>0</v>
      </c>
    </row>
    <row r="588" spans="1:25" x14ac:dyDescent="0.55000000000000004">
      <c r="A588" t="s">
        <v>94</v>
      </c>
      <c r="B588" t="s">
        <v>173</v>
      </c>
      <c r="C588" t="s">
        <v>96</v>
      </c>
      <c r="D588" t="s">
        <v>174</v>
      </c>
      <c r="E588" t="s">
        <v>211</v>
      </c>
      <c r="F588" t="s">
        <v>215</v>
      </c>
      <c r="G588">
        <v>23522</v>
      </c>
      <c r="H588" t="s">
        <v>216</v>
      </c>
      <c r="I588">
        <v>1</v>
      </c>
      <c r="J588" t="s">
        <v>116</v>
      </c>
      <c r="K588" s="19">
        <v>0.91666666666666663</v>
      </c>
      <c r="L588" s="19">
        <v>0.25</v>
      </c>
      <c r="M588">
        <v>8</v>
      </c>
      <c r="N588">
        <v>344.96</v>
      </c>
      <c r="O588">
        <v>60</v>
      </c>
      <c r="P588">
        <v>76</v>
      </c>
      <c r="Q588" t="s">
        <v>99</v>
      </c>
      <c r="R588">
        <v>30</v>
      </c>
      <c r="S588" s="19">
        <v>0.125</v>
      </c>
      <c r="T588">
        <v>0</v>
      </c>
      <c r="U588" s="19">
        <v>0.54166666666666663</v>
      </c>
      <c r="V588" t="s">
        <v>99</v>
      </c>
      <c r="W588">
        <v>7.5</v>
      </c>
      <c r="X588" t="s">
        <v>102</v>
      </c>
      <c r="Y588" t="b">
        <v>0</v>
      </c>
    </row>
    <row r="589" spans="1:25" x14ac:dyDescent="0.55000000000000004">
      <c r="A589" t="s">
        <v>94</v>
      </c>
      <c r="B589" t="s">
        <v>173</v>
      </c>
      <c r="C589" t="s">
        <v>96</v>
      </c>
      <c r="D589" t="s">
        <v>174</v>
      </c>
      <c r="E589" t="s">
        <v>211</v>
      </c>
      <c r="F589" t="s">
        <v>215</v>
      </c>
      <c r="G589">
        <v>23522</v>
      </c>
      <c r="H589" t="s">
        <v>216</v>
      </c>
      <c r="I589">
        <v>1</v>
      </c>
      <c r="J589" t="s">
        <v>104</v>
      </c>
      <c r="K589" s="19">
        <v>0.91666666666666663</v>
      </c>
      <c r="L589" s="19">
        <v>0.25</v>
      </c>
      <c r="M589">
        <v>8</v>
      </c>
      <c r="N589">
        <v>302.82</v>
      </c>
      <c r="O589">
        <v>60</v>
      </c>
      <c r="P589">
        <v>76</v>
      </c>
      <c r="Q589" t="s">
        <v>99</v>
      </c>
      <c r="R589">
        <v>30</v>
      </c>
      <c r="S589" s="19">
        <v>0.125</v>
      </c>
      <c r="T589">
        <v>0</v>
      </c>
      <c r="U589" s="19">
        <v>0.54166666666666663</v>
      </c>
      <c r="V589" t="s">
        <v>99</v>
      </c>
      <c r="W589">
        <v>7.5</v>
      </c>
      <c r="X589" t="s">
        <v>102</v>
      </c>
      <c r="Y589" t="b">
        <v>0</v>
      </c>
    </row>
    <row r="590" spans="1:25" x14ac:dyDescent="0.55000000000000004">
      <c r="A590" t="s">
        <v>94</v>
      </c>
      <c r="B590" t="s">
        <v>173</v>
      </c>
      <c r="C590" t="s">
        <v>96</v>
      </c>
      <c r="D590" t="s">
        <v>174</v>
      </c>
      <c r="E590" t="s">
        <v>211</v>
      </c>
      <c r="F590" t="s">
        <v>215</v>
      </c>
      <c r="G590">
        <v>23522</v>
      </c>
      <c r="H590" t="s">
        <v>216</v>
      </c>
      <c r="I590">
        <v>1</v>
      </c>
      <c r="J590" t="s">
        <v>105</v>
      </c>
      <c r="K590" s="19">
        <v>0.91666666666666663</v>
      </c>
      <c r="L590" s="19">
        <v>0.25</v>
      </c>
      <c r="M590">
        <v>8</v>
      </c>
      <c r="N590">
        <v>302.82</v>
      </c>
      <c r="O590">
        <v>60</v>
      </c>
      <c r="P590">
        <v>76</v>
      </c>
      <c r="Q590" t="s">
        <v>99</v>
      </c>
      <c r="R590">
        <v>30</v>
      </c>
      <c r="S590" s="19">
        <v>0.125</v>
      </c>
      <c r="T590">
        <v>0</v>
      </c>
      <c r="U590" s="19">
        <v>0.54166666666666663</v>
      </c>
      <c r="V590" t="s">
        <v>99</v>
      </c>
      <c r="W590">
        <v>7.5</v>
      </c>
      <c r="X590" t="s">
        <v>102</v>
      </c>
      <c r="Y590" t="b">
        <v>0</v>
      </c>
    </row>
    <row r="591" spans="1:25" x14ac:dyDescent="0.55000000000000004">
      <c r="A591" t="s">
        <v>94</v>
      </c>
      <c r="B591" t="s">
        <v>173</v>
      </c>
      <c r="C591" t="s">
        <v>96</v>
      </c>
      <c r="D591" t="s">
        <v>174</v>
      </c>
      <c r="E591" t="s">
        <v>211</v>
      </c>
      <c r="F591" t="s">
        <v>215</v>
      </c>
      <c r="G591">
        <v>23522</v>
      </c>
      <c r="H591" t="s">
        <v>216</v>
      </c>
      <c r="I591">
        <v>2</v>
      </c>
      <c r="J591" t="s">
        <v>101</v>
      </c>
      <c r="K591" s="19">
        <v>0.91666666666666663</v>
      </c>
      <c r="L591" s="19">
        <v>0.25</v>
      </c>
      <c r="M591">
        <v>8</v>
      </c>
      <c r="N591">
        <v>302.82</v>
      </c>
      <c r="O591">
        <v>60</v>
      </c>
      <c r="P591">
        <v>76</v>
      </c>
      <c r="Q591" t="s">
        <v>99</v>
      </c>
      <c r="R591">
        <v>30</v>
      </c>
      <c r="S591" s="19">
        <v>0.125</v>
      </c>
      <c r="T591">
        <v>0</v>
      </c>
      <c r="U591" s="19">
        <v>0.54166666666666663</v>
      </c>
      <c r="V591" t="s">
        <v>99</v>
      </c>
      <c r="W591">
        <v>7.5</v>
      </c>
      <c r="X591" t="s">
        <v>102</v>
      </c>
      <c r="Y591" t="b">
        <v>0</v>
      </c>
    </row>
    <row r="592" spans="1:25" x14ac:dyDescent="0.55000000000000004">
      <c r="A592" t="s">
        <v>94</v>
      </c>
      <c r="B592" t="s">
        <v>173</v>
      </c>
      <c r="C592" t="s">
        <v>96</v>
      </c>
      <c r="D592" t="s">
        <v>174</v>
      </c>
      <c r="E592" t="s">
        <v>211</v>
      </c>
      <c r="F592" t="s">
        <v>215</v>
      </c>
      <c r="G592">
        <v>23522</v>
      </c>
      <c r="H592" t="s">
        <v>216</v>
      </c>
      <c r="I592">
        <v>2</v>
      </c>
      <c r="J592" t="s">
        <v>104</v>
      </c>
      <c r="K592" s="19">
        <v>0.91666666666666663</v>
      </c>
      <c r="L592" s="19">
        <v>0.25</v>
      </c>
      <c r="M592">
        <v>8</v>
      </c>
      <c r="N592">
        <v>302.82</v>
      </c>
      <c r="O592">
        <v>60</v>
      </c>
      <c r="P592">
        <v>76</v>
      </c>
      <c r="Q592" t="s">
        <v>99</v>
      </c>
      <c r="R592">
        <v>30</v>
      </c>
      <c r="S592" s="19">
        <v>0.125</v>
      </c>
      <c r="T592">
        <v>0</v>
      </c>
      <c r="U592" s="19">
        <v>0.54166666666666663</v>
      </c>
      <c r="V592" t="s">
        <v>99</v>
      </c>
      <c r="W592">
        <v>7.5</v>
      </c>
      <c r="X592" t="s">
        <v>102</v>
      </c>
      <c r="Y592" t="b">
        <v>0</v>
      </c>
    </row>
    <row r="593" spans="1:25" x14ac:dyDescent="0.55000000000000004">
      <c r="A593" t="s">
        <v>94</v>
      </c>
      <c r="B593" t="s">
        <v>173</v>
      </c>
      <c r="C593" t="s">
        <v>96</v>
      </c>
      <c r="D593" t="s">
        <v>174</v>
      </c>
      <c r="E593" t="s">
        <v>211</v>
      </c>
      <c r="F593" t="s">
        <v>215</v>
      </c>
      <c r="G593">
        <v>24627</v>
      </c>
      <c r="H593" t="s">
        <v>217</v>
      </c>
      <c r="I593">
        <v>2</v>
      </c>
      <c r="J593" t="s">
        <v>103</v>
      </c>
      <c r="K593" s="19">
        <v>0.91666666666666663</v>
      </c>
      <c r="L593" s="19">
        <v>0.25</v>
      </c>
      <c r="M593">
        <v>8</v>
      </c>
      <c r="N593">
        <v>0</v>
      </c>
      <c r="O593">
        <v>60</v>
      </c>
      <c r="P593">
        <v>76</v>
      </c>
      <c r="Q593" t="s">
        <v>99</v>
      </c>
      <c r="R593">
        <v>30</v>
      </c>
      <c r="S593" s="19">
        <v>0</v>
      </c>
      <c r="T593">
        <v>0</v>
      </c>
      <c r="U593" s="19">
        <v>0</v>
      </c>
      <c r="V593" t="s">
        <v>99</v>
      </c>
      <c r="W593">
        <v>7.5</v>
      </c>
      <c r="X593" t="s">
        <v>102</v>
      </c>
      <c r="Y593" t="b">
        <v>0</v>
      </c>
    </row>
    <row r="594" spans="1:25" x14ac:dyDescent="0.55000000000000004">
      <c r="A594" t="s">
        <v>94</v>
      </c>
      <c r="B594" t="s">
        <v>173</v>
      </c>
      <c r="C594" t="s">
        <v>96</v>
      </c>
      <c r="D594" t="s">
        <v>174</v>
      </c>
      <c r="E594" t="s">
        <v>211</v>
      </c>
      <c r="F594" t="s">
        <v>215</v>
      </c>
      <c r="G594">
        <v>26407</v>
      </c>
      <c r="H594" t="s">
        <v>193</v>
      </c>
      <c r="I594">
        <v>2</v>
      </c>
      <c r="J594" t="s">
        <v>105</v>
      </c>
      <c r="K594" s="19">
        <v>0.91666666666666663</v>
      </c>
      <c r="L594" s="19">
        <v>0.25</v>
      </c>
      <c r="M594">
        <v>8</v>
      </c>
      <c r="N594">
        <v>368.65</v>
      </c>
      <c r="O594">
        <v>45</v>
      </c>
      <c r="P594">
        <v>76</v>
      </c>
      <c r="Q594" t="s">
        <v>99</v>
      </c>
      <c r="R594">
        <v>30</v>
      </c>
      <c r="S594" s="19">
        <v>0.125</v>
      </c>
      <c r="T594">
        <v>0</v>
      </c>
      <c r="U594" s="19">
        <v>0.54166666666666663</v>
      </c>
      <c r="V594" t="s">
        <v>99</v>
      </c>
      <c r="W594">
        <v>7.5</v>
      </c>
      <c r="X594" t="s">
        <v>102</v>
      </c>
      <c r="Y594" t="b">
        <v>0</v>
      </c>
    </row>
    <row r="595" spans="1:25" x14ac:dyDescent="0.55000000000000004">
      <c r="A595" t="s">
        <v>94</v>
      </c>
      <c r="B595" t="s">
        <v>173</v>
      </c>
      <c r="C595" t="s">
        <v>96</v>
      </c>
      <c r="D595" t="s">
        <v>174</v>
      </c>
      <c r="E595" t="s">
        <v>211</v>
      </c>
      <c r="F595" t="s">
        <v>135</v>
      </c>
      <c r="G595">
        <v>19161</v>
      </c>
      <c r="H595" t="s">
        <v>218</v>
      </c>
      <c r="I595">
        <v>1</v>
      </c>
      <c r="J595" t="s">
        <v>116</v>
      </c>
      <c r="K595" s="19">
        <v>0.91666666666666663</v>
      </c>
      <c r="L595" s="19">
        <v>0.25</v>
      </c>
      <c r="M595">
        <v>8</v>
      </c>
      <c r="N595">
        <v>0</v>
      </c>
      <c r="O595">
        <v>67.5</v>
      </c>
      <c r="P595">
        <v>76</v>
      </c>
      <c r="Q595" t="s">
        <v>99</v>
      </c>
      <c r="R595">
        <v>30</v>
      </c>
      <c r="S595" s="19">
        <v>0</v>
      </c>
      <c r="T595">
        <v>0</v>
      </c>
      <c r="U595" s="19">
        <v>0.54166666666666663</v>
      </c>
      <c r="V595" t="s">
        <v>99</v>
      </c>
      <c r="W595">
        <v>7.5</v>
      </c>
      <c r="X595" t="s">
        <v>102</v>
      </c>
      <c r="Y595" t="b">
        <v>0</v>
      </c>
    </row>
    <row r="596" spans="1:25" x14ac:dyDescent="0.55000000000000004">
      <c r="A596" t="s">
        <v>94</v>
      </c>
      <c r="B596" t="s">
        <v>173</v>
      </c>
      <c r="C596" t="s">
        <v>96</v>
      </c>
      <c r="D596" t="s">
        <v>174</v>
      </c>
      <c r="E596" t="s">
        <v>211</v>
      </c>
      <c r="F596" t="s">
        <v>135</v>
      </c>
      <c r="G596">
        <v>19442</v>
      </c>
      <c r="H596" t="s">
        <v>219</v>
      </c>
      <c r="I596">
        <v>1</v>
      </c>
      <c r="J596" t="s">
        <v>107</v>
      </c>
      <c r="K596" s="19">
        <v>0.91666666666666663</v>
      </c>
      <c r="L596" s="19">
        <v>0.25</v>
      </c>
      <c r="M596">
        <v>8</v>
      </c>
      <c r="N596">
        <v>370.41</v>
      </c>
      <c r="O596">
        <v>67.5</v>
      </c>
      <c r="P596">
        <v>76</v>
      </c>
      <c r="Q596" t="s">
        <v>99</v>
      </c>
      <c r="R596">
        <v>30</v>
      </c>
      <c r="S596" s="19">
        <v>0.125</v>
      </c>
      <c r="T596">
        <v>0</v>
      </c>
      <c r="U596" s="19">
        <v>0.54166666666666663</v>
      </c>
      <c r="V596" t="s">
        <v>99</v>
      </c>
      <c r="W596">
        <v>7.5</v>
      </c>
      <c r="X596" t="s">
        <v>102</v>
      </c>
      <c r="Y596" t="b">
        <v>0</v>
      </c>
    </row>
    <row r="597" spans="1:25" x14ac:dyDescent="0.55000000000000004">
      <c r="A597" t="s">
        <v>94</v>
      </c>
      <c r="B597" t="s">
        <v>173</v>
      </c>
      <c r="C597" t="s">
        <v>96</v>
      </c>
      <c r="D597" t="s">
        <v>174</v>
      </c>
      <c r="E597" t="s">
        <v>211</v>
      </c>
      <c r="F597" t="s">
        <v>135</v>
      </c>
      <c r="G597">
        <v>19442</v>
      </c>
      <c r="H597" t="s">
        <v>219</v>
      </c>
      <c r="I597">
        <v>2</v>
      </c>
      <c r="J597" t="s">
        <v>107</v>
      </c>
      <c r="K597" s="19">
        <v>0.91666666666666663</v>
      </c>
      <c r="L597" s="19">
        <v>0.25</v>
      </c>
      <c r="M597">
        <v>8</v>
      </c>
      <c r="N597">
        <v>370.41</v>
      </c>
      <c r="O597">
        <v>67.5</v>
      </c>
      <c r="P597">
        <v>76</v>
      </c>
      <c r="Q597" t="s">
        <v>99</v>
      </c>
      <c r="R597">
        <v>30</v>
      </c>
      <c r="S597" s="19">
        <v>0.125</v>
      </c>
      <c r="T597">
        <v>0</v>
      </c>
      <c r="U597" s="19">
        <v>0.54166666666666663</v>
      </c>
      <c r="V597" t="s">
        <v>99</v>
      </c>
      <c r="W597">
        <v>7.5</v>
      </c>
      <c r="X597" t="s">
        <v>102</v>
      </c>
      <c r="Y597" t="b">
        <v>0</v>
      </c>
    </row>
    <row r="598" spans="1:25" x14ac:dyDescent="0.55000000000000004">
      <c r="A598" t="s">
        <v>94</v>
      </c>
      <c r="B598" t="s">
        <v>173</v>
      </c>
      <c r="C598" t="s">
        <v>96</v>
      </c>
      <c r="D598" t="s">
        <v>174</v>
      </c>
      <c r="E598" t="s">
        <v>211</v>
      </c>
      <c r="F598" t="s">
        <v>135</v>
      </c>
      <c r="G598">
        <v>19442</v>
      </c>
      <c r="H598" t="s">
        <v>219</v>
      </c>
      <c r="I598">
        <v>2</v>
      </c>
      <c r="J598" t="s">
        <v>103</v>
      </c>
      <c r="K598" s="19">
        <v>0.91666666666666663</v>
      </c>
      <c r="L598" s="19">
        <v>0.25</v>
      </c>
      <c r="M598">
        <v>8</v>
      </c>
      <c r="N598">
        <v>302.82</v>
      </c>
      <c r="O598">
        <v>67.5</v>
      </c>
      <c r="P598">
        <v>76</v>
      </c>
      <c r="Q598" t="s">
        <v>99</v>
      </c>
      <c r="R598">
        <v>30</v>
      </c>
      <c r="S598" s="19">
        <v>0.125</v>
      </c>
      <c r="T598">
        <v>0</v>
      </c>
      <c r="U598" s="19">
        <v>0.54166666666666663</v>
      </c>
      <c r="V598" t="s">
        <v>99</v>
      </c>
      <c r="W598">
        <v>7.5</v>
      </c>
      <c r="X598" t="s">
        <v>102</v>
      </c>
      <c r="Y598" t="b">
        <v>0</v>
      </c>
    </row>
    <row r="599" spans="1:25" x14ac:dyDescent="0.55000000000000004">
      <c r="A599" t="s">
        <v>94</v>
      </c>
      <c r="B599" t="s">
        <v>173</v>
      </c>
      <c r="C599" t="s">
        <v>96</v>
      </c>
      <c r="D599" t="s">
        <v>174</v>
      </c>
      <c r="E599" t="s">
        <v>211</v>
      </c>
      <c r="F599" t="s">
        <v>135</v>
      </c>
      <c r="G599">
        <v>22263</v>
      </c>
      <c r="H599" t="s">
        <v>213</v>
      </c>
      <c r="I599">
        <v>2</v>
      </c>
      <c r="J599" t="s">
        <v>115</v>
      </c>
      <c r="K599" s="19">
        <v>0.91666666666666663</v>
      </c>
      <c r="L599" s="19">
        <v>0.25</v>
      </c>
      <c r="M599">
        <v>8</v>
      </c>
      <c r="N599">
        <v>443.26</v>
      </c>
      <c r="O599">
        <v>52.5</v>
      </c>
      <c r="P599">
        <v>76</v>
      </c>
      <c r="Q599" t="s">
        <v>99</v>
      </c>
      <c r="R599">
        <v>30</v>
      </c>
      <c r="S599" s="19">
        <v>0</v>
      </c>
      <c r="T599">
        <v>0</v>
      </c>
      <c r="U599" s="19">
        <v>0.54166666666666663</v>
      </c>
      <c r="V599" t="s">
        <v>99</v>
      </c>
      <c r="W599">
        <v>7.5</v>
      </c>
      <c r="X599" t="s">
        <v>102</v>
      </c>
      <c r="Y599" t="b">
        <v>0</v>
      </c>
    </row>
    <row r="600" spans="1:25" x14ac:dyDescent="0.55000000000000004">
      <c r="A600" t="s">
        <v>94</v>
      </c>
      <c r="B600" t="s">
        <v>173</v>
      </c>
      <c r="C600" t="s">
        <v>96</v>
      </c>
      <c r="D600" t="s">
        <v>174</v>
      </c>
      <c r="E600" t="s">
        <v>211</v>
      </c>
      <c r="F600" t="s">
        <v>135</v>
      </c>
      <c r="G600">
        <v>22263</v>
      </c>
      <c r="H600" t="s">
        <v>213</v>
      </c>
      <c r="I600">
        <v>2</v>
      </c>
      <c r="J600" t="s">
        <v>116</v>
      </c>
      <c r="K600" s="19">
        <v>0.91666666666666663</v>
      </c>
      <c r="L600" s="19">
        <v>0.25</v>
      </c>
      <c r="M600">
        <v>8</v>
      </c>
      <c r="N600">
        <v>344.96</v>
      </c>
      <c r="O600">
        <v>52.5</v>
      </c>
      <c r="P600">
        <v>76</v>
      </c>
      <c r="Q600" t="s">
        <v>99</v>
      </c>
      <c r="R600">
        <v>30</v>
      </c>
      <c r="S600" s="19">
        <v>0</v>
      </c>
      <c r="T600">
        <v>0</v>
      </c>
      <c r="U600" s="19">
        <v>0.54166666666666663</v>
      </c>
      <c r="V600" t="s">
        <v>99</v>
      </c>
      <c r="W600">
        <v>7.5</v>
      </c>
      <c r="X600" t="s">
        <v>102</v>
      </c>
      <c r="Y600" t="b">
        <v>0</v>
      </c>
    </row>
    <row r="601" spans="1:25" x14ac:dyDescent="0.55000000000000004">
      <c r="A601" t="s">
        <v>94</v>
      </c>
      <c r="B601" t="s">
        <v>173</v>
      </c>
      <c r="C601" t="s">
        <v>96</v>
      </c>
      <c r="D601" t="s">
        <v>174</v>
      </c>
      <c r="E601" t="s">
        <v>211</v>
      </c>
      <c r="F601" t="s">
        <v>135</v>
      </c>
      <c r="G601">
        <v>23282</v>
      </c>
      <c r="H601" t="s">
        <v>220</v>
      </c>
      <c r="I601">
        <v>1</v>
      </c>
      <c r="J601" t="s">
        <v>115</v>
      </c>
      <c r="K601" s="19">
        <v>0.91666666666666663</v>
      </c>
      <c r="L601" s="19">
        <v>0.25</v>
      </c>
      <c r="M601">
        <v>8</v>
      </c>
      <c r="N601">
        <v>443.26</v>
      </c>
      <c r="O601">
        <v>37.5</v>
      </c>
      <c r="P601">
        <v>76</v>
      </c>
      <c r="Q601" t="s">
        <v>99</v>
      </c>
      <c r="R601">
        <v>30</v>
      </c>
      <c r="S601" s="19">
        <v>0</v>
      </c>
      <c r="T601">
        <v>0</v>
      </c>
      <c r="U601" s="19">
        <v>0.54166666666666663</v>
      </c>
      <c r="V601" t="s">
        <v>99</v>
      </c>
      <c r="W601">
        <v>7.5</v>
      </c>
      <c r="X601" t="s">
        <v>102</v>
      </c>
      <c r="Y601" t="b">
        <v>0</v>
      </c>
    </row>
    <row r="602" spans="1:25" x14ac:dyDescent="0.55000000000000004">
      <c r="A602" t="s">
        <v>94</v>
      </c>
      <c r="B602" t="s">
        <v>173</v>
      </c>
      <c r="C602" t="s">
        <v>96</v>
      </c>
      <c r="D602" t="s">
        <v>174</v>
      </c>
      <c r="E602" t="s">
        <v>211</v>
      </c>
      <c r="F602" t="s">
        <v>135</v>
      </c>
      <c r="G602">
        <v>24627</v>
      </c>
      <c r="H602" t="s">
        <v>217</v>
      </c>
      <c r="I602">
        <v>1</v>
      </c>
      <c r="J602" t="s">
        <v>101</v>
      </c>
      <c r="K602" s="19">
        <v>0.91666666666666663</v>
      </c>
      <c r="L602" s="19">
        <v>0.25</v>
      </c>
      <c r="M602">
        <v>8</v>
      </c>
      <c r="N602">
        <v>0</v>
      </c>
      <c r="O602">
        <v>60</v>
      </c>
      <c r="P602">
        <v>76</v>
      </c>
      <c r="Q602" t="s">
        <v>99</v>
      </c>
      <c r="R602">
        <v>30</v>
      </c>
      <c r="S602" s="19">
        <v>0.125</v>
      </c>
      <c r="T602">
        <v>0</v>
      </c>
      <c r="U602" s="19">
        <v>0.54166666666666663</v>
      </c>
      <c r="V602" t="s">
        <v>99</v>
      </c>
      <c r="W602">
        <v>7.5</v>
      </c>
      <c r="X602" t="s">
        <v>102</v>
      </c>
      <c r="Y602" t="b">
        <v>0</v>
      </c>
    </row>
    <row r="603" spans="1:25" x14ac:dyDescent="0.55000000000000004">
      <c r="A603" t="s">
        <v>94</v>
      </c>
      <c r="B603" t="s">
        <v>173</v>
      </c>
      <c r="C603" t="s">
        <v>96</v>
      </c>
      <c r="D603" t="s">
        <v>174</v>
      </c>
      <c r="E603" t="s">
        <v>211</v>
      </c>
      <c r="F603" t="s">
        <v>135</v>
      </c>
      <c r="G603">
        <v>24627</v>
      </c>
      <c r="H603" t="s">
        <v>217</v>
      </c>
      <c r="I603">
        <v>1</v>
      </c>
      <c r="J603" t="s">
        <v>103</v>
      </c>
      <c r="K603" s="19">
        <v>0.91666666666666663</v>
      </c>
      <c r="L603" s="19">
        <v>0.25</v>
      </c>
      <c r="M603">
        <v>8</v>
      </c>
      <c r="N603">
        <v>0</v>
      </c>
      <c r="O603">
        <v>60</v>
      </c>
      <c r="P603">
        <v>76</v>
      </c>
      <c r="Q603" t="s">
        <v>99</v>
      </c>
      <c r="R603">
        <v>30</v>
      </c>
      <c r="S603" s="19">
        <v>0.125</v>
      </c>
      <c r="T603">
        <v>0</v>
      </c>
      <c r="U603" s="19">
        <v>0.54166666666666663</v>
      </c>
      <c r="V603" t="s">
        <v>99</v>
      </c>
      <c r="W603">
        <v>7.5</v>
      </c>
      <c r="X603" t="s">
        <v>102</v>
      </c>
      <c r="Y603" t="b">
        <v>0</v>
      </c>
    </row>
    <row r="604" spans="1:25" x14ac:dyDescent="0.55000000000000004">
      <c r="A604" t="s">
        <v>94</v>
      </c>
      <c r="B604" t="s">
        <v>173</v>
      </c>
      <c r="C604" t="s">
        <v>96</v>
      </c>
      <c r="D604" t="s">
        <v>174</v>
      </c>
      <c r="E604" t="s">
        <v>211</v>
      </c>
      <c r="F604" t="s">
        <v>135</v>
      </c>
      <c r="G604">
        <v>24627</v>
      </c>
      <c r="H604" t="s">
        <v>217</v>
      </c>
      <c r="I604">
        <v>1</v>
      </c>
      <c r="J604" t="s">
        <v>104</v>
      </c>
      <c r="K604" s="19">
        <v>0.91666666666666663</v>
      </c>
      <c r="L604" s="19">
        <v>0.25</v>
      </c>
      <c r="M604">
        <v>8</v>
      </c>
      <c r="N604">
        <v>0</v>
      </c>
      <c r="O604">
        <v>60</v>
      </c>
      <c r="P604">
        <v>76</v>
      </c>
      <c r="Q604" t="s">
        <v>99</v>
      </c>
      <c r="R604">
        <v>30</v>
      </c>
      <c r="S604" s="19">
        <v>0.125</v>
      </c>
      <c r="T604">
        <v>0</v>
      </c>
      <c r="U604" s="19">
        <v>0.54166666666666663</v>
      </c>
      <c r="V604" t="s">
        <v>99</v>
      </c>
      <c r="W604">
        <v>7.5</v>
      </c>
      <c r="X604" t="s">
        <v>102</v>
      </c>
      <c r="Y604" t="b">
        <v>0</v>
      </c>
    </row>
    <row r="605" spans="1:25" x14ac:dyDescent="0.55000000000000004">
      <c r="A605" t="s">
        <v>94</v>
      </c>
      <c r="B605" t="s">
        <v>173</v>
      </c>
      <c r="C605" t="s">
        <v>96</v>
      </c>
      <c r="D605" t="s">
        <v>174</v>
      </c>
      <c r="E605" t="s">
        <v>211</v>
      </c>
      <c r="F605" t="s">
        <v>135</v>
      </c>
      <c r="G605">
        <v>24627</v>
      </c>
      <c r="H605" t="s">
        <v>217</v>
      </c>
      <c r="I605">
        <v>1</v>
      </c>
      <c r="J605" t="s">
        <v>105</v>
      </c>
      <c r="K605" s="19">
        <v>0.91666666666666663</v>
      </c>
      <c r="L605" s="19">
        <v>0.25</v>
      </c>
      <c r="M605">
        <v>8</v>
      </c>
      <c r="N605">
        <v>0</v>
      </c>
      <c r="O605">
        <v>60</v>
      </c>
      <c r="P605">
        <v>76</v>
      </c>
      <c r="Q605" t="s">
        <v>99</v>
      </c>
      <c r="R605">
        <v>30</v>
      </c>
      <c r="S605" s="19">
        <v>0.125</v>
      </c>
      <c r="T605">
        <v>0</v>
      </c>
      <c r="U605" s="19">
        <v>0.54166666666666663</v>
      </c>
      <c r="V605" t="s">
        <v>99</v>
      </c>
      <c r="W605">
        <v>7.5</v>
      </c>
      <c r="X605" t="s">
        <v>102</v>
      </c>
      <c r="Y605" t="b">
        <v>0</v>
      </c>
    </row>
    <row r="606" spans="1:25" x14ac:dyDescent="0.55000000000000004">
      <c r="A606" t="s">
        <v>94</v>
      </c>
      <c r="B606" t="s">
        <v>173</v>
      </c>
      <c r="C606" t="s">
        <v>96</v>
      </c>
      <c r="D606" t="s">
        <v>174</v>
      </c>
      <c r="E606" t="s">
        <v>211</v>
      </c>
      <c r="F606" t="s">
        <v>135</v>
      </c>
      <c r="G606">
        <v>24627</v>
      </c>
      <c r="H606" t="s">
        <v>217</v>
      </c>
      <c r="I606">
        <v>2</v>
      </c>
      <c r="J606" t="s">
        <v>101</v>
      </c>
      <c r="K606" s="19">
        <v>0.91666666666666663</v>
      </c>
      <c r="L606" s="19">
        <v>0.25</v>
      </c>
      <c r="M606">
        <v>8</v>
      </c>
      <c r="N606">
        <v>0</v>
      </c>
      <c r="O606">
        <v>60</v>
      </c>
      <c r="P606">
        <v>76</v>
      </c>
      <c r="Q606" t="s">
        <v>99</v>
      </c>
      <c r="R606">
        <v>30</v>
      </c>
      <c r="S606" s="19">
        <v>0.125</v>
      </c>
      <c r="T606">
        <v>0</v>
      </c>
      <c r="U606" s="19">
        <v>0.54166666666666663</v>
      </c>
      <c r="V606" t="s">
        <v>99</v>
      </c>
      <c r="W606">
        <v>7.5</v>
      </c>
      <c r="X606" t="s">
        <v>102</v>
      </c>
      <c r="Y606" t="b">
        <v>0</v>
      </c>
    </row>
    <row r="607" spans="1:25" x14ac:dyDescent="0.55000000000000004">
      <c r="A607" t="s">
        <v>94</v>
      </c>
      <c r="B607" t="s">
        <v>173</v>
      </c>
      <c r="C607" t="s">
        <v>96</v>
      </c>
      <c r="D607" t="s">
        <v>174</v>
      </c>
      <c r="E607" t="s">
        <v>211</v>
      </c>
      <c r="F607" t="s">
        <v>135</v>
      </c>
      <c r="G607">
        <v>24627</v>
      </c>
      <c r="H607" t="s">
        <v>217</v>
      </c>
      <c r="I607">
        <v>2</v>
      </c>
      <c r="J607" t="s">
        <v>104</v>
      </c>
      <c r="K607" s="19">
        <v>0.91666666666666663</v>
      </c>
      <c r="L607" s="19">
        <v>0.25</v>
      </c>
      <c r="M607">
        <v>8</v>
      </c>
      <c r="N607">
        <v>0</v>
      </c>
      <c r="O607">
        <v>60</v>
      </c>
      <c r="P607">
        <v>76</v>
      </c>
      <c r="Q607" t="s">
        <v>99</v>
      </c>
      <c r="R607">
        <v>30</v>
      </c>
      <c r="S607" s="19">
        <v>0.125</v>
      </c>
      <c r="T607">
        <v>0</v>
      </c>
      <c r="U607" s="19">
        <v>0.54166666666666663</v>
      </c>
      <c r="V607" t="s">
        <v>99</v>
      </c>
      <c r="W607">
        <v>7.5</v>
      </c>
      <c r="X607" t="s">
        <v>102</v>
      </c>
      <c r="Y607" t="b">
        <v>0</v>
      </c>
    </row>
    <row r="608" spans="1:25" x14ac:dyDescent="0.55000000000000004">
      <c r="A608" t="s">
        <v>94</v>
      </c>
      <c r="B608" t="s">
        <v>173</v>
      </c>
      <c r="C608" t="s">
        <v>96</v>
      </c>
      <c r="D608" t="s">
        <v>174</v>
      </c>
      <c r="E608" t="s">
        <v>211</v>
      </c>
      <c r="F608" t="s">
        <v>135</v>
      </c>
      <c r="G608">
        <v>24627</v>
      </c>
      <c r="H608" t="s">
        <v>217</v>
      </c>
      <c r="I608">
        <v>2</v>
      </c>
      <c r="J608" t="s">
        <v>105</v>
      </c>
      <c r="K608" s="19">
        <v>0.91666666666666663</v>
      </c>
      <c r="L608" s="19">
        <v>0.25</v>
      </c>
      <c r="M608">
        <v>8</v>
      </c>
      <c r="N608">
        <v>0</v>
      </c>
      <c r="O608">
        <v>60</v>
      </c>
      <c r="P608">
        <v>76</v>
      </c>
      <c r="Q608" t="s">
        <v>99</v>
      </c>
      <c r="R608">
        <v>30</v>
      </c>
      <c r="S608" s="19">
        <v>0.125</v>
      </c>
      <c r="T608">
        <v>0</v>
      </c>
      <c r="U608" s="19">
        <v>0.54166666666666663</v>
      </c>
      <c r="V608" t="s">
        <v>99</v>
      </c>
      <c r="W608">
        <v>7.5</v>
      </c>
      <c r="X608" t="s">
        <v>102</v>
      </c>
      <c r="Y608" t="b">
        <v>0</v>
      </c>
    </row>
    <row r="609" spans="1:25" x14ac:dyDescent="0.55000000000000004">
      <c r="A609" t="s">
        <v>94</v>
      </c>
      <c r="B609" t="s">
        <v>173</v>
      </c>
      <c r="C609" t="s">
        <v>96</v>
      </c>
      <c r="D609" t="s">
        <v>174</v>
      </c>
      <c r="E609" t="s">
        <v>211</v>
      </c>
      <c r="F609" t="s">
        <v>139</v>
      </c>
      <c r="G609">
        <v>19161</v>
      </c>
      <c r="H609" t="s">
        <v>218</v>
      </c>
      <c r="I609">
        <v>1</v>
      </c>
      <c r="J609" t="s">
        <v>105</v>
      </c>
      <c r="K609" s="19">
        <v>0.91666666666666663</v>
      </c>
      <c r="L609" s="19">
        <v>0.25</v>
      </c>
      <c r="M609">
        <v>8</v>
      </c>
      <c r="N609">
        <v>0</v>
      </c>
      <c r="O609">
        <v>67.5</v>
      </c>
      <c r="P609">
        <v>76</v>
      </c>
      <c r="Q609" t="s">
        <v>99</v>
      </c>
      <c r="R609">
        <v>30</v>
      </c>
      <c r="S609" s="19">
        <v>0</v>
      </c>
      <c r="T609">
        <v>0</v>
      </c>
      <c r="U609" s="19">
        <v>0.54166666666666663</v>
      </c>
      <c r="V609" t="s">
        <v>99</v>
      </c>
      <c r="W609">
        <v>7.5</v>
      </c>
      <c r="X609" t="s">
        <v>102</v>
      </c>
      <c r="Y609" t="b">
        <v>0</v>
      </c>
    </row>
    <row r="610" spans="1:25" x14ac:dyDescent="0.55000000000000004">
      <c r="A610" t="s">
        <v>94</v>
      </c>
      <c r="B610" t="s">
        <v>173</v>
      </c>
      <c r="C610" t="s">
        <v>96</v>
      </c>
      <c r="D610" t="s">
        <v>174</v>
      </c>
      <c r="E610" t="s">
        <v>211</v>
      </c>
      <c r="F610" t="s">
        <v>139</v>
      </c>
      <c r="G610">
        <v>19161</v>
      </c>
      <c r="H610" t="s">
        <v>218</v>
      </c>
      <c r="I610">
        <v>2</v>
      </c>
      <c r="J610" t="s">
        <v>101</v>
      </c>
      <c r="K610" s="19">
        <v>0.91666666666666663</v>
      </c>
      <c r="L610" s="19">
        <v>0.25</v>
      </c>
      <c r="M610">
        <v>8</v>
      </c>
      <c r="N610">
        <v>0</v>
      </c>
      <c r="O610">
        <v>67.5</v>
      </c>
      <c r="P610">
        <v>76</v>
      </c>
      <c r="Q610" t="s">
        <v>99</v>
      </c>
      <c r="R610">
        <v>30</v>
      </c>
      <c r="S610" s="19">
        <v>0</v>
      </c>
      <c r="T610">
        <v>0</v>
      </c>
      <c r="U610" s="19">
        <v>0.54166666666666663</v>
      </c>
      <c r="V610" t="s">
        <v>99</v>
      </c>
      <c r="W610">
        <v>7.5</v>
      </c>
      <c r="X610" t="s">
        <v>102</v>
      </c>
      <c r="Y610" t="b">
        <v>0</v>
      </c>
    </row>
    <row r="611" spans="1:25" x14ac:dyDescent="0.55000000000000004">
      <c r="A611" t="s">
        <v>94</v>
      </c>
      <c r="B611" t="s">
        <v>173</v>
      </c>
      <c r="C611" t="s">
        <v>96</v>
      </c>
      <c r="D611" t="s">
        <v>174</v>
      </c>
      <c r="E611" t="s">
        <v>211</v>
      </c>
      <c r="F611" t="s">
        <v>139</v>
      </c>
      <c r="G611">
        <v>19161</v>
      </c>
      <c r="H611" t="s">
        <v>218</v>
      </c>
      <c r="I611">
        <v>2</v>
      </c>
      <c r="J611" t="s">
        <v>104</v>
      </c>
      <c r="K611" s="19">
        <v>0.91666666666666663</v>
      </c>
      <c r="L611" s="19">
        <v>0.25</v>
      </c>
      <c r="M611">
        <v>8</v>
      </c>
      <c r="N611">
        <v>0</v>
      </c>
      <c r="O611">
        <v>67.5</v>
      </c>
      <c r="P611">
        <v>76</v>
      </c>
      <c r="Q611" t="s">
        <v>99</v>
      </c>
      <c r="R611">
        <v>30</v>
      </c>
      <c r="S611" s="19">
        <v>0</v>
      </c>
      <c r="T611">
        <v>0</v>
      </c>
      <c r="U611" s="19">
        <v>0.54166666666666663</v>
      </c>
      <c r="V611" t="s">
        <v>99</v>
      </c>
      <c r="W611">
        <v>7.5</v>
      </c>
      <c r="X611" t="s">
        <v>102</v>
      </c>
      <c r="Y611" t="b">
        <v>0</v>
      </c>
    </row>
    <row r="612" spans="1:25" x14ac:dyDescent="0.55000000000000004">
      <c r="A612" t="s">
        <v>94</v>
      </c>
      <c r="B612" t="s">
        <v>173</v>
      </c>
      <c r="C612" t="s">
        <v>96</v>
      </c>
      <c r="D612" t="s">
        <v>174</v>
      </c>
      <c r="E612" t="s">
        <v>211</v>
      </c>
      <c r="F612" t="s">
        <v>139</v>
      </c>
      <c r="G612">
        <v>19161</v>
      </c>
      <c r="H612" t="s">
        <v>218</v>
      </c>
      <c r="I612">
        <v>2</v>
      </c>
      <c r="J612" t="s">
        <v>105</v>
      </c>
      <c r="K612" s="19">
        <v>0.91666666666666663</v>
      </c>
      <c r="L612" s="19">
        <v>0.25</v>
      </c>
      <c r="M612">
        <v>8</v>
      </c>
      <c r="N612">
        <v>0</v>
      </c>
      <c r="O612">
        <v>67.5</v>
      </c>
      <c r="P612">
        <v>76</v>
      </c>
      <c r="Q612" t="s">
        <v>99</v>
      </c>
      <c r="R612">
        <v>30</v>
      </c>
      <c r="S612" s="19">
        <v>0</v>
      </c>
      <c r="T612">
        <v>0</v>
      </c>
      <c r="U612" s="19">
        <v>0.54166666666666663</v>
      </c>
      <c r="V612" t="s">
        <v>99</v>
      </c>
      <c r="W612">
        <v>7.5</v>
      </c>
      <c r="X612" t="s">
        <v>102</v>
      </c>
      <c r="Y612" t="b">
        <v>0</v>
      </c>
    </row>
    <row r="613" spans="1:25" x14ac:dyDescent="0.55000000000000004">
      <c r="A613" t="s">
        <v>94</v>
      </c>
      <c r="B613" t="s">
        <v>173</v>
      </c>
      <c r="C613" t="s">
        <v>96</v>
      </c>
      <c r="D613" t="s">
        <v>174</v>
      </c>
      <c r="E613" t="s">
        <v>211</v>
      </c>
      <c r="F613" t="s">
        <v>139</v>
      </c>
      <c r="G613">
        <v>19442</v>
      </c>
      <c r="H613" t="s">
        <v>219</v>
      </c>
      <c r="I613">
        <v>1</v>
      </c>
      <c r="J613" t="s">
        <v>115</v>
      </c>
      <c r="K613" s="19">
        <v>0.91666666666666663</v>
      </c>
      <c r="L613" s="19">
        <v>0.25</v>
      </c>
      <c r="M613">
        <v>8</v>
      </c>
      <c r="N613">
        <v>443.26</v>
      </c>
      <c r="O613">
        <v>67.5</v>
      </c>
      <c r="P613">
        <v>76</v>
      </c>
      <c r="Q613" t="s">
        <v>99</v>
      </c>
      <c r="R613">
        <v>30</v>
      </c>
      <c r="S613" s="19">
        <v>0</v>
      </c>
      <c r="T613">
        <v>0</v>
      </c>
      <c r="U613" s="19">
        <v>0.54166666666666663</v>
      </c>
      <c r="V613" t="s">
        <v>99</v>
      </c>
      <c r="W613">
        <v>7.5</v>
      </c>
      <c r="X613" t="s">
        <v>102</v>
      </c>
      <c r="Y613" t="b">
        <v>0</v>
      </c>
    </row>
    <row r="614" spans="1:25" x14ac:dyDescent="0.55000000000000004">
      <c r="A614" t="s">
        <v>94</v>
      </c>
      <c r="B614" t="s">
        <v>173</v>
      </c>
      <c r="C614" t="s">
        <v>96</v>
      </c>
      <c r="D614" t="s">
        <v>174</v>
      </c>
      <c r="E614" t="s">
        <v>211</v>
      </c>
      <c r="F614" t="s">
        <v>139</v>
      </c>
      <c r="G614">
        <v>19442</v>
      </c>
      <c r="H614" t="s">
        <v>219</v>
      </c>
      <c r="I614">
        <v>1</v>
      </c>
      <c r="J614" t="s">
        <v>104</v>
      </c>
      <c r="K614" s="19">
        <v>0.91666666666666663</v>
      </c>
      <c r="L614" s="19">
        <v>0.25</v>
      </c>
      <c r="M614">
        <v>8</v>
      </c>
      <c r="N614">
        <v>302.82</v>
      </c>
      <c r="O614">
        <v>67.5</v>
      </c>
      <c r="P614">
        <v>76</v>
      </c>
      <c r="Q614" t="s">
        <v>99</v>
      </c>
      <c r="R614">
        <v>30</v>
      </c>
      <c r="S614" s="19">
        <v>0</v>
      </c>
      <c r="T614">
        <v>0</v>
      </c>
      <c r="U614" s="19">
        <v>0.54166666666666663</v>
      </c>
      <c r="V614" t="s">
        <v>99</v>
      </c>
      <c r="W614">
        <v>7.5</v>
      </c>
      <c r="X614" t="s">
        <v>102</v>
      </c>
      <c r="Y614" t="b">
        <v>0</v>
      </c>
    </row>
    <row r="615" spans="1:25" x14ac:dyDescent="0.55000000000000004">
      <c r="A615" t="s">
        <v>94</v>
      </c>
      <c r="B615" t="s">
        <v>173</v>
      </c>
      <c r="C615" t="s">
        <v>96</v>
      </c>
      <c r="D615" t="s">
        <v>174</v>
      </c>
      <c r="E615" t="s">
        <v>211</v>
      </c>
      <c r="F615" t="s">
        <v>139</v>
      </c>
      <c r="G615">
        <v>20088</v>
      </c>
      <c r="H615" t="s">
        <v>221</v>
      </c>
      <c r="I615">
        <v>2</v>
      </c>
      <c r="J615" t="s">
        <v>107</v>
      </c>
      <c r="K615" s="19">
        <v>0.91666666666666663</v>
      </c>
      <c r="L615" s="19">
        <v>0.25</v>
      </c>
      <c r="M615">
        <v>8</v>
      </c>
      <c r="N615">
        <v>351.84</v>
      </c>
      <c r="O615">
        <v>45</v>
      </c>
      <c r="P615">
        <v>76</v>
      </c>
      <c r="Q615" t="s">
        <v>99</v>
      </c>
      <c r="R615">
        <v>30</v>
      </c>
      <c r="S615" s="19">
        <v>0.125</v>
      </c>
      <c r="T615">
        <v>0</v>
      </c>
      <c r="U615" s="19">
        <v>0.54166666666666663</v>
      </c>
      <c r="V615" t="s">
        <v>99</v>
      </c>
      <c r="W615">
        <v>7.5</v>
      </c>
      <c r="X615" t="s">
        <v>102</v>
      </c>
      <c r="Y615" t="b">
        <v>0</v>
      </c>
    </row>
    <row r="616" spans="1:25" x14ac:dyDescent="0.55000000000000004">
      <c r="A616" t="s">
        <v>94</v>
      </c>
      <c r="B616" t="s">
        <v>173</v>
      </c>
      <c r="C616" t="s">
        <v>96</v>
      </c>
      <c r="D616" t="s">
        <v>174</v>
      </c>
      <c r="E616" t="s">
        <v>211</v>
      </c>
      <c r="F616" t="s">
        <v>139</v>
      </c>
      <c r="G616">
        <v>20088</v>
      </c>
      <c r="H616" t="s">
        <v>221</v>
      </c>
      <c r="I616">
        <v>2</v>
      </c>
      <c r="J616" t="s">
        <v>115</v>
      </c>
      <c r="K616" s="19">
        <v>0.91666666666666663</v>
      </c>
      <c r="L616" s="19">
        <v>0.25</v>
      </c>
      <c r="M616">
        <v>8</v>
      </c>
      <c r="N616">
        <v>421.04</v>
      </c>
      <c r="O616">
        <v>45</v>
      </c>
      <c r="P616">
        <v>76</v>
      </c>
      <c r="Q616" t="s">
        <v>99</v>
      </c>
      <c r="R616">
        <v>30</v>
      </c>
      <c r="S616" s="19">
        <v>0.125</v>
      </c>
      <c r="T616">
        <v>0</v>
      </c>
      <c r="U616" s="19">
        <v>0.54166666666666663</v>
      </c>
      <c r="V616" t="s">
        <v>99</v>
      </c>
      <c r="W616">
        <v>7.5</v>
      </c>
      <c r="X616" t="s">
        <v>102</v>
      </c>
      <c r="Y616" t="b">
        <v>0</v>
      </c>
    </row>
    <row r="617" spans="1:25" x14ac:dyDescent="0.55000000000000004">
      <c r="A617" t="s">
        <v>94</v>
      </c>
      <c r="B617" t="s">
        <v>173</v>
      </c>
      <c r="C617" t="s">
        <v>96</v>
      </c>
      <c r="D617" t="s">
        <v>174</v>
      </c>
      <c r="E617" t="s">
        <v>211</v>
      </c>
      <c r="F617" t="s">
        <v>139</v>
      </c>
      <c r="G617">
        <v>20088</v>
      </c>
      <c r="H617" t="s">
        <v>221</v>
      </c>
      <c r="I617">
        <v>2</v>
      </c>
      <c r="J617" t="s">
        <v>103</v>
      </c>
      <c r="K617" s="19">
        <v>0.91666666666666663</v>
      </c>
      <c r="L617" s="19">
        <v>0.25</v>
      </c>
      <c r="M617">
        <v>8</v>
      </c>
      <c r="N617">
        <v>287.64</v>
      </c>
      <c r="O617">
        <v>45</v>
      </c>
      <c r="P617">
        <v>76</v>
      </c>
      <c r="Q617" t="s">
        <v>99</v>
      </c>
      <c r="R617">
        <v>30</v>
      </c>
      <c r="S617" s="19">
        <v>0.125</v>
      </c>
      <c r="T617">
        <v>0</v>
      </c>
      <c r="U617" s="19">
        <v>0.54166666666666663</v>
      </c>
      <c r="V617" t="s">
        <v>99</v>
      </c>
      <c r="W617">
        <v>7.5</v>
      </c>
      <c r="X617" t="s">
        <v>102</v>
      </c>
      <c r="Y617" t="b">
        <v>0</v>
      </c>
    </row>
    <row r="618" spans="1:25" x14ac:dyDescent="0.55000000000000004">
      <c r="A618" t="s">
        <v>94</v>
      </c>
      <c r="B618" t="s">
        <v>173</v>
      </c>
      <c r="C618" t="s">
        <v>96</v>
      </c>
      <c r="D618" t="s">
        <v>174</v>
      </c>
      <c r="E618" t="s">
        <v>211</v>
      </c>
      <c r="F618" t="s">
        <v>139</v>
      </c>
      <c r="G618">
        <v>22263</v>
      </c>
      <c r="H618" t="s">
        <v>213</v>
      </c>
      <c r="I618">
        <v>1</v>
      </c>
      <c r="J618" t="s">
        <v>101</v>
      </c>
      <c r="K618" s="19">
        <v>0.91666666666666663</v>
      </c>
      <c r="L618" s="19">
        <v>0.25</v>
      </c>
      <c r="M618">
        <v>8</v>
      </c>
      <c r="N618">
        <v>302.82</v>
      </c>
      <c r="O618">
        <v>52.5</v>
      </c>
      <c r="P618">
        <v>76</v>
      </c>
      <c r="Q618" t="s">
        <v>99</v>
      </c>
      <c r="R618">
        <v>30</v>
      </c>
      <c r="S618" s="19">
        <v>0</v>
      </c>
      <c r="T618">
        <v>0</v>
      </c>
      <c r="U618" s="19">
        <v>0.54166666666666663</v>
      </c>
      <c r="V618" t="s">
        <v>99</v>
      </c>
      <c r="W618">
        <v>7.5</v>
      </c>
      <c r="X618" t="s">
        <v>102</v>
      </c>
      <c r="Y618" t="b">
        <v>0</v>
      </c>
    </row>
    <row r="619" spans="1:25" x14ac:dyDescent="0.55000000000000004">
      <c r="A619" t="s">
        <v>94</v>
      </c>
      <c r="B619" t="s">
        <v>173</v>
      </c>
      <c r="C619" t="s">
        <v>96</v>
      </c>
      <c r="D619" t="s">
        <v>174</v>
      </c>
      <c r="E619" t="s">
        <v>211</v>
      </c>
      <c r="F619" t="s">
        <v>139</v>
      </c>
      <c r="G619">
        <v>23282</v>
      </c>
      <c r="H619" t="s">
        <v>220</v>
      </c>
      <c r="I619">
        <v>1</v>
      </c>
      <c r="J619" t="s">
        <v>116</v>
      </c>
      <c r="K619" s="19">
        <v>0.91666666666666663</v>
      </c>
      <c r="L619" s="19">
        <v>0.25</v>
      </c>
      <c r="M619">
        <v>8</v>
      </c>
      <c r="N619">
        <v>344.96</v>
      </c>
      <c r="O619">
        <v>37.5</v>
      </c>
      <c r="P619">
        <v>76</v>
      </c>
      <c r="Q619" t="s">
        <v>99</v>
      </c>
      <c r="R619">
        <v>30</v>
      </c>
      <c r="S619" s="19">
        <v>0</v>
      </c>
      <c r="T619">
        <v>0</v>
      </c>
      <c r="U619" s="19">
        <v>0.54166666666666663</v>
      </c>
      <c r="V619" t="s">
        <v>99</v>
      </c>
      <c r="W619">
        <v>7.5</v>
      </c>
      <c r="X619" t="s">
        <v>102</v>
      </c>
      <c r="Y619" t="b">
        <v>0</v>
      </c>
    </row>
    <row r="620" spans="1:25" x14ac:dyDescent="0.55000000000000004">
      <c r="A620" t="s">
        <v>94</v>
      </c>
      <c r="B620" t="s">
        <v>173</v>
      </c>
      <c r="C620" t="s">
        <v>96</v>
      </c>
      <c r="D620" t="s">
        <v>174</v>
      </c>
      <c r="E620" t="s">
        <v>211</v>
      </c>
      <c r="F620" t="s">
        <v>139</v>
      </c>
      <c r="G620">
        <v>23522</v>
      </c>
      <c r="H620" t="s">
        <v>216</v>
      </c>
      <c r="I620">
        <v>2</v>
      </c>
      <c r="J620" t="s">
        <v>116</v>
      </c>
      <c r="K620" s="19">
        <v>0.91666666666666663</v>
      </c>
      <c r="L620" s="19">
        <v>0.25</v>
      </c>
      <c r="M620">
        <v>8</v>
      </c>
      <c r="N620">
        <v>344.96</v>
      </c>
      <c r="O620">
        <v>60</v>
      </c>
      <c r="P620">
        <v>76</v>
      </c>
      <c r="Q620" t="s">
        <v>99</v>
      </c>
      <c r="R620">
        <v>30</v>
      </c>
      <c r="S620" s="19">
        <v>0.125</v>
      </c>
      <c r="T620">
        <v>0</v>
      </c>
      <c r="U620" s="19">
        <v>0.54166666666666663</v>
      </c>
      <c r="V620" t="s">
        <v>99</v>
      </c>
      <c r="W620">
        <v>7.5</v>
      </c>
      <c r="X620" t="s">
        <v>102</v>
      </c>
      <c r="Y620" t="b">
        <v>0</v>
      </c>
    </row>
    <row r="621" spans="1:25" x14ac:dyDescent="0.55000000000000004">
      <c r="A621" t="s">
        <v>94</v>
      </c>
      <c r="B621" t="s">
        <v>173</v>
      </c>
      <c r="C621" t="s">
        <v>96</v>
      </c>
      <c r="D621" t="s">
        <v>174</v>
      </c>
      <c r="E621" t="s">
        <v>211</v>
      </c>
      <c r="F621" t="s">
        <v>139</v>
      </c>
      <c r="G621">
        <v>26014</v>
      </c>
      <c r="H621" t="s">
        <v>197</v>
      </c>
      <c r="I621">
        <v>1</v>
      </c>
      <c r="J621" t="s">
        <v>107</v>
      </c>
      <c r="K621" s="19">
        <v>0.91666666666666663</v>
      </c>
      <c r="L621" s="19">
        <v>0.25</v>
      </c>
      <c r="M621">
        <v>8</v>
      </c>
      <c r="N621">
        <v>0</v>
      </c>
      <c r="O621">
        <v>30</v>
      </c>
      <c r="P621">
        <v>76</v>
      </c>
      <c r="Q621" t="s">
        <v>99</v>
      </c>
      <c r="R621">
        <v>30</v>
      </c>
      <c r="S621" s="19">
        <v>0</v>
      </c>
      <c r="T621">
        <v>0</v>
      </c>
      <c r="U621" s="19">
        <v>0.54166666666666663</v>
      </c>
      <c r="V621" t="s">
        <v>99</v>
      </c>
      <c r="W621">
        <v>7.5</v>
      </c>
      <c r="X621" t="s">
        <v>102</v>
      </c>
      <c r="Y621" t="b">
        <v>0</v>
      </c>
    </row>
    <row r="622" spans="1:25" x14ac:dyDescent="0.55000000000000004">
      <c r="A622" t="s">
        <v>94</v>
      </c>
      <c r="B622" t="s">
        <v>173</v>
      </c>
      <c r="C622" t="s">
        <v>96</v>
      </c>
      <c r="D622" t="s">
        <v>174</v>
      </c>
      <c r="E622" t="s">
        <v>211</v>
      </c>
      <c r="F622" t="s">
        <v>139</v>
      </c>
      <c r="G622">
        <v>26407</v>
      </c>
      <c r="H622" t="s">
        <v>193</v>
      </c>
      <c r="I622">
        <v>1</v>
      </c>
      <c r="J622" t="s">
        <v>103</v>
      </c>
      <c r="K622" s="19">
        <v>0.91666666666666663</v>
      </c>
      <c r="L622" s="19">
        <v>0.25</v>
      </c>
      <c r="M622">
        <v>8</v>
      </c>
      <c r="N622">
        <v>368.65</v>
      </c>
      <c r="O622">
        <v>45</v>
      </c>
      <c r="P622">
        <v>76</v>
      </c>
      <c r="Q622" t="s">
        <v>99</v>
      </c>
      <c r="R622">
        <v>30</v>
      </c>
      <c r="S622" s="19">
        <v>0</v>
      </c>
      <c r="T622">
        <v>0</v>
      </c>
      <c r="U622" s="19">
        <v>0.54166666666666663</v>
      </c>
      <c r="V622" t="s">
        <v>99</v>
      </c>
      <c r="W622">
        <v>7.5</v>
      </c>
      <c r="X622" t="s">
        <v>102</v>
      </c>
      <c r="Y622" t="b">
        <v>0</v>
      </c>
    </row>
    <row r="623" spans="1:25" x14ac:dyDescent="0.55000000000000004">
      <c r="A623" t="s">
        <v>94</v>
      </c>
      <c r="B623" t="s">
        <v>173</v>
      </c>
      <c r="C623" t="s">
        <v>96</v>
      </c>
      <c r="D623" t="s">
        <v>174</v>
      </c>
      <c r="E623" t="s">
        <v>211</v>
      </c>
      <c r="F623" t="s">
        <v>141</v>
      </c>
      <c r="G623">
        <v>19161</v>
      </c>
      <c r="H623" t="s">
        <v>218</v>
      </c>
      <c r="I623">
        <v>1</v>
      </c>
      <c r="J623" t="s">
        <v>107</v>
      </c>
      <c r="K623" s="19">
        <v>0.91666666666666663</v>
      </c>
      <c r="L623" s="19">
        <v>0.25</v>
      </c>
      <c r="M623">
        <v>8</v>
      </c>
      <c r="N623">
        <v>0</v>
      </c>
      <c r="O623">
        <v>67.5</v>
      </c>
      <c r="P623">
        <v>76</v>
      </c>
      <c r="Q623" t="s">
        <v>99</v>
      </c>
      <c r="R623">
        <v>30</v>
      </c>
      <c r="S623" s="19">
        <v>0</v>
      </c>
      <c r="T623">
        <v>0</v>
      </c>
      <c r="U623" s="19">
        <v>0.54166666666666663</v>
      </c>
      <c r="V623" t="s">
        <v>99</v>
      </c>
      <c r="W623">
        <v>7.5</v>
      </c>
      <c r="X623" t="s">
        <v>102</v>
      </c>
      <c r="Y623" t="b">
        <v>0</v>
      </c>
    </row>
    <row r="624" spans="1:25" x14ac:dyDescent="0.55000000000000004">
      <c r="A624" t="s">
        <v>94</v>
      </c>
      <c r="B624" t="s">
        <v>173</v>
      </c>
      <c r="C624" t="s">
        <v>96</v>
      </c>
      <c r="D624" t="s">
        <v>174</v>
      </c>
      <c r="E624" t="s">
        <v>211</v>
      </c>
      <c r="F624" t="s">
        <v>141</v>
      </c>
      <c r="G624">
        <v>19161</v>
      </c>
      <c r="H624" t="s">
        <v>218</v>
      </c>
      <c r="I624">
        <v>1</v>
      </c>
      <c r="J624" t="s">
        <v>101</v>
      </c>
      <c r="K624" s="19">
        <v>0.91666666666666663</v>
      </c>
      <c r="L624" s="19">
        <v>0.25</v>
      </c>
      <c r="M624">
        <v>8</v>
      </c>
      <c r="N624">
        <v>0</v>
      </c>
      <c r="O624">
        <v>67.5</v>
      </c>
      <c r="P624">
        <v>76</v>
      </c>
      <c r="Q624" t="s">
        <v>99</v>
      </c>
      <c r="R624">
        <v>30</v>
      </c>
      <c r="S624" s="19">
        <v>0</v>
      </c>
      <c r="T624">
        <v>0</v>
      </c>
      <c r="U624" s="19">
        <v>0.54166666666666663</v>
      </c>
      <c r="V624" t="s">
        <v>99</v>
      </c>
      <c r="W624">
        <v>7.5</v>
      </c>
      <c r="X624" t="s">
        <v>102</v>
      </c>
      <c r="Y624" t="b">
        <v>0</v>
      </c>
    </row>
    <row r="625" spans="1:25" x14ac:dyDescent="0.55000000000000004">
      <c r="A625" t="s">
        <v>94</v>
      </c>
      <c r="B625" t="s">
        <v>173</v>
      </c>
      <c r="C625" t="s">
        <v>96</v>
      </c>
      <c r="D625" t="s">
        <v>174</v>
      </c>
      <c r="E625" t="s">
        <v>211</v>
      </c>
      <c r="F625" t="s">
        <v>141</v>
      </c>
      <c r="G625">
        <v>19161</v>
      </c>
      <c r="H625" t="s">
        <v>218</v>
      </c>
      <c r="I625">
        <v>1</v>
      </c>
      <c r="J625" t="s">
        <v>115</v>
      </c>
      <c r="K625" s="19">
        <v>0.91666666666666663</v>
      </c>
      <c r="L625" s="19">
        <v>0.25</v>
      </c>
      <c r="M625">
        <v>8</v>
      </c>
      <c r="N625">
        <v>0</v>
      </c>
      <c r="O625">
        <v>67.5</v>
      </c>
      <c r="P625">
        <v>76</v>
      </c>
      <c r="Q625" t="s">
        <v>99</v>
      </c>
      <c r="R625">
        <v>30</v>
      </c>
      <c r="S625" s="19">
        <v>0</v>
      </c>
      <c r="T625">
        <v>0</v>
      </c>
      <c r="U625" s="19">
        <v>0.54166666666666663</v>
      </c>
      <c r="V625" t="s">
        <v>99</v>
      </c>
      <c r="W625">
        <v>7.5</v>
      </c>
      <c r="X625" t="s">
        <v>102</v>
      </c>
      <c r="Y625" t="b">
        <v>0</v>
      </c>
    </row>
    <row r="626" spans="1:25" x14ac:dyDescent="0.55000000000000004">
      <c r="A626" t="s">
        <v>94</v>
      </c>
      <c r="B626" t="s">
        <v>173</v>
      </c>
      <c r="C626" t="s">
        <v>96</v>
      </c>
      <c r="D626" t="s">
        <v>174</v>
      </c>
      <c r="E626" t="s">
        <v>211</v>
      </c>
      <c r="F626" t="s">
        <v>141</v>
      </c>
      <c r="G626">
        <v>19161</v>
      </c>
      <c r="H626" t="s">
        <v>218</v>
      </c>
      <c r="I626">
        <v>1</v>
      </c>
      <c r="J626" t="s">
        <v>104</v>
      </c>
      <c r="K626" s="19">
        <v>0.91666666666666663</v>
      </c>
      <c r="L626" s="19">
        <v>0.25</v>
      </c>
      <c r="M626">
        <v>8</v>
      </c>
      <c r="N626">
        <v>0</v>
      </c>
      <c r="O626">
        <v>67.5</v>
      </c>
      <c r="P626">
        <v>76</v>
      </c>
      <c r="Q626" t="s">
        <v>99</v>
      </c>
      <c r="R626">
        <v>30</v>
      </c>
      <c r="S626" s="19">
        <v>0</v>
      </c>
      <c r="T626">
        <v>0</v>
      </c>
      <c r="U626" s="19">
        <v>0.54166666666666663</v>
      </c>
      <c r="V626" t="s">
        <v>99</v>
      </c>
      <c r="W626">
        <v>7.5</v>
      </c>
      <c r="X626" t="s">
        <v>102</v>
      </c>
      <c r="Y626" t="b">
        <v>0</v>
      </c>
    </row>
    <row r="627" spans="1:25" x14ac:dyDescent="0.55000000000000004">
      <c r="A627" t="s">
        <v>94</v>
      </c>
      <c r="B627" t="s">
        <v>173</v>
      </c>
      <c r="C627" t="s">
        <v>96</v>
      </c>
      <c r="D627" t="s">
        <v>174</v>
      </c>
      <c r="E627" t="s">
        <v>211</v>
      </c>
      <c r="F627" t="s">
        <v>141</v>
      </c>
      <c r="G627">
        <v>19442</v>
      </c>
      <c r="H627" t="s">
        <v>219</v>
      </c>
      <c r="I627">
        <v>1</v>
      </c>
      <c r="J627" t="s">
        <v>116</v>
      </c>
      <c r="K627" s="19">
        <v>0.91666666666666663</v>
      </c>
      <c r="L627" s="19">
        <v>0.25</v>
      </c>
      <c r="M627">
        <v>8</v>
      </c>
      <c r="N627">
        <v>344.96</v>
      </c>
      <c r="O627">
        <v>67.5</v>
      </c>
      <c r="P627">
        <v>76</v>
      </c>
      <c r="Q627" t="s">
        <v>99</v>
      </c>
      <c r="R627">
        <v>30</v>
      </c>
      <c r="S627" s="19">
        <v>0</v>
      </c>
      <c r="T627">
        <v>0</v>
      </c>
      <c r="U627" s="19">
        <v>0</v>
      </c>
      <c r="V627" t="s">
        <v>99</v>
      </c>
      <c r="W627">
        <v>7.5</v>
      </c>
      <c r="X627" t="s">
        <v>102</v>
      </c>
      <c r="Y627" t="b">
        <v>0</v>
      </c>
    </row>
    <row r="628" spans="1:25" x14ac:dyDescent="0.55000000000000004">
      <c r="A628" t="s">
        <v>94</v>
      </c>
      <c r="B628" t="s">
        <v>173</v>
      </c>
      <c r="C628" t="s">
        <v>96</v>
      </c>
      <c r="D628" t="s">
        <v>174</v>
      </c>
      <c r="E628" t="s">
        <v>211</v>
      </c>
      <c r="F628" t="s">
        <v>141</v>
      </c>
      <c r="G628">
        <v>19442</v>
      </c>
      <c r="H628" t="s">
        <v>219</v>
      </c>
      <c r="I628">
        <v>1</v>
      </c>
      <c r="J628" t="s">
        <v>105</v>
      </c>
      <c r="K628" s="19">
        <v>0.91666666666666663</v>
      </c>
      <c r="L628" s="19">
        <v>0.25</v>
      </c>
      <c r="M628">
        <v>8</v>
      </c>
      <c r="N628">
        <v>302.82</v>
      </c>
      <c r="O628">
        <v>67.5</v>
      </c>
      <c r="P628">
        <v>76</v>
      </c>
      <c r="Q628" t="s">
        <v>99</v>
      </c>
      <c r="R628">
        <v>30</v>
      </c>
      <c r="S628" s="19">
        <v>0</v>
      </c>
      <c r="T628">
        <v>0</v>
      </c>
      <c r="U628" s="19">
        <v>0</v>
      </c>
      <c r="V628" t="s">
        <v>99</v>
      </c>
      <c r="W628">
        <v>7.5</v>
      </c>
      <c r="X628" t="s">
        <v>102</v>
      </c>
      <c r="Y628" t="b">
        <v>0</v>
      </c>
    </row>
    <row r="629" spans="1:25" x14ac:dyDescent="0.55000000000000004">
      <c r="A629" t="s">
        <v>94</v>
      </c>
      <c r="B629" t="s">
        <v>173</v>
      </c>
      <c r="C629" t="s">
        <v>96</v>
      </c>
      <c r="D629" t="s">
        <v>174</v>
      </c>
      <c r="E629" t="s">
        <v>211</v>
      </c>
      <c r="F629" t="s">
        <v>141</v>
      </c>
      <c r="G629">
        <v>19442</v>
      </c>
      <c r="H629" t="s">
        <v>219</v>
      </c>
      <c r="I629">
        <v>2</v>
      </c>
      <c r="J629" t="s">
        <v>101</v>
      </c>
      <c r="K629" s="19">
        <v>0.91666666666666663</v>
      </c>
      <c r="L629" s="19">
        <v>0.25</v>
      </c>
      <c r="M629">
        <v>8</v>
      </c>
      <c r="N629">
        <v>302.82</v>
      </c>
      <c r="O629">
        <v>67.5</v>
      </c>
      <c r="P629">
        <v>76</v>
      </c>
      <c r="Q629" t="s">
        <v>99</v>
      </c>
      <c r="R629">
        <v>30</v>
      </c>
      <c r="S629" s="19">
        <v>0</v>
      </c>
      <c r="T629">
        <v>0</v>
      </c>
      <c r="U629" s="19">
        <v>0</v>
      </c>
      <c r="V629" t="s">
        <v>99</v>
      </c>
      <c r="W629">
        <v>7.5</v>
      </c>
      <c r="X629" t="s">
        <v>102</v>
      </c>
      <c r="Y629" t="b">
        <v>0</v>
      </c>
    </row>
    <row r="630" spans="1:25" x14ac:dyDescent="0.55000000000000004">
      <c r="A630" t="s">
        <v>94</v>
      </c>
      <c r="B630" t="s">
        <v>173</v>
      </c>
      <c r="C630" t="s">
        <v>96</v>
      </c>
      <c r="D630" t="s">
        <v>174</v>
      </c>
      <c r="E630" t="s">
        <v>211</v>
      </c>
      <c r="F630" t="s">
        <v>141</v>
      </c>
      <c r="G630">
        <v>19442</v>
      </c>
      <c r="H630" t="s">
        <v>219</v>
      </c>
      <c r="I630">
        <v>2</v>
      </c>
      <c r="J630" t="s">
        <v>115</v>
      </c>
      <c r="K630" s="19">
        <v>0.91666666666666663</v>
      </c>
      <c r="L630" s="19">
        <v>0.25</v>
      </c>
      <c r="M630">
        <v>8</v>
      </c>
      <c r="N630">
        <v>443.26</v>
      </c>
      <c r="O630">
        <v>67.5</v>
      </c>
      <c r="P630">
        <v>76</v>
      </c>
      <c r="Q630" t="s">
        <v>99</v>
      </c>
      <c r="R630">
        <v>30</v>
      </c>
      <c r="S630" s="19">
        <v>0.125</v>
      </c>
      <c r="T630">
        <v>0</v>
      </c>
      <c r="U630" s="19">
        <v>0.54166666666666663</v>
      </c>
      <c r="V630" t="s">
        <v>99</v>
      </c>
      <c r="W630">
        <v>7.5</v>
      </c>
      <c r="X630" t="s">
        <v>102</v>
      </c>
      <c r="Y630" t="b">
        <v>0</v>
      </c>
    </row>
    <row r="631" spans="1:25" x14ac:dyDescent="0.55000000000000004">
      <c r="A631" t="s">
        <v>94</v>
      </c>
      <c r="B631" t="s">
        <v>173</v>
      </c>
      <c r="C631" t="s">
        <v>96</v>
      </c>
      <c r="D631" t="s">
        <v>174</v>
      </c>
      <c r="E631" t="s">
        <v>211</v>
      </c>
      <c r="F631" t="s">
        <v>141</v>
      </c>
      <c r="G631">
        <v>20088</v>
      </c>
      <c r="H631" t="s">
        <v>221</v>
      </c>
      <c r="I631">
        <v>2</v>
      </c>
      <c r="J631" t="s">
        <v>116</v>
      </c>
      <c r="K631" s="19">
        <v>0.91666666666666663</v>
      </c>
      <c r="L631" s="19">
        <v>0.25</v>
      </c>
      <c r="M631">
        <v>8</v>
      </c>
      <c r="N631">
        <v>327.66000000000003</v>
      </c>
      <c r="O631">
        <v>45</v>
      </c>
      <c r="P631">
        <v>76</v>
      </c>
      <c r="Q631" t="s">
        <v>99</v>
      </c>
      <c r="R631">
        <v>30</v>
      </c>
      <c r="S631" s="19">
        <v>0</v>
      </c>
      <c r="T631">
        <v>0</v>
      </c>
      <c r="U631" s="19">
        <v>0.54166666666666663</v>
      </c>
      <c r="V631" t="s">
        <v>99</v>
      </c>
      <c r="W631">
        <v>7.5</v>
      </c>
      <c r="X631" t="s">
        <v>102</v>
      </c>
      <c r="Y631" t="b">
        <v>0</v>
      </c>
    </row>
    <row r="632" spans="1:25" x14ac:dyDescent="0.55000000000000004">
      <c r="A632" t="s">
        <v>94</v>
      </c>
      <c r="B632" t="s">
        <v>173</v>
      </c>
      <c r="C632" t="s">
        <v>96</v>
      </c>
      <c r="D632" t="s">
        <v>174</v>
      </c>
      <c r="E632" t="s">
        <v>211</v>
      </c>
      <c r="F632" t="s">
        <v>141</v>
      </c>
      <c r="G632">
        <v>20088</v>
      </c>
      <c r="H632" t="s">
        <v>221</v>
      </c>
      <c r="I632">
        <v>2</v>
      </c>
      <c r="J632" t="s">
        <v>104</v>
      </c>
      <c r="K632" s="19">
        <v>0.91666666666666663</v>
      </c>
      <c r="L632" s="19">
        <v>0.25</v>
      </c>
      <c r="M632">
        <v>8</v>
      </c>
      <c r="N632">
        <v>287.64</v>
      </c>
      <c r="O632">
        <v>45</v>
      </c>
      <c r="P632">
        <v>76</v>
      </c>
      <c r="Q632" t="s">
        <v>99</v>
      </c>
      <c r="R632">
        <v>30</v>
      </c>
      <c r="S632" s="19">
        <v>0</v>
      </c>
      <c r="T632">
        <v>0</v>
      </c>
      <c r="U632" s="19">
        <v>0.54166666666666663</v>
      </c>
      <c r="V632" t="s">
        <v>99</v>
      </c>
      <c r="W632">
        <v>7.5</v>
      </c>
      <c r="X632" t="s">
        <v>102</v>
      </c>
      <c r="Y632" t="b">
        <v>0</v>
      </c>
    </row>
    <row r="633" spans="1:25" x14ac:dyDescent="0.55000000000000004">
      <c r="A633" t="s">
        <v>94</v>
      </c>
      <c r="B633" t="s">
        <v>173</v>
      </c>
      <c r="C633" t="s">
        <v>96</v>
      </c>
      <c r="D633" t="s">
        <v>174</v>
      </c>
      <c r="E633" t="s">
        <v>211</v>
      </c>
      <c r="F633" t="s">
        <v>141</v>
      </c>
      <c r="G633">
        <v>20088</v>
      </c>
      <c r="H633" t="s">
        <v>221</v>
      </c>
      <c r="I633">
        <v>2</v>
      </c>
      <c r="J633" t="s">
        <v>105</v>
      </c>
      <c r="K633" s="19">
        <v>0.91666666666666663</v>
      </c>
      <c r="L633" s="19">
        <v>0.25</v>
      </c>
      <c r="M633">
        <v>8</v>
      </c>
      <c r="N633">
        <v>0</v>
      </c>
      <c r="O633">
        <v>45</v>
      </c>
      <c r="P633">
        <v>76</v>
      </c>
      <c r="Q633" t="s">
        <v>99</v>
      </c>
      <c r="R633">
        <v>30</v>
      </c>
      <c r="S633" s="19">
        <v>0</v>
      </c>
      <c r="T633">
        <v>0</v>
      </c>
      <c r="U633" s="19">
        <v>0.54166666666666663</v>
      </c>
      <c r="V633" t="s">
        <v>99</v>
      </c>
      <c r="W633">
        <v>7.5</v>
      </c>
      <c r="X633" t="s">
        <v>102</v>
      </c>
      <c r="Y633" t="b">
        <v>0</v>
      </c>
    </row>
    <row r="634" spans="1:25" x14ac:dyDescent="0.55000000000000004">
      <c r="A634" t="s">
        <v>94</v>
      </c>
      <c r="B634" t="s">
        <v>173</v>
      </c>
      <c r="C634" t="s">
        <v>96</v>
      </c>
      <c r="D634" t="s">
        <v>174</v>
      </c>
      <c r="E634" t="s">
        <v>211</v>
      </c>
      <c r="F634" t="s">
        <v>141</v>
      </c>
      <c r="G634">
        <v>23282</v>
      </c>
      <c r="H634" t="s">
        <v>220</v>
      </c>
      <c r="I634">
        <v>1</v>
      </c>
      <c r="J634" t="s">
        <v>103</v>
      </c>
      <c r="K634" s="19">
        <v>0.91666666666666663</v>
      </c>
      <c r="L634" s="19">
        <v>0.25</v>
      </c>
      <c r="M634">
        <v>8</v>
      </c>
      <c r="N634">
        <v>302.82</v>
      </c>
      <c r="O634">
        <v>37.5</v>
      </c>
      <c r="P634">
        <v>76</v>
      </c>
      <c r="Q634" t="s">
        <v>99</v>
      </c>
      <c r="R634">
        <v>30</v>
      </c>
      <c r="S634" s="19">
        <v>0</v>
      </c>
      <c r="T634">
        <v>0</v>
      </c>
      <c r="U634" s="19">
        <v>0</v>
      </c>
      <c r="V634" t="s">
        <v>99</v>
      </c>
      <c r="W634">
        <v>7.5</v>
      </c>
      <c r="X634" t="s">
        <v>102</v>
      </c>
      <c r="Y634" t="b">
        <v>0</v>
      </c>
    </row>
    <row r="635" spans="1:25" x14ac:dyDescent="0.55000000000000004">
      <c r="A635" t="s">
        <v>94</v>
      </c>
      <c r="B635" t="s">
        <v>173</v>
      </c>
      <c r="C635" t="s">
        <v>96</v>
      </c>
      <c r="D635" t="s">
        <v>174</v>
      </c>
      <c r="E635" t="s">
        <v>211</v>
      </c>
      <c r="F635" t="s">
        <v>141</v>
      </c>
      <c r="G635">
        <v>23282</v>
      </c>
      <c r="H635" t="s">
        <v>220</v>
      </c>
      <c r="I635">
        <v>2</v>
      </c>
      <c r="J635" t="s">
        <v>107</v>
      </c>
      <c r="K635" s="19">
        <v>0.91666666666666663</v>
      </c>
      <c r="L635" s="19">
        <v>0.25</v>
      </c>
      <c r="M635">
        <v>8</v>
      </c>
      <c r="N635">
        <v>370.41</v>
      </c>
      <c r="O635">
        <v>37.5</v>
      </c>
      <c r="P635">
        <v>76</v>
      </c>
      <c r="Q635" t="s">
        <v>99</v>
      </c>
      <c r="R635">
        <v>30</v>
      </c>
      <c r="S635" s="19">
        <v>0</v>
      </c>
      <c r="T635">
        <v>0</v>
      </c>
      <c r="U635" s="19">
        <v>0</v>
      </c>
      <c r="V635" t="s">
        <v>99</v>
      </c>
      <c r="W635">
        <v>7.5</v>
      </c>
      <c r="X635" t="s">
        <v>102</v>
      </c>
      <c r="Y635" t="b">
        <v>0</v>
      </c>
    </row>
    <row r="636" spans="1:25" x14ac:dyDescent="0.55000000000000004">
      <c r="A636" t="s">
        <v>94</v>
      </c>
      <c r="B636" t="s">
        <v>173</v>
      </c>
      <c r="C636" t="s">
        <v>96</v>
      </c>
      <c r="D636" t="s">
        <v>174</v>
      </c>
      <c r="E636" t="s">
        <v>211</v>
      </c>
      <c r="F636" t="s">
        <v>141</v>
      </c>
      <c r="G636">
        <v>23282</v>
      </c>
      <c r="H636" t="s">
        <v>220</v>
      </c>
      <c r="I636">
        <v>2</v>
      </c>
      <c r="J636" t="s">
        <v>103</v>
      </c>
      <c r="K636" s="19">
        <v>0.91666666666666663</v>
      </c>
      <c r="L636" s="19">
        <v>0.25</v>
      </c>
      <c r="M636">
        <v>8</v>
      </c>
      <c r="N636">
        <v>0</v>
      </c>
      <c r="O636">
        <v>37.5</v>
      </c>
      <c r="P636">
        <v>76</v>
      </c>
      <c r="Q636" t="s">
        <v>99</v>
      </c>
      <c r="R636">
        <v>30</v>
      </c>
      <c r="S636" s="19">
        <v>0</v>
      </c>
      <c r="T636">
        <v>0</v>
      </c>
      <c r="U636" s="19">
        <v>0</v>
      </c>
      <c r="V636" t="s">
        <v>99</v>
      </c>
      <c r="W636">
        <v>7.5</v>
      </c>
      <c r="X636" t="s">
        <v>102</v>
      </c>
      <c r="Y636" t="b">
        <v>0</v>
      </c>
    </row>
    <row r="637" spans="1:25" x14ac:dyDescent="0.55000000000000004">
      <c r="A637" t="s">
        <v>94</v>
      </c>
      <c r="B637" t="s">
        <v>173</v>
      </c>
      <c r="C637" t="s">
        <v>96</v>
      </c>
      <c r="D637" t="s">
        <v>174</v>
      </c>
      <c r="E637" t="s">
        <v>222</v>
      </c>
      <c r="F637" t="s">
        <v>118</v>
      </c>
      <c r="G637">
        <v>19242</v>
      </c>
      <c r="H637" t="s">
        <v>223</v>
      </c>
      <c r="I637">
        <v>2</v>
      </c>
      <c r="J637" t="s">
        <v>107</v>
      </c>
      <c r="K637" s="19">
        <v>0.58333333333333337</v>
      </c>
      <c r="L637" s="19">
        <v>0.91666666666666663</v>
      </c>
      <c r="M637">
        <v>8</v>
      </c>
      <c r="N637">
        <v>296.24</v>
      </c>
      <c r="O637">
        <v>20.5</v>
      </c>
      <c r="P637">
        <v>76</v>
      </c>
      <c r="Q637" t="s">
        <v>99</v>
      </c>
      <c r="R637">
        <v>30</v>
      </c>
      <c r="S637" s="19">
        <v>0.79166666666666663</v>
      </c>
      <c r="T637">
        <v>0</v>
      </c>
      <c r="U637" s="19">
        <v>0.54166666666666663</v>
      </c>
      <c r="V637" t="s">
        <v>99</v>
      </c>
      <c r="W637">
        <v>7.5</v>
      </c>
      <c r="X637" t="s">
        <v>102</v>
      </c>
      <c r="Y637" t="b">
        <v>0</v>
      </c>
    </row>
    <row r="638" spans="1:25" x14ac:dyDescent="0.55000000000000004">
      <c r="A638" t="s">
        <v>94</v>
      </c>
      <c r="B638" t="s">
        <v>173</v>
      </c>
      <c r="C638" t="s">
        <v>96</v>
      </c>
      <c r="D638" t="s">
        <v>174</v>
      </c>
      <c r="E638" t="s">
        <v>222</v>
      </c>
      <c r="F638" t="s">
        <v>118</v>
      </c>
      <c r="G638">
        <v>19242</v>
      </c>
      <c r="H638" t="s">
        <v>223</v>
      </c>
      <c r="I638">
        <v>2</v>
      </c>
      <c r="J638" t="s">
        <v>115</v>
      </c>
      <c r="K638" s="19">
        <v>0.58333333333333337</v>
      </c>
      <c r="L638" s="19">
        <v>0.91666666666666663</v>
      </c>
      <c r="M638">
        <v>8</v>
      </c>
      <c r="N638">
        <v>394.99</v>
      </c>
      <c r="O638">
        <v>20.5</v>
      </c>
      <c r="P638">
        <v>76</v>
      </c>
      <c r="Q638" t="s">
        <v>99</v>
      </c>
      <c r="R638">
        <v>30</v>
      </c>
      <c r="S638" s="19">
        <v>0.79166666666666663</v>
      </c>
      <c r="T638">
        <v>0</v>
      </c>
      <c r="U638" s="19">
        <v>0</v>
      </c>
      <c r="V638" t="s">
        <v>99</v>
      </c>
      <c r="W638">
        <v>7.5</v>
      </c>
      <c r="X638" t="s">
        <v>102</v>
      </c>
      <c r="Y638" t="b">
        <v>0</v>
      </c>
    </row>
    <row r="639" spans="1:25" x14ac:dyDescent="0.55000000000000004">
      <c r="A639" t="s">
        <v>94</v>
      </c>
      <c r="B639" t="s">
        <v>173</v>
      </c>
      <c r="C639" t="s">
        <v>96</v>
      </c>
      <c r="D639" t="s">
        <v>174</v>
      </c>
      <c r="E639" t="s">
        <v>222</v>
      </c>
      <c r="F639" t="s">
        <v>118</v>
      </c>
      <c r="G639">
        <v>19835</v>
      </c>
      <c r="H639" t="s">
        <v>224</v>
      </c>
      <c r="I639">
        <v>2</v>
      </c>
      <c r="J639" t="s">
        <v>116</v>
      </c>
      <c r="K639" s="19">
        <v>0.58333333333333337</v>
      </c>
      <c r="L639" s="19">
        <v>0.91666666666666663</v>
      </c>
      <c r="M639">
        <v>8</v>
      </c>
      <c r="N639">
        <v>460.82</v>
      </c>
      <c r="O639">
        <v>60</v>
      </c>
      <c r="P639">
        <v>76</v>
      </c>
      <c r="Q639" t="s">
        <v>99</v>
      </c>
      <c r="R639">
        <v>30</v>
      </c>
      <c r="S639" s="19">
        <v>0.79166666666666663</v>
      </c>
      <c r="T639">
        <v>0</v>
      </c>
      <c r="U639" s="19">
        <v>0</v>
      </c>
      <c r="V639" t="s">
        <v>99</v>
      </c>
      <c r="W639">
        <v>7.5</v>
      </c>
      <c r="X639" t="s">
        <v>102</v>
      </c>
      <c r="Y639" t="b">
        <v>0</v>
      </c>
    </row>
    <row r="640" spans="1:25" x14ac:dyDescent="0.55000000000000004">
      <c r="A640" t="s">
        <v>94</v>
      </c>
      <c r="B640" t="s">
        <v>173</v>
      </c>
      <c r="C640" t="s">
        <v>96</v>
      </c>
      <c r="D640" t="s">
        <v>174</v>
      </c>
      <c r="E640" t="s">
        <v>222</v>
      </c>
      <c r="F640" t="s">
        <v>118</v>
      </c>
      <c r="G640">
        <v>20962</v>
      </c>
      <c r="H640" t="s">
        <v>225</v>
      </c>
      <c r="I640">
        <v>1</v>
      </c>
      <c r="J640" t="s">
        <v>116</v>
      </c>
      <c r="K640" s="19">
        <v>0.58333333333333337</v>
      </c>
      <c r="L640" s="19">
        <v>0.91666666666666663</v>
      </c>
      <c r="M640">
        <v>8</v>
      </c>
      <c r="N640">
        <v>466.2</v>
      </c>
      <c r="O640">
        <v>60</v>
      </c>
      <c r="P640">
        <v>76</v>
      </c>
      <c r="Q640" t="s">
        <v>99</v>
      </c>
      <c r="R640">
        <v>30</v>
      </c>
      <c r="S640" s="19">
        <v>0.79166666666666663</v>
      </c>
      <c r="T640">
        <v>0</v>
      </c>
      <c r="U640" s="19">
        <v>0.54166666666666663</v>
      </c>
      <c r="V640" t="s">
        <v>99</v>
      </c>
      <c r="W640">
        <v>7.5</v>
      </c>
      <c r="X640" t="s">
        <v>102</v>
      </c>
      <c r="Y640" t="b">
        <v>0</v>
      </c>
    </row>
    <row r="641" spans="1:25" x14ac:dyDescent="0.55000000000000004">
      <c r="A641" t="s">
        <v>94</v>
      </c>
      <c r="B641" t="s">
        <v>173</v>
      </c>
      <c r="C641" t="s">
        <v>96</v>
      </c>
      <c r="D641" t="s">
        <v>174</v>
      </c>
      <c r="E641" t="s">
        <v>222</v>
      </c>
      <c r="F641" t="s">
        <v>118</v>
      </c>
      <c r="G641">
        <v>20962</v>
      </c>
      <c r="H641" t="s">
        <v>225</v>
      </c>
      <c r="I641">
        <v>2</v>
      </c>
      <c r="J641" t="s">
        <v>101</v>
      </c>
      <c r="K641" s="19">
        <v>0.58333333333333337</v>
      </c>
      <c r="L641" s="19">
        <v>0.91666666666666663</v>
      </c>
      <c r="M641">
        <v>8</v>
      </c>
      <c r="N641">
        <v>299.7</v>
      </c>
      <c r="O641">
        <v>60</v>
      </c>
      <c r="P641">
        <v>76</v>
      </c>
      <c r="Q641" t="s">
        <v>99</v>
      </c>
      <c r="R641">
        <v>30</v>
      </c>
      <c r="S641" s="19">
        <v>0.79166666666666663</v>
      </c>
      <c r="T641">
        <v>0</v>
      </c>
      <c r="U641" s="19">
        <v>0</v>
      </c>
      <c r="V641" t="s">
        <v>99</v>
      </c>
      <c r="W641">
        <v>7.5</v>
      </c>
      <c r="X641" t="s">
        <v>102</v>
      </c>
      <c r="Y641" t="b">
        <v>0</v>
      </c>
    </row>
    <row r="642" spans="1:25" x14ac:dyDescent="0.55000000000000004">
      <c r="A642" t="s">
        <v>94</v>
      </c>
      <c r="B642" t="s">
        <v>173</v>
      </c>
      <c r="C642" t="s">
        <v>96</v>
      </c>
      <c r="D642" t="s">
        <v>174</v>
      </c>
      <c r="E642" t="s">
        <v>222</v>
      </c>
      <c r="F642" t="s">
        <v>118</v>
      </c>
      <c r="G642">
        <v>21381</v>
      </c>
      <c r="H642" t="s">
        <v>226</v>
      </c>
      <c r="I642">
        <v>2</v>
      </c>
      <c r="J642" t="s">
        <v>116</v>
      </c>
      <c r="K642" s="19">
        <v>0.58333333333333337</v>
      </c>
      <c r="L642" s="19">
        <v>0.91666666666666663</v>
      </c>
      <c r="M642">
        <v>8</v>
      </c>
      <c r="N642">
        <v>0</v>
      </c>
      <c r="O642">
        <v>60</v>
      </c>
      <c r="P642">
        <v>76</v>
      </c>
      <c r="Q642" t="s">
        <v>99</v>
      </c>
      <c r="R642">
        <v>30</v>
      </c>
      <c r="S642" s="19">
        <v>0.79166666666666663</v>
      </c>
      <c r="T642">
        <v>0</v>
      </c>
      <c r="U642" s="19">
        <v>0.54166666666666663</v>
      </c>
      <c r="V642" t="s">
        <v>99</v>
      </c>
      <c r="W642">
        <v>7.5</v>
      </c>
      <c r="X642" t="s">
        <v>102</v>
      </c>
      <c r="Y642" t="b">
        <v>0</v>
      </c>
    </row>
    <row r="643" spans="1:25" x14ac:dyDescent="0.55000000000000004">
      <c r="A643" t="s">
        <v>94</v>
      </c>
      <c r="B643" t="s">
        <v>173</v>
      </c>
      <c r="C643" t="s">
        <v>96</v>
      </c>
      <c r="D643" t="s">
        <v>174</v>
      </c>
      <c r="E643" t="s">
        <v>222</v>
      </c>
      <c r="F643" t="s">
        <v>118</v>
      </c>
      <c r="G643">
        <v>21381</v>
      </c>
      <c r="H643" t="s">
        <v>226</v>
      </c>
      <c r="I643">
        <v>2</v>
      </c>
      <c r="J643" t="s">
        <v>104</v>
      </c>
      <c r="K643" s="19">
        <v>0.58333333333333337</v>
      </c>
      <c r="L643" s="19">
        <v>0.91666666666666663</v>
      </c>
      <c r="M643">
        <v>8</v>
      </c>
      <c r="N643">
        <v>0</v>
      </c>
      <c r="O643">
        <v>60</v>
      </c>
      <c r="P643">
        <v>76</v>
      </c>
      <c r="Q643" t="s">
        <v>99</v>
      </c>
      <c r="R643">
        <v>30</v>
      </c>
      <c r="S643" s="19">
        <v>0.79166666666666663</v>
      </c>
      <c r="T643">
        <v>0</v>
      </c>
      <c r="U643" s="19">
        <v>0.54166666666666663</v>
      </c>
      <c r="V643" t="s">
        <v>99</v>
      </c>
      <c r="W643">
        <v>7.5</v>
      </c>
      <c r="X643" t="s">
        <v>102</v>
      </c>
      <c r="Y643" t="b">
        <v>0</v>
      </c>
    </row>
    <row r="644" spans="1:25" x14ac:dyDescent="0.55000000000000004">
      <c r="A644" t="s">
        <v>94</v>
      </c>
      <c r="B644" t="s">
        <v>173</v>
      </c>
      <c r="C644" t="s">
        <v>96</v>
      </c>
      <c r="D644" t="s">
        <v>174</v>
      </c>
      <c r="E644" t="s">
        <v>222</v>
      </c>
      <c r="F644" t="s">
        <v>118</v>
      </c>
      <c r="G644">
        <v>21589</v>
      </c>
      <c r="H644" t="s">
        <v>227</v>
      </c>
      <c r="I644">
        <v>1</v>
      </c>
      <c r="J644" t="s">
        <v>107</v>
      </c>
      <c r="K644" s="19">
        <v>0.58333333333333337</v>
      </c>
      <c r="L644" s="19">
        <v>0.91666666666666663</v>
      </c>
      <c r="M644">
        <v>8</v>
      </c>
      <c r="N644">
        <v>299.7</v>
      </c>
      <c r="O644">
        <v>60</v>
      </c>
      <c r="P644">
        <v>76</v>
      </c>
      <c r="Q644" t="s">
        <v>99</v>
      </c>
      <c r="R644">
        <v>30</v>
      </c>
      <c r="S644" s="19">
        <v>0.79166666666666663</v>
      </c>
      <c r="T644">
        <v>0</v>
      </c>
      <c r="U644" s="19">
        <v>0.54166666666666663</v>
      </c>
      <c r="V644" t="s">
        <v>99</v>
      </c>
      <c r="W644">
        <v>7.5</v>
      </c>
      <c r="X644" t="s">
        <v>102</v>
      </c>
      <c r="Y644" t="b">
        <v>0</v>
      </c>
    </row>
    <row r="645" spans="1:25" x14ac:dyDescent="0.55000000000000004">
      <c r="A645" t="s">
        <v>94</v>
      </c>
      <c r="B645" t="s">
        <v>173</v>
      </c>
      <c r="C645" t="s">
        <v>96</v>
      </c>
      <c r="D645" t="s">
        <v>174</v>
      </c>
      <c r="E645" t="s">
        <v>222</v>
      </c>
      <c r="F645" t="s">
        <v>118</v>
      </c>
      <c r="G645">
        <v>24060</v>
      </c>
      <c r="H645" t="s">
        <v>228</v>
      </c>
      <c r="I645">
        <v>1</v>
      </c>
      <c r="J645" t="s">
        <v>107</v>
      </c>
      <c r="K645" s="19">
        <v>0.58333333333333337</v>
      </c>
      <c r="L645" s="19">
        <v>0.91666666666666663</v>
      </c>
      <c r="M645">
        <v>8</v>
      </c>
      <c r="N645">
        <v>281.39</v>
      </c>
      <c r="O645">
        <v>60</v>
      </c>
      <c r="P645">
        <v>76</v>
      </c>
      <c r="Q645" t="s">
        <v>99</v>
      </c>
      <c r="R645">
        <v>30</v>
      </c>
      <c r="S645" s="19">
        <v>0.79166666666666663</v>
      </c>
      <c r="T645">
        <v>0</v>
      </c>
      <c r="U645" s="19">
        <v>0</v>
      </c>
      <c r="V645" t="s">
        <v>99</v>
      </c>
      <c r="W645">
        <v>7.5</v>
      </c>
      <c r="X645" t="s">
        <v>102</v>
      </c>
      <c r="Y645" t="b">
        <v>0</v>
      </c>
    </row>
    <row r="646" spans="1:25" x14ac:dyDescent="0.55000000000000004">
      <c r="A646" t="s">
        <v>94</v>
      </c>
      <c r="B646" t="s">
        <v>173</v>
      </c>
      <c r="C646" t="s">
        <v>96</v>
      </c>
      <c r="D646" t="s">
        <v>174</v>
      </c>
      <c r="E646" t="s">
        <v>222</v>
      </c>
      <c r="F646" t="s">
        <v>118</v>
      </c>
      <c r="G646">
        <v>24060</v>
      </c>
      <c r="H646" t="s">
        <v>228</v>
      </c>
      <c r="I646">
        <v>1</v>
      </c>
      <c r="J646" t="s">
        <v>101</v>
      </c>
      <c r="K646" s="19">
        <v>0.58333333333333337</v>
      </c>
      <c r="L646" s="19">
        <v>0.91666666666666663</v>
      </c>
      <c r="M646">
        <v>8</v>
      </c>
      <c r="N646">
        <v>281.39</v>
      </c>
      <c r="O646">
        <v>60</v>
      </c>
      <c r="P646">
        <v>76</v>
      </c>
      <c r="Q646" t="s">
        <v>99</v>
      </c>
      <c r="R646">
        <v>30</v>
      </c>
      <c r="S646" s="19">
        <v>0.79166666666666663</v>
      </c>
      <c r="T646">
        <v>0</v>
      </c>
      <c r="U646" s="19">
        <v>0</v>
      </c>
      <c r="V646" t="s">
        <v>99</v>
      </c>
      <c r="W646">
        <v>7.5</v>
      </c>
      <c r="X646" t="s">
        <v>102</v>
      </c>
      <c r="Y646" t="b">
        <v>0</v>
      </c>
    </row>
    <row r="647" spans="1:25" x14ac:dyDescent="0.55000000000000004">
      <c r="A647" t="s">
        <v>94</v>
      </c>
      <c r="B647" t="s">
        <v>173</v>
      </c>
      <c r="C647" t="s">
        <v>96</v>
      </c>
      <c r="D647" t="s">
        <v>174</v>
      </c>
      <c r="E647" t="s">
        <v>222</v>
      </c>
      <c r="F647" t="s">
        <v>118</v>
      </c>
      <c r="G647">
        <v>24060</v>
      </c>
      <c r="H647" t="s">
        <v>228</v>
      </c>
      <c r="I647">
        <v>1</v>
      </c>
      <c r="J647" t="s">
        <v>115</v>
      </c>
      <c r="K647" s="19">
        <v>0.58333333333333337</v>
      </c>
      <c r="L647" s="19">
        <v>0.91666666666666663</v>
      </c>
      <c r="M647">
        <v>8</v>
      </c>
      <c r="N647">
        <v>375.19</v>
      </c>
      <c r="O647">
        <v>60</v>
      </c>
      <c r="P647">
        <v>76</v>
      </c>
      <c r="Q647" t="s">
        <v>99</v>
      </c>
      <c r="R647">
        <v>30</v>
      </c>
      <c r="S647" s="19">
        <v>0.79166666666666663</v>
      </c>
      <c r="T647">
        <v>0</v>
      </c>
      <c r="U647" s="19">
        <v>0</v>
      </c>
      <c r="V647" t="s">
        <v>99</v>
      </c>
      <c r="W647">
        <v>7.5</v>
      </c>
      <c r="X647" t="s">
        <v>102</v>
      </c>
      <c r="Y647" t="b">
        <v>0</v>
      </c>
    </row>
    <row r="648" spans="1:25" x14ac:dyDescent="0.55000000000000004">
      <c r="A648" t="s">
        <v>94</v>
      </c>
      <c r="B648" t="s">
        <v>173</v>
      </c>
      <c r="C648" t="s">
        <v>96</v>
      </c>
      <c r="D648" t="s">
        <v>174</v>
      </c>
      <c r="E648" t="s">
        <v>222</v>
      </c>
      <c r="F648" t="s">
        <v>118</v>
      </c>
      <c r="G648">
        <v>24060</v>
      </c>
      <c r="H648" t="s">
        <v>228</v>
      </c>
      <c r="I648">
        <v>1</v>
      </c>
      <c r="J648" t="s">
        <v>116</v>
      </c>
      <c r="K648" s="19">
        <v>0.58333333333333337</v>
      </c>
      <c r="L648" s="19">
        <v>0.91666666666666663</v>
      </c>
      <c r="M648">
        <v>8</v>
      </c>
      <c r="N648">
        <v>437.72</v>
      </c>
      <c r="O648">
        <v>60</v>
      </c>
      <c r="P648">
        <v>76</v>
      </c>
      <c r="Q648" t="s">
        <v>99</v>
      </c>
      <c r="R648">
        <v>30</v>
      </c>
      <c r="S648" s="19">
        <v>0.79166666666666663</v>
      </c>
      <c r="T648">
        <v>0</v>
      </c>
      <c r="U648" s="19">
        <v>0</v>
      </c>
      <c r="V648" t="s">
        <v>99</v>
      </c>
      <c r="W648">
        <v>7.5</v>
      </c>
      <c r="X648" t="s">
        <v>102</v>
      </c>
      <c r="Y648" t="b">
        <v>0</v>
      </c>
    </row>
    <row r="649" spans="1:25" x14ac:dyDescent="0.55000000000000004">
      <c r="A649" t="s">
        <v>94</v>
      </c>
      <c r="B649" t="s">
        <v>173</v>
      </c>
      <c r="C649" t="s">
        <v>96</v>
      </c>
      <c r="D649" t="s">
        <v>174</v>
      </c>
      <c r="E649" t="s">
        <v>222</v>
      </c>
      <c r="F649" t="s">
        <v>118</v>
      </c>
      <c r="G649">
        <v>24060</v>
      </c>
      <c r="H649" t="s">
        <v>228</v>
      </c>
      <c r="I649">
        <v>2</v>
      </c>
      <c r="J649" t="s">
        <v>101</v>
      </c>
      <c r="K649" s="19">
        <v>0.58333333333333337</v>
      </c>
      <c r="L649" s="19">
        <v>0.91666666666666663</v>
      </c>
      <c r="M649">
        <v>8</v>
      </c>
      <c r="N649">
        <v>281.39</v>
      </c>
      <c r="O649">
        <v>60</v>
      </c>
      <c r="P649">
        <v>76</v>
      </c>
      <c r="Q649" t="s">
        <v>99</v>
      </c>
      <c r="R649">
        <v>30</v>
      </c>
      <c r="S649" s="19">
        <v>0.79166666666666663</v>
      </c>
      <c r="T649">
        <v>0</v>
      </c>
      <c r="U649" s="19">
        <v>0.54166666666666663</v>
      </c>
      <c r="V649" t="s">
        <v>99</v>
      </c>
      <c r="W649">
        <v>7.5</v>
      </c>
      <c r="X649" t="s">
        <v>102</v>
      </c>
      <c r="Y649" t="b">
        <v>0</v>
      </c>
    </row>
    <row r="650" spans="1:25" x14ac:dyDescent="0.55000000000000004">
      <c r="A650" t="s">
        <v>94</v>
      </c>
      <c r="B650" t="s">
        <v>173</v>
      </c>
      <c r="C650" t="s">
        <v>96</v>
      </c>
      <c r="D650" t="s">
        <v>174</v>
      </c>
      <c r="E650" t="s">
        <v>222</v>
      </c>
      <c r="F650" t="s">
        <v>118</v>
      </c>
      <c r="G650">
        <v>24060</v>
      </c>
      <c r="H650" t="s">
        <v>228</v>
      </c>
      <c r="I650">
        <v>2</v>
      </c>
      <c r="J650" t="s">
        <v>115</v>
      </c>
      <c r="K650" s="19">
        <v>0.58333333333333337</v>
      </c>
      <c r="L650" s="19">
        <v>0.91666666666666663</v>
      </c>
      <c r="M650">
        <v>8</v>
      </c>
      <c r="N650">
        <v>375.19</v>
      </c>
      <c r="O650">
        <v>60</v>
      </c>
      <c r="P650">
        <v>76</v>
      </c>
      <c r="Q650" t="s">
        <v>99</v>
      </c>
      <c r="R650">
        <v>30</v>
      </c>
      <c r="S650" s="19">
        <v>0.79166666666666663</v>
      </c>
      <c r="T650">
        <v>0</v>
      </c>
      <c r="U650" s="19">
        <v>0</v>
      </c>
      <c r="V650" t="s">
        <v>99</v>
      </c>
      <c r="W650">
        <v>7.5</v>
      </c>
      <c r="X650" t="s">
        <v>102</v>
      </c>
      <c r="Y650" t="b">
        <v>0</v>
      </c>
    </row>
    <row r="651" spans="1:25" x14ac:dyDescent="0.55000000000000004">
      <c r="A651" t="s">
        <v>94</v>
      </c>
      <c r="B651" t="s">
        <v>173</v>
      </c>
      <c r="C651" t="s">
        <v>96</v>
      </c>
      <c r="D651" t="s">
        <v>174</v>
      </c>
      <c r="E651" t="s">
        <v>222</v>
      </c>
      <c r="F651" t="s">
        <v>118</v>
      </c>
      <c r="G651">
        <v>24562</v>
      </c>
      <c r="H651" t="s">
        <v>229</v>
      </c>
      <c r="I651">
        <v>2</v>
      </c>
      <c r="J651" t="s">
        <v>104</v>
      </c>
      <c r="K651" s="19">
        <v>0.58333333333333337</v>
      </c>
      <c r="L651" s="19">
        <v>0.91666666666666663</v>
      </c>
      <c r="M651">
        <v>8</v>
      </c>
      <c r="N651">
        <v>296.24</v>
      </c>
      <c r="O651">
        <v>52.5</v>
      </c>
      <c r="P651">
        <v>76</v>
      </c>
      <c r="Q651" t="s">
        <v>99</v>
      </c>
      <c r="R651">
        <v>30</v>
      </c>
      <c r="S651" s="19">
        <v>0.79166666666666663</v>
      </c>
      <c r="T651">
        <v>0</v>
      </c>
      <c r="U651" s="19">
        <v>0</v>
      </c>
      <c r="V651" t="s">
        <v>99</v>
      </c>
      <c r="W651">
        <v>7.5</v>
      </c>
      <c r="X651" t="s">
        <v>102</v>
      </c>
      <c r="Y651" t="b">
        <v>0</v>
      </c>
    </row>
    <row r="652" spans="1:25" x14ac:dyDescent="0.55000000000000004">
      <c r="A652" t="s">
        <v>94</v>
      </c>
      <c r="B652" t="s">
        <v>173</v>
      </c>
      <c r="C652" t="s">
        <v>96</v>
      </c>
      <c r="D652" t="s">
        <v>174</v>
      </c>
      <c r="E652" t="s">
        <v>222</v>
      </c>
      <c r="F652" t="s">
        <v>118</v>
      </c>
      <c r="G652">
        <v>24819</v>
      </c>
      <c r="H652" t="s">
        <v>230</v>
      </c>
      <c r="I652">
        <v>1</v>
      </c>
      <c r="J652" t="s">
        <v>105</v>
      </c>
      <c r="K652" s="19">
        <v>0.5625</v>
      </c>
      <c r="L652" s="19">
        <v>0.91666666666666663</v>
      </c>
      <c r="M652">
        <v>8.5</v>
      </c>
      <c r="N652">
        <v>315.99</v>
      </c>
      <c r="O652">
        <v>76</v>
      </c>
      <c r="P652">
        <v>76</v>
      </c>
      <c r="Q652" t="s">
        <v>99</v>
      </c>
      <c r="R652">
        <v>30</v>
      </c>
      <c r="S652" s="19">
        <v>0.77083333333333337</v>
      </c>
      <c r="T652">
        <v>0</v>
      </c>
      <c r="U652" s="19">
        <v>0.54166666666666663</v>
      </c>
      <c r="V652" t="s">
        <v>99</v>
      </c>
      <c r="W652">
        <v>8</v>
      </c>
      <c r="X652" t="s">
        <v>102</v>
      </c>
      <c r="Y652" t="b">
        <v>0</v>
      </c>
    </row>
    <row r="653" spans="1:25" x14ac:dyDescent="0.55000000000000004">
      <c r="A653" t="s">
        <v>94</v>
      </c>
      <c r="B653" t="s">
        <v>173</v>
      </c>
      <c r="C653" t="s">
        <v>96</v>
      </c>
      <c r="D653" t="s">
        <v>174</v>
      </c>
      <c r="E653" t="s">
        <v>222</v>
      </c>
      <c r="F653" t="s">
        <v>118</v>
      </c>
      <c r="G653">
        <v>24819</v>
      </c>
      <c r="H653" t="s">
        <v>230</v>
      </c>
      <c r="I653">
        <v>2</v>
      </c>
      <c r="J653" t="s">
        <v>115</v>
      </c>
      <c r="K653" s="19">
        <v>0.58333333333333337</v>
      </c>
      <c r="L653" s="19">
        <v>0.91666666666666663</v>
      </c>
      <c r="M653">
        <v>8</v>
      </c>
      <c r="N653">
        <v>394.99</v>
      </c>
      <c r="O653">
        <v>76</v>
      </c>
      <c r="P653">
        <v>76</v>
      </c>
      <c r="Q653" t="s">
        <v>99</v>
      </c>
      <c r="R653">
        <v>30</v>
      </c>
      <c r="S653" s="19">
        <v>0.79166666666666663</v>
      </c>
      <c r="T653">
        <v>0</v>
      </c>
      <c r="U653" s="19">
        <v>0.54166666666666663</v>
      </c>
      <c r="V653" t="s">
        <v>99</v>
      </c>
      <c r="W653">
        <v>7.5</v>
      </c>
      <c r="X653" t="s">
        <v>102</v>
      </c>
      <c r="Y653" t="b">
        <v>0</v>
      </c>
    </row>
    <row r="654" spans="1:25" x14ac:dyDescent="0.55000000000000004">
      <c r="A654" t="s">
        <v>94</v>
      </c>
      <c r="B654" t="s">
        <v>173</v>
      </c>
      <c r="C654" t="s">
        <v>96</v>
      </c>
      <c r="D654" t="s">
        <v>174</v>
      </c>
      <c r="E654" t="s">
        <v>222</v>
      </c>
      <c r="F654" t="s">
        <v>118</v>
      </c>
      <c r="G654">
        <v>24819</v>
      </c>
      <c r="H654" t="s">
        <v>230</v>
      </c>
      <c r="I654">
        <v>2</v>
      </c>
      <c r="J654" t="s">
        <v>103</v>
      </c>
      <c r="K654" s="19">
        <v>0.58333333333333337</v>
      </c>
      <c r="L654" s="19">
        <v>0.91666666666666663</v>
      </c>
      <c r="M654">
        <v>8</v>
      </c>
      <c r="N654">
        <v>296.24</v>
      </c>
      <c r="O654">
        <v>76</v>
      </c>
      <c r="P654">
        <v>76</v>
      </c>
      <c r="Q654" t="s">
        <v>99</v>
      </c>
      <c r="R654">
        <v>30</v>
      </c>
      <c r="S654" s="19">
        <v>0.79166666666666663</v>
      </c>
      <c r="T654">
        <v>0</v>
      </c>
      <c r="U654" s="19">
        <v>0</v>
      </c>
      <c r="V654" t="s">
        <v>99</v>
      </c>
      <c r="W654">
        <v>7.5</v>
      </c>
      <c r="X654" t="s">
        <v>102</v>
      </c>
      <c r="Y654" t="b">
        <v>0</v>
      </c>
    </row>
    <row r="655" spans="1:25" x14ac:dyDescent="0.55000000000000004">
      <c r="A655" t="s">
        <v>94</v>
      </c>
      <c r="B655" t="s">
        <v>173</v>
      </c>
      <c r="C655" t="s">
        <v>96</v>
      </c>
      <c r="D655" t="s">
        <v>174</v>
      </c>
      <c r="E655" t="s">
        <v>222</v>
      </c>
      <c r="F655" t="s">
        <v>118</v>
      </c>
      <c r="G655">
        <v>25109</v>
      </c>
      <c r="H655" t="s">
        <v>231</v>
      </c>
      <c r="I655">
        <v>1</v>
      </c>
      <c r="J655" t="s">
        <v>115</v>
      </c>
      <c r="K655" s="19">
        <v>0.58333333333333337</v>
      </c>
      <c r="L655" s="19">
        <v>0.91666666666666663</v>
      </c>
      <c r="M655">
        <v>8</v>
      </c>
      <c r="N655">
        <v>394.99</v>
      </c>
      <c r="O655">
        <v>76</v>
      </c>
      <c r="P655">
        <v>76</v>
      </c>
      <c r="Q655" t="s">
        <v>99</v>
      </c>
      <c r="R655">
        <v>30</v>
      </c>
      <c r="S655" s="19">
        <v>0.79166666666666663</v>
      </c>
      <c r="T655">
        <v>0</v>
      </c>
      <c r="U655" s="19">
        <v>0.54166666666666663</v>
      </c>
      <c r="V655" t="s">
        <v>99</v>
      </c>
      <c r="W655">
        <v>7.5</v>
      </c>
      <c r="X655" t="s">
        <v>102</v>
      </c>
      <c r="Y655" t="b">
        <v>0</v>
      </c>
    </row>
    <row r="656" spans="1:25" x14ac:dyDescent="0.55000000000000004">
      <c r="A656" t="s">
        <v>94</v>
      </c>
      <c r="B656" t="s">
        <v>173</v>
      </c>
      <c r="C656" t="s">
        <v>96</v>
      </c>
      <c r="D656" t="s">
        <v>174</v>
      </c>
      <c r="E656" t="s">
        <v>222</v>
      </c>
      <c r="F656" t="s">
        <v>118</v>
      </c>
      <c r="G656">
        <v>25109</v>
      </c>
      <c r="H656" t="s">
        <v>231</v>
      </c>
      <c r="I656">
        <v>1</v>
      </c>
      <c r="J656" t="s">
        <v>103</v>
      </c>
      <c r="K656" s="19">
        <v>0.58333333333333337</v>
      </c>
      <c r="L656" s="19">
        <v>0.91666666666666663</v>
      </c>
      <c r="M656">
        <v>8</v>
      </c>
      <c r="N656">
        <v>296.24</v>
      </c>
      <c r="O656">
        <v>76</v>
      </c>
      <c r="P656">
        <v>76</v>
      </c>
      <c r="Q656" t="s">
        <v>99</v>
      </c>
      <c r="R656">
        <v>30</v>
      </c>
      <c r="S656" s="19">
        <v>0.79166666666666663</v>
      </c>
      <c r="T656">
        <v>0</v>
      </c>
      <c r="U656" s="19">
        <v>0.54166666666666663</v>
      </c>
      <c r="V656" t="s">
        <v>99</v>
      </c>
      <c r="W656">
        <v>7.5</v>
      </c>
      <c r="X656" t="s">
        <v>102</v>
      </c>
      <c r="Y656" t="b">
        <v>0</v>
      </c>
    </row>
    <row r="657" spans="1:25" x14ac:dyDescent="0.55000000000000004">
      <c r="A657" t="s">
        <v>94</v>
      </c>
      <c r="B657" t="s">
        <v>173</v>
      </c>
      <c r="C657" t="s">
        <v>96</v>
      </c>
      <c r="D657" t="s">
        <v>174</v>
      </c>
      <c r="E657" t="s">
        <v>222</v>
      </c>
      <c r="F657" t="s">
        <v>118</v>
      </c>
      <c r="G657">
        <v>25175</v>
      </c>
      <c r="H657" t="s">
        <v>201</v>
      </c>
      <c r="I657">
        <v>1</v>
      </c>
      <c r="J657" t="s">
        <v>101</v>
      </c>
      <c r="K657" s="19">
        <v>0.58333333333333337</v>
      </c>
      <c r="L657" s="19">
        <v>0.91666666666666663</v>
      </c>
      <c r="M657">
        <v>8</v>
      </c>
      <c r="N657">
        <v>296.24</v>
      </c>
      <c r="O657">
        <v>75</v>
      </c>
      <c r="P657">
        <v>76</v>
      </c>
      <c r="Q657" t="s">
        <v>99</v>
      </c>
      <c r="R657">
        <v>30</v>
      </c>
      <c r="S657" s="19">
        <v>0.79166666666666663</v>
      </c>
      <c r="T657">
        <v>0</v>
      </c>
      <c r="U657" s="19">
        <v>0.54166666666666663</v>
      </c>
      <c r="V657" t="s">
        <v>99</v>
      </c>
      <c r="W657">
        <v>7.5</v>
      </c>
      <c r="X657" t="s">
        <v>102</v>
      </c>
      <c r="Y657" t="b">
        <v>0</v>
      </c>
    </row>
    <row r="658" spans="1:25" x14ac:dyDescent="0.55000000000000004">
      <c r="A658" t="s">
        <v>94</v>
      </c>
      <c r="B658" t="s">
        <v>173</v>
      </c>
      <c r="C658" t="s">
        <v>96</v>
      </c>
      <c r="D658" t="s">
        <v>174</v>
      </c>
      <c r="E658" t="s">
        <v>222</v>
      </c>
      <c r="F658" t="s">
        <v>118</v>
      </c>
      <c r="G658">
        <v>25175</v>
      </c>
      <c r="H658" t="s">
        <v>201</v>
      </c>
      <c r="I658">
        <v>1</v>
      </c>
      <c r="J658" t="s">
        <v>105</v>
      </c>
      <c r="K658" s="19">
        <v>0.58333333333333337</v>
      </c>
      <c r="L658" s="19">
        <v>0.91666666666666663</v>
      </c>
      <c r="M658">
        <v>8</v>
      </c>
      <c r="N658">
        <v>296.24</v>
      </c>
      <c r="O658">
        <v>75</v>
      </c>
      <c r="P658">
        <v>76</v>
      </c>
      <c r="Q658" t="s">
        <v>99</v>
      </c>
      <c r="R658">
        <v>30</v>
      </c>
      <c r="S658" s="19">
        <v>0.79166666666666663</v>
      </c>
      <c r="T658">
        <v>0</v>
      </c>
      <c r="U658" s="19">
        <v>0.54166666666666663</v>
      </c>
      <c r="V658" t="s">
        <v>99</v>
      </c>
      <c r="W658">
        <v>7.5</v>
      </c>
      <c r="X658" t="s">
        <v>102</v>
      </c>
      <c r="Y658" t="b">
        <v>0</v>
      </c>
    </row>
    <row r="659" spans="1:25" x14ac:dyDescent="0.55000000000000004">
      <c r="A659" t="s">
        <v>94</v>
      </c>
      <c r="B659" t="s">
        <v>173</v>
      </c>
      <c r="C659" t="s">
        <v>96</v>
      </c>
      <c r="D659" t="s">
        <v>174</v>
      </c>
      <c r="E659" t="s">
        <v>222</v>
      </c>
      <c r="F659" t="s">
        <v>118</v>
      </c>
      <c r="G659">
        <v>25175</v>
      </c>
      <c r="H659" t="s">
        <v>201</v>
      </c>
      <c r="I659">
        <v>2</v>
      </c>
      <c r="J659" t="s">
        <v>107</v>
      </c>
      <c r="K659" s="19">
        <v>0.58333333333333337</v>
      </c>
      <c r="L659" s="19">
        <v>0.91666666666666663</v>
      </c>
      <c r="M659">
        <v>8</v>
      </c>
      <c r="N659">
        <v>296.24</v>
      </c>
      <c r="O659">
        <v>75</v>
      </c>
      <c r="P659">
        <v>76</v>
      </c>
      <c r="Q659" t="s">
        <v>99</v>
      </c>
      <c r="R659">
        <v>30</v>
      </c>
      <c r="S659" s="19">
        <v>0.79166666666666663</v>
      </c>
      <c r="T659">
        <v>0</v>
      </c>
      <c r="U659" s="19">
        <v>0.54166666666666663</v>
      </c>
      <c r="V659" t="s">
        <v>99</v>
      </c>
      <c r="W659">
        <v>7.5</v>
      </c>
      <c r="X659" t="s">
        <v>102</v>
      </c>
      <c r="Y659" t="b">
        <v>0</v>
      </c>
    </row>
    <row r="660" spans="1:25" x14ac:dyDescent="0.55000000000000004">
      <c r="A660" t="s">
        <v>94</v>
      </c>
      <c r="B660" t="s">
        <v>173</v>
      </c>
      <c r="C660" t="s">
        <v>96</v>
      </c>
      <c r="D660" t="s">
        <v>174</v>
      </c>
      <c r="E660" t="s">
        <v>222</v>
      </c>
      <c r="F660" t="s">
        <v>118</v>
      </c>
      <c r="G660">
        <v>25175</v>
      </c>
      <c r="H660" t="s">
        <v>201</v>
      </c>
      <c r="I660">
        <v>2</v>
      </c>
      <c r="J660" t="s">
        <v>103</v>
      </c>
      <c r="K660" s="19">
        <v>0.58333333333333337</v>
      </c>
      <c r="L660" s="19">
        <v>0.91666666666666663</v>
      </c>
      <c r="M660">
        <v>8</v>
      </c>
      <c r="N660">
        <v>296.24</v>
      </c>
      <c r="O660">
        <v>75</v>
      </c>
      <c r="P660">
        <v>76</v>
      </c>
      <c r="Q660" t="s">
        <v>99</v>
      </c>
      <c r="R660">
        <v>30</v>
      </c>
      <c r="S660" s="19">
        <v>0.79166666666666663</v>
      </c>
      <c r="T660">
        <v>0</v>
      </c>
      <c r="U660" s="19">
        <v>0.54166666666666663</v>
      </c>
      <c r="V660" t="s">
        <v>99</v>
      </c>
      <c r="W660">
        <v>7.5</v>
      </c>
      <c r="X660" t="s">
        <v>102</v>
      </c>
      <c r="Y660" t="b">
        <v>0</v>
      </c>
    </row>
    <row r="661" spans="1:25" x14ac:dyDescent="0.55000000000000004">
      <c r="A661" t="s">
        <v>94</v>
      </c>
      <c r="B661" t="s">
        <v>173</v>
      </c>
      <c r="C661" t="s">
        <v>96</v>
      </c>
      <c r="D661" t="s">
        <v>174</v>
      </c>
      <c r="E661" t="s">
        <v>222</v>
      </c>
      <c r="F661" t="s">
        <v>118</v>
      </c>
      <c r="G661">
        <v>25175</v>
      </c>
      <c r="H661" t="s">
        <v>201</v>
      </c>
      <c r="I661">
        <v>2</v>
      </c>
      <c r="J661" t="s">
        <v>105</v>
      </c>
      <c r="K661" s="19">
        <v>0.58333333333333337</v>
      </c>
      <c r="L661" s="19">
        <v>0.91666666666666663</v>
      </c>
      <c r="M661">
        <v>8</v>
      </c>
      <c r="N661">
        <v>296.24</v>
      </c>
      <c r="O661">
        <v>75</v>
      </c>
      <c r="P661">
        <v>76</v>
      </c>
      <c r="Q661" t="s">
        <v>99</v>
      </c>
      <c r="R661">
        <v>30</v>
      </c>
      <c r="S661" s="19">
        <v>0.79166666666666663</v>
      </c>
      <c r="T661">
        <v>0</v>
      </c>
      <c r="U661" s="19">
        <v>0.54166666666666663</v>
      </c>
      <c r="V661" t="s">
        <v>99</v>
      </c>
      <c r="W661">
        <v>7.5</v>
      </c>
      <c r="X661" t="s">
        <v>102</v>
      </c>
      <c r="Y661" t="b">
        <v>0</v>
      </c>
    </row>
    <row r="662" spans="1:25" x14ac:dyDescent="0.55000000000000004">
      <c r="A662" t="s">
        <v>94</v>
      </c>
      <c r="B662" t="s">
        <v>173</v>
      </c>
      <c r="C662" t="s">
        <v>96</v>
      </c>
      <c r="D662" t="s">
        <v>174</v>
      </c>
      <c r="E662" t="s">
        <v>222</v>
      </c>
      <c r="F662" t="s">
        <v>118</v>
      </c>
      <c r="G662">
        <v>25302</v>
      </c>
      <c r="H662" t="s">
        <v>232</v>
      </c>
      <c r="I662">
        <v>1</v>
      </c>
      <c r="J662" t="s">
        <v>107</v>
      </c>
      <c r="K662" s="19">
        <v>0.58333333333333337</v>
      </c>
      <c r="L662" s="19">
        <v>0.91666666666666663</v>
      </c>
      <c r="M662">
        <v>8</v>
      </c>
      <c r="N662">
        <v>296.24</v>
      </c>
      <c r="O662">
        <v>60</v>
      </c>
      <c r="P662">
        <v>76</v>
      </c>
      <c r="Q662" t="s">
        <v>99</v>
      </c>
      <c r="R662">
        <v>30</v>
      </c>
      <c r="S662" s="19">
        <v>0.79166666666666663</v>
      </c>
      <c r="T662">
        <v>0</v>
      </c>
      <c r="U662" s="19">
        <v>0</v>
      </c>
      <c r="V662" t="s">
        <v>99</v>
      </c>
      <c r="W662">
        <v>7.5</v>
      </c>
      <c r="X662" t="s">
        <v>102</v>
      </c>
      <c r="Y662" t="b">
        <v>0</v>
      </c>
    </row>
    <row r="663" spans="1:25" x14ac:dyDescent="0.55000000000000004">
      <c r="A663" t="s">
        <v>94</v>
      </c>
      <c r="B663" t="s">
        <v>173</v>
      </c>
      <c r="C663" t="s">
        <v>96</v>
      </c>
      <c r="D663" t="s">
        <v>174</v>
      </c>
      <c r="E663" t="s">
        <v>222</v>
      </c>
      <c r="F663" t="s">
        <v>118</v>
      </c>
      <c r="G663">
        <v>25302</v>
      </c>
      <c r="H663" t="s">
        <v>232</v>
      </c>
      <c r="I663">
        <v>1</v>
      </c>
      <c r="J663" t="s">
        <v>115</v>
      </c>
      <c r="K663" s="19">
        <v>0.58333333333333337</v>
      </c>
      <c r="L663" s="19">
        <v>0.91666666666666663</v>
      </c>
      <c r="M663">
        <v>8</v>
      </c>
      <c r="N663">
        <v>394.99</v>
      </c>
      <c r="O663">
        <v>60</v>
      </c>
      <c r="P663">
        <v>76</v>
      </c>
      <c r="Q663" t="s">
        <v>99</v>
      </c>
      <c r="R663">
        <v>30</v>
      </c>
      <c r="S663" s="19">
        <v>0.79166666666666663</v>
      </c>
      <c r="T663">
        <v>0</v>
      </c>
      <c r="U663" s="19">
        <v>0.54166666666666663</v>
      </c>
      <c r="V663" t="s">
        <v>99</v>
      </c>
      <c r="W663">
        <v>7.5</v>
      </c>
      <c r="X663" t="s">
        <v>102</v>
      </c>
      <c r="Y663" t="b">
        <v>0</v>
      </c>
    </row>
    <row r="664" spans="1:25" x14ac:dyDescent="0.55000000000000004">
      <c r="A664" t="s">
        <v>94</v>
      </c>
      <c r="B664" t="s">
        <v>173</v>
      </c>
      <c r="C664" t="s">
        <v>96</v>
      </c>
      <c r="D664" t="s">
        <v>174</v>
      </c>
      <c r="E664" t="s">
        <v>222</v>
      </c>
      <c r="F664" t="s">
        <v>118</v>
      </c>
      <c r="G664">
        <v>25302</v>
      </c>
      <c r="H664" t="s">
        <v>232</v>
      </c>
      <c r="I664">
        <v>1</v>
      </c>
      <c r="J664" t="s">
        <v>103</v>
      </c>
      <c r="K664" s="19">
        <v>0.58333333333333337</v>
      </c>
      <c r="L664" s="19">
        <v>0.91666666666666663</v>
      </c>
      <c r="M664">
        <v>8</v>
      </c>
      <c r="N664">
        <v>296.24</v>
      </c>
      <c r="O664">
        <v>60</v>
      </c>
      <c r="P664">
        <v>76</v>
      </c>
      <c r="Q664" t="s">
        <v>99</v>
      </c>
      <c r="R664">
        <v>30</v>
      </c>
      <c r="S664" s="19">
        <v>0.79166666666666663</v>
      </c>
      <c r="T664">
        <v>0</v>
      </c>
      <c r="U664" s="19">
        <v>0</v>
      </c>
      <c r="V664" t="s">
        <v>99</v>
      </c>
      <c r="W664">
        <v>7.5</v>
      </c>
      <c r="X664" t="s">
        <v>102</v>
      </c>
      <c r="Y664" t="b">
        <v>0</v>
      </c>
    </row>
    <row r="665" spans="1:25" x14ac:dyDescent="0.55000000000000004">
      <c r="A665" t="s">
        <v>94</v>
      </c>
      <c r="B665" t="s">
        <v>173</v>
      </c>
      <c r="C665" t="s">
        <v>96</v>
      </c>
      <c r="D665" t="s">
        <v>174</v>
      </c>
      <c r="E665" t="s">
        <v>222</v>
      </c>
      <c r="F665" t="s">
        <v>118</v>
      </c>
      <c r="G665">
        <v>25302</v>
      </c>
      <c r="H665" t="s">
        <v>232</v>
      </c>
      <c r="I665">
        <v>1</v>
      </c>
      <c r="J665" t="s">
        <v>104</v>
      </c>
      <c r="K665" s="19">
        <v>0.58333333333333337</v>
      </c>
      <c r="L665" s="19">
        <v>0.91666666666666663</v>
      </c>
      <c r="M665">
        <v>8</v>
      </c>
      <c r="N665">
        <v>296.24</v>
      </c>
      <c r="O665">
        <v>60</v>
      </c>
      <c r="P665">
        <v>76</v>
      </c>
      <c r="Q665" t="s">
        <v>99</v>
      </c>
      <c r="R665">
        <v>30</v>
      </c>
      <c r="S665" s="19">
        <v>0.79166666666666663</v>
      </c>
      <c r="T665">
        <v>0</v>
      </c>
      <c r="U665" s="19">
        <v>0.54166666666666663</v>
      </c>
      <c r="V665" t="s">
        <v>99</v>
      </c>
      <c r="W665">
        <v>7.5</v>
      </c>
      <c r="X665" t="s">
        <v>102</v>
      </c>
      <c r="Y665" t="b">
        <v>0</v>
      </c>
    </row>
    <row r="666" spans="1:25" x14ac:dyDescent="0.55000000000000004">
      <c r="A666" t="s">
        <v>94</v>
      </c>
      <c r="B666" t="s">
        <v>173</v>
      </c>
      <c r="C666" t="s">
        <v>96</v>
      </c>
      <c r="D666" t="s">
        <v>174</v>
      </c>
      <c r="E666" t="s">
        <v>222</v>
      </c>
      <c r="F666" t="s">
        <v>118</v>
      </c>
      <c r="G666">
        <v>25302</v>
      </c>
      <c r="H666" t="s">
        <v>232</v>
      </c>
      <c r="I666">
        <v>2</v>
      </c>
      <c r="J666" t="s">
        <v>107</v>
      </c>
      <c r="K666" s="19">
        <v>0.58333333333333337</v>
      </c>
      <c r="L666" s="19">
        <v>0.91666666666666663</v>
      </c>
      <c r="M666">
        <v>8</v>
      </c>
      <c r="N666">
        <v>296.24</v>
      </c>
      <c r="O666">
        <v>60</v>
      </c>
      <c r="P666">
        <v>76</v>
      </c>
      <c r="Q666" t="s">
        <v>99</v>
      </c>
      <c r="R666">
        <v>30</v>
      </c>
      <c r="S666" s="19">
        <v>0.79166666666666663</v>
      </c>
      <c r="T666">
        <v>0</v>
      </c>
      <c r="U666" s="19">
        <v>0.54166666666666663</v>
      </c>
      <c r="V666" t="s">
        <v>99</v>
      </c>
      <c r="W666">
        <v>7.5</v>
      </c>
      <c r="X666" t="s">
        <v>102</v>
      </c>
      <c r="Y666" t="b">
        <v>0</v>
      </c>
    </row>
    <row r="667" spans="1:25" x14ac:dyDescent="0.55000000000000004">
      <c r="A667" t="s">
        <v>94</v>
      </c>
      <c r="B667" t="s">
        <v>173</v>
      </c>
      <c r="C667" t="s">
        <v>96</v>
      </c>
      <c r="D667" t="s">
        <v>174</v>
      </c>
      <c r="E667" t="s">
        <v>222</v>
      </c>
      <c r="F667" t="s">
        <v>118</v>
      </c>
      <c r="G667">
        <v>25302</v>
      </c>
      <c r="H667" t="s">
        <v>232</v>
      </c>
      <c r="I667">
        <v>2</v>
      </c>
      <c r="J667" t="s">
        <v>116</v>
      </c>
      <c r="K667" s="19">
        <v>0.58333333333333337</v>
      </c>
      <c r="L667" s="19">
        <v>0.91666666666666663</v>
      </c>
      <c r="M667">
        <v>8</v>
      </c>
      <c r="N667">
        <v>460.82</v>
      </c>
      <c r="O667">
        <v>60</v>
      </c>
      <c r="P667">
        <v>76</v>
      </c>
      <c r="Q667" t="s">
        <v>99</v>
      </c>
      <c r="R667">
        <v>30</v>
      </c>
      <c r="S667" s="19">
        <v>0.79166666666666663</v>
      </c>
      <c r="T667">
        <v>0</v>
      </c>
      <c r="U667" s="19">
        <v>0.54166666666666663</v>
      </c>
      <c r="V667" t="s">
        <v>99</v>
      </c>
      <c r="W667">
        <v>7.5</v>
      </c>
      <c r="X667" t="s">
        <v>102</v>
      </c>
      <c r="Y667" t="b">
        <v>0</v>
      </c>
    </row>
    <row r="668" spans="1:25" x14ac:dyDescent="0.55000000000000004">
      <c r="A668" t="s">
        <v>94</v>
      </c>
      <c r="B668" t="s">
        <v>173</v>
      </c>
      <c r="C668" t="s">
        <v>96</v>
      </c>
      <c r="D668" t="s">
        <v>174</v>
      </c>
      <c r="E668" t="s">
        <v>222</v>
      </c>
      <c r="F668" t="s">
        <v>118</v>
      </c>
      <c r="G668">
        <v>25376</v>
      </c>
      <c r="H668" t="s">
        <v>233</v>
      </c>
      <c r="I668">
        <v>1</v>
      </c>
      <c r="J668" t="s">
        <v>116</v>
      </c>
      <c r="K668" s="19">
        <v>0.58333333333333337</v>
      </c>
      <c r="L668" s="19">
        <v>0.91666666666666663</v>
      </c>
      <c r="M668">
        <v>8</v>
      </c>
      <c r="N668">
        <v>460.82</v>
      </c>
      <c r="O668">
        <v>52.5</v>
      </c>
      <c r="P668">
        <v>76</v>
      </c>
      <c r="Q668" t="s">
        <v>99</v>
      </c>
      <c r="R668">
        <v>30</v>
      </c>
      <c r="S668" s="19">
        <v>0.79166666666666663</v>
      </c>
      <c r="T668">
        <v>0</v>
      </c>
      <c r="U668" s="19">
        <v>0.54166666666666663</v>
      </c>
      <c r="V668" t="s">
        <v>99</v>
      </c>
      <c r="W668">
        <v>7.5</v>
      </c>
      <c r="X668" t="s">
        <v>102</v>
      </c>
      <c r="Y668" t="b">
        <v>0</v>
      </c>
    </row>
    <row r="669" spans="1:25" x14ac:dyDescent="0.55000000000000004">
      <c r="A669" t="s">
        <v>94</v>
      </c>
      <c r="B669" t="s">
        <v>173</v>
      </c>
      <c r="C669" t="s">
        <v>96</v>
      </c>
      <c r="D669" t="s">
        <v>174</v>
      </c>
      <c r="E669" t="s">
        <v>222</v>
      </c>
      <c r="F669" t="s">
        <v>118</v>
      </c>
      <c r="G669">
        <v>25376</v>
      </c>
      <c r="H669" t="s">
        <v>233</v>
      </c>
      <c r="I669">
        <v>1</v>
      </c>
      <c r="J669" t="s">
        <v>105</v>
      </c>
      <c r="K669" s="19">
        <v>0.58333333333333337</v>
      </c>
      <c r="L669" s="19">
        <v>0.91666666666666663</v>
      </c>
      <c r="M669">
        <v>8</v>
      </c>
      <c r="N669">
        <v>296.24</v>
      </c>
      <c r="O669">
        <v>52.5</v>
      </c>
      <c r="P669">
        <v>76</v>
      </c>
      <c r="Q669" t="s">
        <v>99</v>
      </c>
      <c r="R669">
        <v>30</v>
      </c>
      <c r="S669" s="19">
        <v>0.79166666666666663</v>
      </c>
      <c r="T669">
        <v>0</v>
      </c>
      <c r="U669" s="19">
        <v>0.54166666666666663</v>
      </c>
      <c r="V669" t="s">
        <v>99</v>
      </c>
      <c r="W669">
        <v>7.5</v>
      </c>
      <c r="X669" t="s">
        <v>102</v>
      </c>
      <c r="Y669" t="b">
        <v>0</v>
      </c>
    </row>
    <row r="670" spans="1:25" x14ac:dyDescent="0.55000000000000004">
      <c r="A670" t="s">
        <v>94</v>
      </c>
      <c r="B670" t="s">
        <v>173</v>
      </c>
      <c r="C670" t="s">
        <v>96</v>
      </c>
      <c r="D670" t="s">
        <v>174</v>
      </c>
      <c r="E670" t="s">
        <v>222</v>
      </c>
      <c r="F670" t="s">
        <v>118</v>
      </c>
      <c r="G670">
        <v>25376</v>
      </c>
      <c r="H670" t="s">
        <v>233</v>
      </c>
      <c r="I670">
        <v>2</v>
      </c>
      <c r="J670" t="s">
        <v>101</v>
      </c>
      <c r="K670" s="19">
        <v>0.58333333333333337</v>
      </c>
      <c r="L670" s="19">
        <v>0.91666666666666663</v>
      </c>
      <c r="M670">
        <v>8</v>
      </c>
      <c r="N670">
        <v>296.24</v>
      </c>
      <c r="O670">
        <v>52.5</v>
      </c>
      <c r="P670">
        <v>76</v>
      </c>
      <c r="Q670" t="s">
        <v>99</v>
      </c>
      <c r="R670">
        <v>30</v>
      </c>
      <c r="S670" s="19">
        <v>0.79166666666666663</v>
      </c>
      <c r="T670">
        <v>0</v>
      </c>
      <c r="U670" s="19">
        <v>0.54166666666666663</v>
      </c>
      <c r="V670" t="s">
        <v>99</v>
      </c>
      <c r="W670">
        <v>7.5</v>
      </c>
      <c r="X670" t="s">
        <v>102</v>
      </c>
      <c r="Y670" t="b">
        <v>0</v>
      </c>
    </row>
    <row r="671" spans="1:25" x14ac:dyDescent="0.55000000000000004">
      <c r="A671" t="s">
        <v>94</v>
      </c>
      <c r="B671" t="s">
        <v>173</v>
      </c>
      <c r="C671" t="s">
        <v>96</v>
      </c>
      <c r="D671" t="s">
        <v>174</v>
      </c>
      <c r="E671" t="s">
        <v>222</v>
      </c>
      <c r="F671" t="s">
        <v>118</v>
      </c>
      <c r="G671">
        <v>26014</v>
      </c>
      <c r="H671" t="s">
        <v>197</v>
      </c>
      <c r="I671">
        <v>1</v>
      </c>
      <c r="J671" t="s">
        <v>104</v>
      </c>
      <c r="K671" s="19">
        <v>0.58333333333333337</v>
      </c>
      <c r="L671" s="19">
        <v>0.91666666666666663</v>
      </c>
      <c r="M671">
        <v>8</v>
      </c>
      <c r="N671">
        <v>0</v>
      </c>
      <c r="O671">
        <v>30</v>
      </c>
      <c r="P671">
        <v>76</v>
      </c>
      <c r="Q671" t="s">
        <v>99</v>
      </c>
      <c r="R671">
        <v>30</v>
      </c>
      <c r="S671" s="19">
        <v>0.79166666666666663</v>
      </c>
      <c r="T671">
        <v>0</v>
      </c>
      <c r="U671" s="19">
        <v>0.54166666666666663</v>
      </c>
      <c r="V671" t="s">
        <v>99</v>
      </c>
      <c r="W671">
        <v>7.5</v>
      </c>
      <c r="X671" t="s">
        <v>102</v>
      </c>
      <c r="Y671" t="b">
        <v>0</v>
      </c>
    </row>
    <row r="672" spans="1:25" x14ac:dyDescent="0.55000000000000004">
      <c r="A672" t="s">
        <v>94</v>
      </c>
      <c r="B672" t="s">
        <v>173</v>
      </c>
      <c r="C672" t="s">
        <v>96</v>
      </c>
      <c r="D672" t="s">
        <v>174</v>
      </c>
      <c r="E672" t="s">
        <v>222</v>
      </c>
      <c r="F672" t="s">
        <v>118</v>
      </c>
      <c r="G672">
        <v>26072</v>
      </c>
      <c r="H672" t="s">
        <v>191</v>
      </c>
      <c r="I672">
        <v>1</v>
      </c>
      <c r="J672" t="s">
        <v>103</v>
      </c>
      <c r="K672" s="19">
        <v>0.58333333333333337</v>
      </c>
      <c r="L672" s="19">
        <v>0.91666666666666663</v>
      </c>
      <c r="M672">
        <v>8</v>
      </c>
      <c r="N672">
        <v>0</v>
      </c>
      <c r="O672">
        <v>45</v>
      </c>
      <c r="P672">
        <v>76</v>
      </c>
      <c r="Q672" t="s">
        <v>99</v>
      </c>
      <c r="R672">
        <v>30</v>
      </c>
      <c r="S672" s="19">
        <v>0.79166666666666663</v>
      </c>
      <c r="T672">
        <v>0</v>
      </c>
      <c r="U672" s="19">
        <v>0.54166666666666663</v>
      </c>
      <c r="V672" t="s">
        <v>99</v>
      </c>
      <c r="W672">
        <v>7.5</v>
      </c>
      <c r="X672" t="s">
        <v>102</v>
      </c>
      <c r="Y672" t="b">
        <v>0</v>
      </c>
    </row>
    <row r="673" spans="1:25" x14ac:dyDescent="0.55000000000000004">
      <c r="A673" t="s">
        <v>94</v>
      </c>
      <c r="B673" t="s">
        <v>173</v>
      </c>
      <c r="C673" t="s">
        <v>96</v>
      </c>
      <c r="D673" t="s">
        <v>174</v>
      </c>
      <c r="E673" t="s">
        <v>222</v>
      </c>
      <c r="F673" t="s">
        <v>118</v>
      </c>
      <c r="G673">
        <v>26072</v>
      </c>
      <c r="H673" t="s">
        <v>191</v>
      </c>
      <c r="I673">
        <v>2</v>
      </c>
      <c r="J673" t="s">
        <v>103</v>
      </c>
      <c r="K673" s="19">
        <v>0.58333333333333337</v>
      </c>
      <c r="L673" s="19">
        <v>0.91666666666666663</v>
      </c>
      <c r="M673">
        <v>8</v>
      </c>
      <c r="N673">
        <v>0</v>
      </c>
      <c r="O673">
        <v>45</v>
      </c>
      <c r="P673">
        <v>76</v>
      </c>
      <c r="Q673" t="s">
        <v>99</v>
      </c>
      <c r="R673">
        <v>30</v>
      </c>
      <c r="S673" s="19">
        <v>0.79166666666666663</v>
      </c>
      <c r="T673">
        <v>0</v>
      </c>
      <c r="U673" s="19">
        <v>0.54166666666666663</v>
      </c>
      <c r="V673" t="s">
        <v>99</v>
      </c>
      <c r="W673">
        <v>7.5</v>
      </c>
      <c r="X673" t="s">
        <v>102</v>
      </c>
      <c r="Y673" t="b">
        <v>0</v>
      </c>
    </row>
    <row r="674" spans="1:25" x14ac:dyDescent="0.55000000000000004">
      <c r="A674" t="s">
        <v>94</v>
      </c>
      <c r="B674" t="s">
        <v>173</v>
      </c>
      <c r="C674" t="s">
        <v>96</v>
      </c>
      <c r="D674" t="s">
        <v>174</v>
      </c>
      <c r="E674" t="s">
        <v>222</v>
      </c>
      <c r="F674" t="s">
        <v>118</v>
      </c>
      <c r="G674">
        <v>26072</v>
      </c>
      <c r="H674" t="s">
        <v>191</v>
      </c>
      <c r="I674">
        <v>2</v>
      </c>
      <c r="J674" t="s">
        <v>105</v>
      </c>
      <c r="K674" s="19">
        <v>0.58333333333333337</v>
      </c>
      <c r="L674" s="19">
        <v>0.91666666666666663</v>
      </c>
      <c r="M674">
        <v>8</v>
      </c>
      <c r="N674">
        <v>0</v>
      </c>
      <c r="O674">
        <v>45</v>
      </c>
      <c r="P674">
        <v>76</v>
      </c>
      <c r="Q674" t="s">
        <v>99</v>
      </c>
      <c r="R674">
        <v>30</v>
      </c>
      <c r="S674" s="19">
        <v>0.79166666666666663</v>
      </c>
      <c r="T674">
        <v>0</v>
      </c>
      <c r="U674" s="19">
        <v>0.54166666666666663</v>
      </c>
      <c r="V674" t="s">
        <v>99</v>
      </c>
      <c r="W674">
        <v>7.5</v>
      </c>
      <c r="X674" t="s">
        <v>102</v>
      </c>
      <c r="Y674" t="b">
        <v>0</v>
      </c>
    </row>
    <row r="675" spans="1:25" x14ac:dyDescent="0.55000000000000004">
      <c r="A675" t="s">
        <v>94</v>
      </c>
      <c r="B675" t="s">
        <v>173</v>
      </c>
      <c r="C675" t="s">
        <v>96</v>
      </c>
      <c r="D675" t="s">
        <v>174</v>
      </c>
      <c r="E675" t="s">
        <v>222</v>
      </c>
      <c r="F675" t="s">
        <v>118</v>
      </c>
      <c r="G675">
        <v>26358</v>
      </c>
      <c r="H675" t="s">
        <v>203</v>
      </c>
      <c r="I675">
        <v>2</v>
      </c>
      <c r="J675" t="s">
        <v>105</v>
      </c>
      <c r="K675" s="19">
        <v>0.58333333333333337</v>
      </c>
      <c r="L675" s="19">
        <v>0.91666666666666663</v>
      </c>
      <c r="M675">
        <v>8</v>
      </c>
      <c r="N675">
        <v>377.85</v>
      </c>
      <c r="O675">
        <v>0</v>
      </c>
      <c r="P675">
        <v>76</v>
      </c>
      <c r="Q675" t="s">
        <v>99</v>
      </c>
      <c r="R675">
        <v>30</v>
      </c>
      <c r="S675" s="19">
        <v>0.79166666666666663</v>
      </c>
      <c r="T675">
        <v>0</v>
      </c>
      <c r="U675" s="19">
        <v>0.54166666666666663</v>
      </c>
      <c r="V675" t="s">
        <v>99</v>
      </c>
      <c r="W675">
        <v>7.5</v>
      </c>
      <c r="X675" t="s">
        <v>102</v>
      </c>
      <c r="Y675" t="b">
        <v>0</v>
      </c>
    </row>
    <row r="676" spans="1:25" x14ac:dyDescent="0.55000000000000004">
      <c r="A676" t="s">
        <v>94</v>
      </c>
      <c r="B676" t="s">
        <v>173</v>
      </c>
      <c r="C676" t="s">
        <v>96</v>
      </c>
      <c r="D676" t="s">
        <v>174</v>
      </c>
      <c r="E676" t="s">
        <v>222</v>
      </c>
      <c r="F676" t="s">
        <v>118</v>
      </c>
      <c r="G676">
        <v>26401</v>
      </c>
      <c r="H676" t="s">
        <v>234</v>
      </c>
      <c r="I676">
        <v>1</v>
      </c>
      <c r="J676" t="s">
        <v>101</v>
      </c>
      <c r="K676" s="19">
        <v>0.58333333333333337</v>
      </c>
      <c r="L676" s="19">
        <v>0.91666666666666663</v>
      </c>
      <c r="M676">
        <v>8</v>
      </c>
      <c r="N676">
        <v>373.62</v>
      </c>
      <c r="O676">
        <v>52.5</v>
      </c>
      <c r="P676">
        <v>76</v>
      </c>
      <c r="Q676" t="s">
        <v>99</v>
      </c>
      <c r="R676">
        <v>30</v>
      </c>
      <c r="S676" s="19">
        <v>0.79166666666666663</v>
      </c>
      <c r="T676">
        <v>0</v>
      </c>
      <c r="U676" s="19">
        <v>0.54166666666666663</v>
      </c>
      <c r="V676" t="s">
        <v>99</v>
      </c>
      <c r="W676">
        <v>7.5</v>
      </c>
      <c r="X676" t="s">
        <v>102</v>
      </c>
      <c r="Y676" t="b">
        <v>0</v>
      </c>
    </row>
    <row r="677" spans="1:25" x14ac:dyDescent="0.55000000000000004">
      <c r="A677" t="s">
        <v>94</v>
      </c>
      <c r="B677" t="s">
        <v>173</v>
      </c>
      <c r="C677" t="s">
        <v>96</v>
      </c>
      <c r="D677" t="s">
        <v>174</v>
      </c>
      <c r="E677" t="s">
        <v>222</v>
      </c>
      <c r="F677" t="s">
        <v>118</v>
      </c>
      <c r="G677">
        <v>26401</v>
      </c>
      <c r="H677" t="s">
        <v>234</v>
      </c>
      <c r="I677">
        <v>1</v>
      </c>
      <c r="J677" t="s">
        <v>104</v>
      </c>
      <c r="K677" s="19">
        <v>0.58333333333333337</v>
      </c>
      <c r="L677" s="19">
        <v>0.91666666666666663</v>
      </c>
      <c r="M677">
        <v>8</v>
      </c>
      <c r="N677">
        <v>373.62</v>
      </c>
      <c r="O677">
        <v>52.5</v>
      </c>
      <c r="P677">
        <v>76</v>
      </c>
      <c r="Q677" t="s">
        <v>99</v>
      </c>
      <c r="R677">
        <v>30</v>
      </c>
      <c r="S677" s="19">
        <v>0.79166666666666663</v>
      </c>
      <c r="T677">
        <v>0</v>
      </c>
      <c r="U677" s="19">
        <v>0.54166666666666663</v>
      </c>
      <c r="V677" t="s">
        <v>99</v>
      </c>
      <c r="W677">
        <v>7.5</v>
      </c>
      <c r="X677" t="s">
        <v>102</v>
      </c>
      <c r="Y677" t="b">
        <v>0</v>
      </c>
    </row>
    <row r="678" spans="1:25" x14ac:dyDescent="0.55000000000000004">
      <c r="A678" t="s">
        <v>94</v>
      </c>
      <c r="B678" t="s">
        <v>173</v>
      </c>
      <c r="C678" t="s">
        <v>96</v>
      </c>
      <c r="D678" t="s">
        <v>174</v>
      </c>
      <c r="E678" t="s">
        <v>222</v>
      </c>
      <c r="F678" t="s">
        <v>118</v>
      </c>
      <c r="G678">
        <v>26401</v>
      </c>
      <c r="H678" t="s">
        <v>234</v>
      </c>
      <c r="I678">
        <v>2</v>
      </c>
      <c r="J678" t="s">
        <v>104</v>
      </c>
      <c r="K678" s="19">
        <v>0.58333333333333337</v>
      </c>
      <c r="L678" s="19">
        <v>0.91666666666666663</v>
      </c>
      <c r="M678">
        <v>8</v>
      </c>
      <c r="N678">
        <v>373.62</v>
      </c>
      <c r="O678">
        <v>52.5</v>
      </c>
      <c r="P678">
        <v>76</v>
      </c>
      <c r="Q678" t="s">
        <v>99</v>
      </c>
      <c r="R678">
        <v>30</v>
      </c>
      <c r="S678" s="19">
        <v>0.79166666666666663</v>
      </c>
      <c r="T678">
        <v>0</v>
      </c>
      <c r="U678" s="19">
        <v>0.54166666666666663</v>
      </c>
      <c r="V678" t="s">
        <v>99</v>
      </c>
      <c r="W678">
        <v>7.5</v>
      </c>
      <c r="X678" t="s">
        <v>102</v>
      </c>
      <c r="Y678" t="b">
        <v>0</v>
      </c>
    </row>
    <row r="679" spans="1:25" x14ac:dyDescent="0.55000000000000004">
      <c r="A679" t="s">
        <v>94</v>
      </c>
      <c r="B679" t="s">
        <v>173</v>
      </c>
      <c r="C679" t="s">
        <v>96</v>
      </c>
      <c r="D679" t="s">
        <v>174</v>
      </c>
      <c r="E679" t="s">
        <v>222</v>
      </c>
      <c r="F679" t="s">
        <v>135</v>
      </c>
      <c r="H679" t="s">
        <v>99</v>
      </c>
      <c r="I679">
        <v>2</v>
      </c>
      <c r="J679" t="s">
        <v>105</v>
      </c>
      <c r="K679" s="19">
        <v>0.58333333333333337</v>
      </c>
      <c r="L679" s="19">
        <v>0.91666666666666663</v>
      </c>
      <c r="M679">
        <v>8</v>
      </c>
      <c r="N679">
        <v>0</v>
      </c>
      <c r="O679">
        <v>0</v>
      </c>
      <c r="P679">
        <v>0</v>
      </c>
      <c r="Q679" t="s">
        <v>99</v>
      </c>
      <c r="R679">
        <v>30</v>
      </c>
      <c r="S679" s="19">
        <v>0.79166666666666663</v>
      </c>
      <c r="T679">
        <v>0</v>
      </c>
      <c r="U679" s="19">
        <v>0.54166666666666663</v>
      </c>
      <c r="V679" t="s">
        <v>99</v>
      </c>
      <c r="W679">
        <v>7.5</v>
      </c>
      <c r="X679" t="s">
        <v>102</v>
      </c>
      <c r="Y679" t="b">
        <v>0</v>
      </c>
    </row>
    <row r="680" spans="1:25" x14ac:dyDescent="0.55000000000000004">
      <c r="A680" t="s">
        <v>94</v>
      </c>
      <c r="B680" t="s">
        <v>173</v>
      </c>
      <c r="C680" t="s">
        <v>96</v>
      </c>
      <c r="D680" t="s">
        <v>174</v>
      </c>
      <c r="E680" t="s">
        <v>222</v>
      </c>
      <c r="F680" t="s">
        <v>135</v>
      </c>
      <c r="G680">
        <v>19242</v>
      </c>
      <c r="H680" t="s">
        <v>223</v>
      </c>
      <c r="I680">
        <v>1</v>
      </c>
      <c r="J680" t="s">
        <v>107</v>
      </c>
      <c r="K680" s="19">
        <v>0.58333333333333337</v>
      </c>
      <c r="L680" s="19">
        <v>0.91666666666666663</v>
      </c>
      <c r="M680">
        <v>8</v>
      </c>
      <c r="N680">
        <v>296.24</v>
      </c>
      <c r="O680">
        <v>20.5</v>
      </c>
      <c r="P680">
        <v>76</v>
      </c>
      <c r="Q680" t="s">
        <v>99</v>
      </c>
      <c r="R680">
        <v>30</v>
      </c>
      <c r="S680" s="19">
        <v>0.79166666666666663</v>
      </c>
      <c r="T680">
        <v>0</v>
      </c>
      <c r="U680" s="19">
        <v>0.54166666666666663</v>
      </c>
      <c r="V680" t="s">
        <v>99</v>
      </c>
      <c r="W680">
        <v>7.5</v>
      </c>
      <c r="X680" t="s">
        <v>102</v>
      </c>
      <c r="Y680" t="b">
        <v>0</v>
      </c>
    </row>
    <row r="681" spans="1:25" x14ac:dyDescent="0.55000000000000004">
      <c r="A681" t="s">
        <v>94</v>
      </c>
      <c r="B681" t="s">
        <v>173</v>
      </c>
      <c r="C681" t="s">
        <v>96</v>
      </c>
      <c r="D681" t="s">
        <v>174</v>
      </c>
      <c r="E681" t="s">
        <v>222</v>
      </c>
      <c r="F681" t="s">
        <v>135</v>
      </c>
      <c r="G681">
        <v>19255</v>
      </c>
      <c r="H681" t="s">
        <v>235</v>
      </c>
      <c r="I681">
        <v>2</v>
      </c>
      <c r="J681" t="s">
        <v>101</v>
      </c>
      <c r="K681" s="19">
        <v>0.58333333333333337</v>
      </c>
      <c r="L681" s="19">
        <v>0.91666666666666663</v>
      </c>
      <c r="M681">
        <v>8</v>
      </c>
      <c r="N681">
        <v>0</v>
      </c>
      <c r="O681">
        <v>67.5</v>
      </c>
      <c r="P681">
        <v>76</v>
      </c>
      <c r="Q681" t="s">
        <v>99</v>
      </c>
      <c r="R681">
        <v>30</v>
      </c>
      <c r="S681" s="19">
        <v>0.79166666666666663</v>
      </c>
      <c r="T681">
        <v>0</v>
      </c>
      <c r="U681" s="19">
        <v>0.54166666666666663</v>
      </c>
      <c r="V681" t="s">
        <v>99</v>
      </c>
      <c r="W681">
        <v>7.5</v>
      </c>
      <c r="X681" t="s">
        <v>102</v>
      </c>
      <c r="Y681" t="b">
        <v>0</v>
      </c>
    </row>
    <row r="682" spans="1:25" x14ac:dyDescent="0.55000000000000004">
      <c r="A682" t="s">
        <v>94</v>
      </c>
      <c r="B682" t="s">
        <v>173</v>
      </c>
      <c r="C682" t="s">
        <v>96</v>
      </c>
      <c r="D682" t="s">
        <v>174</v>
      </c>
      <c r="E682" t="s">
        <v>222</v>
      </c>
      <c r="F682" t="s">
        <v>135</v>
      </c>
      <c r="G682">
        <v>19835</v>
      </c>
      <c r="H682" t="s">
        <v>224</v>
      </c>
      <c r="I682">
        <v>1</v>
      </c>
      <c r="J682" t="s">
        <v>116</v>
      </c>
      <c r="K682" s="19">
        <v>0.58333333333333337</v>
      </c>
      <c r="L682" s="19">
        <v>0.91666666666666663</v>
      </c>
      <c r="M682">
        <v>8</v>
      </c>
      <c r="N682">
        <v>460.82</v>
      </c>
      <c r="O682">
        <v>60</v>
      </c>
      <c r="P682">
        <v>76</v>
      </c>
      <c r="Q682" t="s">
        <v>99</v>
      </c>
      <c r="R682">
        <v>30</v>
      </c>
      <c r="S682" s="19">
        <v>0.79166666666666663</v>
      </c>
      <c r="T682">
        <v>0</v>
      </c>
      <c r="U682" s="19">
        <v>0.54166666666666663</v>
      </c>
      <c r="V682" t="s">
        <v>99</v>
      </c>
      <c r="W682">
        <v>7.5</v>
      </c>
      <c r="X682" t="s">
        <v>102</v>
      </c>
      <c r="Y682" t="b">
        <v>0</v>
      </c>
    </row>
    <row r="683" spans="1:25" x14ac:dyDescent="0.55000000000000004">
      <c r="A683" t="s">
        <v>94</v>
      </c>
      <c r="B683" t="s">
        <v>173</v>
      </c>
      <c r="C683" t="s">
        <v>96</v>
      </c>
      <c r="D683" t="s">
        <v>174</v>
      </c>
      <c r="E683" t="s">
        <v>222</v>
      </c>
      <c r="F683" t="s">
        <v>135</v>
      </c>
      <c r="G683">
        <v>20962</v>
      </c>
      <c r="H683" t="s">
        <v>225</v>
      </c>
      <c r="I683">
        <v>1</v>
      </c>
      <c r="J683" t="s">
        <v>104</v>
      </c>
      <c r="K683" s="19">
        <v>0.58333333333333337</v>
      </c>
      <c r="L683" s="19">
        <v>0.91666666666666663</v>
      </c>
      <c r="M683">
        <v>8</v>
      </c>
      <c r="N683">
        <v>299.7</v>
      </c>
      <c r="O683">
        <v>60</v>
      </c>
      <c r="P683">
        <v>76</v>
      </c>
      <c r="Q683" t="s">
        <v>99</v>
      </c>
      <c r="R683">
        <v>30</v>
      </c>
      <c r="S683" s="19">
        <v>0.79166666666666663</v>
      </c>
      <c r="T683">
        <v>0</v>
      </c>
      <c r="U683" s="19">
        <v>0.54166666666666663</v>
      </c>
      <c r="V683" t="s">
        <v>99</v>
      </c>
      <c r="W683">
        <v>7.5</v>
      </c>
      <c r="X683" t="s">
        <v>102</v>
      </c>
      <c r="Y683" t="b">
        <v>0</v>
      </c>
    </row>
    <row r="684" spans="1:25" x14ac:dyDescent="0.55000000000000004">
      <c r="A684" t="s">
        <v>94</v>
      </c>
      <c r="B684" t="s">
        <v>173</v>
      </c>
      <c r="C684" t="s">
        <v>96</v>
      </c>
      <c r="D684" t="s">
        <v>174</v>
      </c>
      <c r="E684" t="s">
        <v>222</v>
      </c>
      <c r="F684" t="s">
        <v>135</v>
      </c>
      <c r="G684">
        <v>20962</v>
      </c>
      <c r="H684" t="s">
        <v>225</v>
      </c>
      <c r="I684">
        <v>1</v>
      </c>
      <c r="J684" t="s">
        <v>105</v>
      </c>
      <c r="K684" s="19">
        <v>0.58333333333333337</v>
      </c>
      <c r="L684" s="19">
        <v>0.91666666666666663</v>
      </c>
      <c r="M684">
        <v>8</v>
      </c>
      <c r="N684">
        <v>299.7</v>
      </c>
      <c r="O684">
        <v>60</v>
      </c>
      <c r="P684">
        <v>76</v>
      </c>
      <c r="Q684" t="s">
        <v>99</v>
      </c>
      <c r="R684">
        <v>30</v>
      </c>
      <c r="S684" s="19">
        <v>0.79166666666666663</v>
      </c>
      <c r="T684">
        <v>0</v>
      </c>
      <c r="U684" s="19">
        <v>0.54166666666666663</v>
      </c>
      <c r="V684" t="s">
        <v>99</v>
      </c>
      <c r="W684">
        <v>7.5</v>
      </c>
      <c r="X684" t="s">
        <v>102</v>
      </c>
      <c r="Y684" t="b">
        <v>0</v>
      </c>
    </row>
    <row r="685" spans="1:25" x14ac:dyDescent="0.55000000000000004">
      <c r="A685" t="s">
        <v>94</v>
      </c>
      <c r="B685" t="s">
        <v>173</v>
      </c>
      <c r="C685" t="s">
        <v>96</v>
      </c>
      <c r="D685" t="s">
        <v>174</v>
      </c>
      <c r="E685" t="s">
        <v>222</v>
      </c>
      <c r="F685" t="s">
        <v>135</v>
      </c>
      <c r="G685">
        <v>20962</v>
      </c>
      <c r="H685" t="s">
        <v>225</v>
      </c>
      <c r="I685">
        <v>2</v>
      </c>
      <c r="J685" t="s">
        <v>104</v>
      </c>
      <c r="K685" s="19">
        <v>0.58333333333333337</v>
      </c>
      <c r="L685" s="19">
        <v>0.91666666666666663</v>
      </c>
      <c r="M685">
        <v>8</v>
      </c>
      <c r="N685">
        <v>299.7</v>
      </c>
      <c r="O685">
        <v>60</v>
      </c>
      <c r="P685">
        <v>76</v>
      </c>
      <c r="Q685" t="s">
        <v>99</v>
      </c>
      <c r="R685">
        <v>30</v>
      </c>
      <c r="S685" s="19">
        <v>0.79166666666666663</v>
      </c>
      <c r="T685">
        <v>0</v>
      </c>
      <c r="U685" s="19">
        <v>0.54166666666666663</v>
      </c>
      <c r="V685" t="s">
        <v>99</v>
      </c>
      <c r="W685">
        <v>7.5</v>
      </c>
      <c r="X685" t="s">
        <v>102</v>
      </c>
      <c r="Y685" t="b">
        <v>0</v>
      </c>
    </row>
    <row r="686" spans="1:25" x14ac:dyDescent="0.55000000000000004">
      <c r="A686" t="s">
        <v>94</v>
      </c>
      <c r="B686" t="s">
        <v>173</v>
      </c>
      <c r="C686" t="s">
        <v>96</v>
      </c>
      <c r="D686" t="s">
        <v>174</v>
      </c>
      <c r="E686" t="s">
        <v>222</v>
      </c>
      <c r="F686" t="s">
        <v>135</v>
      </c>
      <c r="G686">
        <v>21381</v>
      </c>
      <c r="H686" t="s">
        <v>226</v>
      </c>
      <c r="I686">
        <v>1</v>
      </c>
      <c r="J686" t="s">
        <v>101</v>
      </c>
      <c r="K686" s="19">
        <v>0.58333333333333337</v>
      </c>
      <c r="L686" s="19">
        <v>0.91666666666666663</v>
      </c>
      <c r="M686">
        <v>8</v>
      </c>
      <c r="N686">
        <v>0</v>
      </c>
      <c r="O686">
        <v>60</v>
      </c>
      <c r="P686">
        <v>76</v>
      </c>
      <c r="Q686" t="s">
        <v>99</v>
      </c>
      <c r="R686">
        <v>30</v>
      </c>
      <c r="S686" s="19">
        <v>0.79166666666666663</v>
      </c>
      <c r="T686">
        <v>0</v>
      </c>
      <c r="U686" s="19">
        <v>0.54166666666666663</v>
      </c>
      <c r="V686" t="s">
        <v>99</v>
      </c>
      <c r="W686">
        <v>7.5</v>
      </c>
      <c r="X686" t="s">
        <v>102</v>
      </c>
      <c r="Y686" t="b">
        <v>0</v>
      </c>
    </row>
    <row r="687" spans="1:25" x14ac:dyDescent="0.55000000000000004">
      <c r="A687" t="s">
        <v>94</v>
      </c>
      <c r="B687" t="s">
        <v>173</v>
      </c>
      <c r="C687" t="s">
        <v>96</v>
      </c>
      <c r="D687" t="s">
        <v>174</v>
      </c>
      <c r="E687" t="s">
        <v>222</v>
      </c>
      <c r="F687" t="s">
        <v>135</v>
      </c>
      <c r="G687">
        <v>21381</v>
      </c>
      <c r="H687" t="s">
        <v>226</v>
      </c>
      <c r="I687">
        <v>1</v>
      </c>
      <c r="J687" t="s">
        <v>115</v>
      </c>
      <c r="K687" s="19">
        <v>0.58333333333333337</v>
      </c>
      <c r="L687" s="19">
        <v>0.91666666666666663</v>
      </c>
      <c r="M687">
        <v>8</v>
      </c>
      <c r="N687">
        <v>0</v>
      </c>
      <c r="O687">
        <v>60</v>
      </c>
      <c r="P687">
        <v>76</v>
      </c>
      <c r="Q687" t="s">
        <v>99</v>
      </c>
      <c r="R687">
        <v>30</v>
      </c>
      <c r="S687" s="19">
        <v>0.79166666666666663</v>
      </c>
      <c r="T687">
        <v>0</v>
      </c>
      <c r="U687" s="19">
        <v>0</v>
      </c>
      <c r="V687" t="s">
        <v>99</v>
      </c>
      <c r="W687">
        <v>7.5</v>
      </c>
      <c r="X687" t="s">
        <v>102</v>
      </c>
      <c r="Y687" t="b">
        <v>0</v>
      </c>
    </row>
    <row r="688" spans="1:25" x14ac:dyDescent="0.55000000000000004">
      <c r="A688" t="s">
        <v>94</v>
      </c>
      <c r="B688" t="s">
        <v>173</v>
      </c>
      <c r="C688" t="s">
        <v>96</v>
      </c>
      <c r="D688" t="s">
        <v>174</v>
      </c>
      <c r="E688" t="s">
        <v>222</v>
      </c>
      <c r="F688" t="s">
        <v>135</v>
      </c>
      <c r="G688">
        <v>21381</v>
      </c>
      <c r="H688" t="s">
        <v>226</v>
      </c>
      <c r="I688">
        <v>1</v>
      </c>
      <c r="J688" t="s">
        <v>116</v>
      </c>
      <c r="K688" s="19">
        <v>0.58333333333333337</v>
      </c>
      <c r="L688" s="19">
        <v>0.91666666666666663</v>
      </c>
      <c r="M688">
        <v>8</v>
      </c>
      <c r="N688">
        <v>0</v>
      </c>
      <c r="O688">
        <v>60</v>
      </c>
      <c r="P688">
        <v>76</v>
      </c>
      <c r="Q688" t="s">
        <v>99</v>
      </c>
      <c r="R688">
        <v>30</v>
      </c>
      <c r="S688" s="19">
        <v>0.79166666666666663</v>
      </c>
      <c r="T688">
        <v>0</v>
      </c>
      <c r="U688" s="19">
        <v>0</v>
      </c>
      <c r="V688" t="s">
        <v>99</v>
      </c>
      <c r="W688">
        <v>7.5</v>
      </c>
      <c r="X688" t="s">
        <v>102</v>
      </c>
      <c r="Y688" t="b">
        <v>0</v>
      </c>
    </row>
    <row r="689" spans="1:25" x14ac:dyDescent="0.55000000000000004">
      <c r="A689" t="s">
        <v>94</v>
      </c>
      <c r="B689" t="s">
        <v>173</v>
      </c>
      <c r="C689" t="s">
        <v>96</v>
      </c>
      <c r="D689" t="s">
        <v>174</v>
      </c>
      <c r="E689" t="s">
        <v>222</v>
      </c>
      <c r="F689" t="s">
        <v>135</v>
      </c>
      <c r="G689">
        <v>21381</v>
      </c>
      <c r="H689" t="s">
        <v>226</v>
      </c>
      <c r="I689">
        <v>1</v>
      </c>
      <c r="J689" t="s">
        <v>104</v>
      </c>
      <c r="K689" s="19">
        <v>0.58333333333333337</v>
      </c>
      <c r="L689" s="19">
        <v>0.91666666666666663</v>
      </c>
      <c r="M689">
        <v>8</v>
      </c>
      <c r="N689">
        <v>0</v>
      </c>
      <c r="O689">
        <v>60</v>
      </c>
      <c r="P689">
        <v>76</v>
      </c>
      <c r="Q689" t="s">
        <v>99</v>
      </c>
      <c r="R689">
        <v>30</v>
      </c>
      <c r="S689" s="19">
        <v>0.79166666666666663</v>
      </c>
      <c r="T689">
        <v>0</v>
      </c>
      <c r="U689" s="19">
        <v>0.54166666666666663</v>
      </c>
      <c r="V689" t="s">
        <v>99</v>
      </c>
      <c r="W689">
        <v>7.5</v>
      </c>
      <c r="X689" t="s">
        <v>102</v>
      </c>
      <c r="Y689" t="b">
        <v>0</v>
      </c>
    </row>
    <row r="690" spans="1:25" x14ac:dyDescent="0.55000000000000004">
      <c r="A690" t="s">
        <v>94</v>
      </c>
      <c r="B690" t="s">
        <v>173</v>
      </c>
      <c r="C690" t="s">
        <v>96</v>
      </c>
      <c r="D690" t="s">
        <v>174</v>
      </c>
      <c r="E690" t="s">
        <v>222</v>
      </c>
      <c r="F690" t="s">
        <v>135</v>
      </c>
      <c r="G690">
        <v>21589</v>
      </c>
      <c r="H690" t="s">
        <v>227</v>
      </c>
      <c r="I690">
        <v>1</v>
      </c>
      <c r="J690" t="s">
        <v>103</v>
      </c>
      <c r="K690" s="19">
        <v>0.58333333333333337</v>
      </c>
      <c r="L690" s="19">
        <v>0.91666666666666663</v>
      </c>
      <c r="M690">
        <v>8</v>
      </c>
      <c r="N690">
        <v>299.7</v>
      </c>
      <c r="O690">
        <v>60</v>
      </c>
      <c r="P690">
        <v>76</v>
      </c>
      <c r="Q690" t="s">
        <v>99</v>
      </c>
      <c r="R690">
        <v>30</v>
      </c>
      <c r="S690" s="19">
        <v>0.79166666666666663</v>
      </c>
      <c r="T690">
        <v>0</v>
      </c>
      <c r="U690" s="19">
        <v>0.54166666666666663</v>
      </c>
      <c r="V690" t="s">
        <v>99</v>
      </c>
      <c r="W690">
        <v>7.5</v>
      </c>
      <c r="X690" t="s">
        <v>102</v>
      </c>
      <c r="Y690" t="b">
        <v>0</v>
      </c>
    </row>
    <row r="691" spans="1:25" x14ac:dyDescent="0.55000000000000004">
      <c r="A691" t="s">
        <v>94</v>
      </c>
      <c r="B691" t="s">
        <v>173</v>
      </c>
      <c r="C691" t="s">
        <v>96</v>
      </c>
      <c r="D691" t="s">
        <v>174</v>
      </c>
      <c r="E691" t="s">
        <v>222</v>
      </c>
      <c r="F691" t="s">
        <v>135</v>
      </c>
      <c r="G691">
        <v>21589</v>
      </c>
      <c r="H691" t="s">
        <v>227</v>
      </c>
      <c r="I691">
        <v>1</v>
      </c>
      <c r="J691" t="s">
        <v>105</v>
      </c>
      <c r="K691" s="19">
        <v>0.58333333333333337</v>
      </c>
      <c r="L691" s="19">
        <v>0.91666666666666663</v>
      </c>
      <c r="M691">
        <v>8</v>
      </c>
      <c r="N691">
        <v>299.7</v>
      </c>
      <c r="O691">
        <v>60</v>
      </c>
      <c r="P691">
        <v>76</v>
      </c>
      <c r="Q691" t="s">
        <v>99</v>
      </c>
      <c r="R691">
        <v>30</v>
      </c>
      <c r="S691" s="19">
        <v>0.79166666666666663</v>
      </c>
      <c r="T691">
        <v>0</v>
      </c>
      <c r="U691" s="19">
        <v>0.54166666666666663</v>
      </c>
      <c r="V691" t="s">
        <v>99</v>
      </c>
      <c r="W691">
        <v>7.5</v>
      </c>
      <c r="X691" t="s">
        <v>102</v>
      </c>
      <c r="Y691" t="b">
        <v>0</v>
      </c>
    </row>
    <row r="692" spans="1:25" x14ac:dyDescent="0.55000000000000004">
      <c r="A692" t="s">
        <v>94</v>
      </c>
      <c r="B692" t="s">
        <v>173</v>
      </c>
      <c r="C692" t="s">
        <v>96</v>
      </c>
      <c r="D692" t="s">
        <v>174</v>
      </c>
      <c r="E692" t="s">
        <v>222</v>
      </c>
      <c r="F692" t="s">
        <v>135</v>
      </c>
      <c r="G692">
        <v>21589</v>
      </c>
      <c r="H692" t="s">
        <v>227</v>
      </c>
      <c r="I692">
        <v>2</v>
      </c>
      <c r="J692" t="s">
        <v>115</v>
      </c>
      <c r="K692" s="19">
        <v>0.58333333333333337</v>
      </c>
      <c r="L692" s="19">
        <v>0.91666666666666663</v>
      </c>
      <c r="M692">
        <v>8</v>
      </c>
      <c r="N692">
        <v>399.6</v>
      </c>
      <c r="O692">
        <v>60</v>
      </c>
      <c r="P692">
        <v>76</v>
      </c>
      <c r="Q692" t="s">
        <v>99</v>
      </c>
      <c r="R692">
        <v>30</v>
      </c>
      <c r="S692" s="19">
        <v>0.79166666666666663</v>
      </c>
      <c r="T692">
        <v>0</v>
      </c>
      <c r="U692" s="19">
        <v>0</v>
      </c>
      <c r="V692" t="s">
        <v>99</v>
      </c>
      <c r="W692">
        <v>7.5</v>
      </c>
      <c r="X692" t="s">
        <v>102</v>
      </c>
      <c r="Y692" t="b">
        <v>0</v>
      </c>
    </row>
    <row r="693" spans="1:25" x14ac:dyDescent="0.55000000000000004">
      <c r="A693" t="s">
        <v>94</v>
      </c>
      <c r="B693" t="s">
        <v>173</v>
      </c>
      <c r="C693" t="s">
        <v>96</v>
      </c>
      <c r="D693" t="s">
        <v>174</v>
      </c>
      <c r="E693" t="s">
        <v>222</v>
      </c>
      <c r="F693" t="s">
        <v>135</v>
      </c>
      <c r="G693">
        <v>22690</v>
      </c>
      <c r="H693" t="s">
        <v>236</v>
      </c>
      <c r="I693">
        <v>1</v>
      </c>
      <c r="J693" t="s">
        <v>101</v>
      </c>
      <c r="K693" s="19">
        <v>0.58333333333333337</v>
      </c>
      <c r="L693" s="19">
        <v>0.91666666666666663</v>
      </c>
      <c r="M693">
        <v>8</v>
      </c>
      <c r="N693">
        <v>281.39</v>
      </c>
      <c r="O693">
        <v>45</v>
      </c>
      <c r="P693">
        <v>76</v>
      </c>
      <c r="Q693" t="s">
        <v>99</v>
      </c>
      <c r="R693">
        <v>30</v>
      </c>
      <c r="S693" s="19">
        <v>0.79166666666666663</v>
      </c>
      <c r="T693">
        <v>0</v>
      </c>
      <c r="U693" s="19">
        <v>0.54166666666666663</v>
      </c>
      <c r="V693" t="s">
        <v>99</v>
      </c>
      <c r="W693">
        <v>7.5</v>
      </c>
      <c r="X693" t="s">
        <v>102</v>
      </c>
      <c r="Y693" t="b">
        <v>0</v>
      </c>
    </row>
    <row r="694" spans="1:25" x14ac:dyDescent="0.55000000000000004">
      <c r="A694" t="s">
        <v>94</v>
      </c>
      <c r="B694" t="s">
        <v>173</v>
      </c>
      <c r="C694" t="s">
        <v>96</v>
      </c>
      <c r="D694" t="s">
        <v>174</v>
      </c>
      <c r="E694" t="s">
        <v>222</v>
      </c>
      <c r="F694" t="s">
        <v>135</v>
      </c>
      <c r="G694">
        <v>22690</v>
      </c>
      <c r="H694" t="s">
        <v>236</v>
      </c>
      <c r="I694">
        <v>1</v>
      </c>
      <c r="J694" t="s">
        <v>115</v>
      </c>
      <c r="K694" s="19">
        <v>0.58333333333333337</v>
      </c>
      <c r="L694" s="19">
        <v>0.91666666666666663</v>
      </c>
      <c r="M694">
        <v>8</v>
      </c>
      <c r="N694">
        <v>375.19</v>
      </c>
      <c r="O694">
        <v>45</v>
      </c>
      <c r="P694">
        <v>76</v>
      </c>
      <c r="Q694" t="s">
        <v>99</v>
      </c>
      <c r="R694">
        <v>30</v>
      </c>
      <c r="S694" s="19">
        <v>0.79166666666666663</v>
      </c>
      <c r="T694">
        <v>0</v>
      </c>
      <c r="U694" s="19">
        <v>0.54166666666666663</v>
      </c>
      <c r="V694" t="s">
        <v>99</v>
      </c>
      <c r="W694">
        <v>7.5</v>
      </c>
      <c r="X694" t="s">
        <v>102</v>
      </c>
      <c r="Y694" t="b">
        <v>0</v>
      </c>
    </row>
    <row r="695" spans="1:25" x14ac:dyDescent="0.55000000000000004">
      <c r="A695" t="s">
        <v>94</v>
      </c>
      <c r="B695" t="s">
        <v>173</v>
      </c>
      <c r="C695" t="s">
        <v>96</v>
      </c>
      <c r="D695" t="s">
        <v>174</v>
      </c>
      <c r="E695" t="s">
        <v>222</v>
      </c>
      <c r="F695" t="s">
        <v>135</v>
      </c>
      <c r="G695">
        <v>22690</v>
      </c>
      <c r="H695" t="s">
        <v>236</v>
      </c>
      <c r="I695">
        <v>1</v>
      </c>
      <c r="J695" t="s">
        <v>116</v>
      </c>
      <c r="K695" s="19">
        <v>0.58333333333333337</v>
      </c>
      <c r="L695" s="19">
        <v>0.91666666666666663</v>
      </c>
      <c r="M695">
        <v>8</v>
      </c>
      <c r="N695">
        <v>437.72</v>
      </c>
      <c r="O695">
        <v>45</v>
      </c>
      <c r="P695">
        <v>76</v>
      </c>
      <c r="Q695" t="s">
        <v>99</v>
      </c>
      <c r="R695">
        <v>30</v>
      </c>
      <c r="S695" s="19">
        <v>0.79166666666666663</v>
      </c>
      <c r="T695">
        <v>0</v>
      </c>
      <c r="U695" s="19">
        <v>0.54166666666666663</v>
      </c>
      <c r="V695" t="s">
        <v>99</v>
      </c>
      <c r="W695">
        <v>7.5</v>
      </c>
      <c r="X695" t="s">
        <v>102</v>
      </c>
      <c r="Y695" t="b">
        <v>0</v>
      </c>
    </row>
    <row r="696" spans="1:25" x14ac:dyDescent="0.55000000000000004">
      <c r="A696" t="s">
        <v>94</v>
      </c>
      <c r="B696" t="s">
        <v>173</v>
      </c>
      <c r="C696" t="s">
        <v>96</v>
      </c>
      <c r="D696" t="s">
        <v>174</v>
      </c>
      <c r="E696" t="s">
        <v>222</v>
      </c>
      <c r="F696" t="s">
        <v>135</v>
      </c>
      <c r="G696">
        <v>22690</v>
      </c>
      <c r="H696" t="s">
        <v>236</v>
      </c>
      <c r="I696">
        <v>2</v>
      </c>
      <c r="J696" t="s">
        <v>101</v>
      </c>
      <c r="K696" s="19">
        <v>0.58333333333333337</v>
      </c>
      <c r="L696" s="19">
        <v>0.91666666666666663</v>
      </c>
      <c r="M696">
        <v>8</v>
      </c>
      <c r="N696">
        <v>281.39</v>
      </c>
      <c r="O696">
        <v>45</v>
      </c>
      <c r="P696">
        <v>76</v>
      </c>
      <c r="Q696" t="s">
        <v>99</v>
      </c>
      <c r="R696">
        <v>30</v>
      </c>
      <c r="S696" s="19">
        <v>0.79166666666666663</v>
      </c>
      <c r="T696">
        <v>0</v>
      </c>
      <c r="U696" s="19">
        <v>0.54166666666666663</v>
      </c>
      <c r="V696" t="s">
        <v>99</v>
      </c>
      <c r="W696">
        <v>7.5</v>
      </c>
      <c r="X696" t="s">
        <v>102</v>
      </c>
      <c r="Y696" t="b">
        <v>0</v>
      </c>
    </row>
    <row r="697" spans="1:25" x14ac:dyDescent="0.55000000000000004">
      <c r="A697" t="s">
        <v>94</v>
      </c>
      <c r="B697" t="s">
        <v>173</v>
      </c>
      <c r="C697" t="s">
        <v>96</v>
      </c>
      <c r="D697" t="s">
        <v>174</v>
      </c>
      <c r="E697" t="s">
        <v>222</v>
      </c>
      <c r="F697" t="s">
        <v>135</v>
      </c>
      <c r="G697">
        <v>22690</v>
      </c>
      <c r="H697" t="s">
        <v>236</v>
      </c>
      <c r="I697">
        <v>2</v>
      </c>
      <c r="J697" t="s">
        <v>116</v>
      </c>
      <c r="K697" s="19">
        <v>0.58333333333333337</v>
      </c>
      <c r="L697" s="19">
        <v>0.91666666666666663</v>
      </c>
      <c r="M697">
        <v>8</v>
      </c>
      <c r="N697">
        <v>437.72</v>
      </c>
      <c r="O697">
        <v>45</v>
      </c>
      <c r="P697">
        <v>76</v>
      </c>
      <c r="Q697" t="s">
        <v>99</v>
      </c>
      <c r="R697">
        <v>30</v>
      </c>
      <c r="S697" s="19">
        <v>0.79166666666666663</v>
      </c>
      <c r="T697">
        <v>0</v>
      </c>
      <c r="U697" s="19">
        <v>0.54166666666666663</v>
      </c>
      <c r="V697" t="s">
        <v>99</v>
      </c>
      <c r="W697">
        <v>7.5</v>
      </c>
      <c r="X697" t="s">
        <v>102</v>
      </c>
      <c r="Y697" t="b">
        <v>0</v>
      </c>
    </row>
    <row r="698" spans="1:25" x14ac:dyDescent="0.55000000000000004">
      <c r="A698" t="s">
        <v>94</v>
      </c>
      <c r="B698" t="s">
        <v>173</v>
      </c>
      <c r="C698" t="s">
        <v>96</v>
      </c>
      <c r="D698" t="s">
        <v>174</v>
      </c>
      <c r="E698" t="s">
        <v>222</v>
      </c>
      <c r="F698" t="s">
        <v>135</v>
      </c>
      <c r="G698">
        <v>22913</v>
      </c>
      <c r="H698" t="s">
        <v>237</v>
      </c>
      <c r="I698">
        <v>1</v>
      </c>
      <c r="J698" t="s">
        <v>101</v>
      </c>
      <c r="K698" s="19">
        <v>0.58333333333333337</v>
      </c>
      <c r="L698" s="19">
        <v>0.91666666666666663</v>
      </c>
      <c r="M698">
        <v>8</v>
      </c>
      <c r="N698">
        <v>296.24</v>
      </c>
      <c r="O698">
        <v>37.5</v>
      </c>
      <c r="P698">
        <v>76</v>
      </c>
      <c r="Q698" t="s">
        <v>99</v>
      </c>
      <c r="R698">
        <v>30</v>
      </c>
      <c r="S698" s="19">
        <v>0.79166666666666663</v>
      </c>
      <c r="T698">
        <v>0</v>
      </c>
      <c r="U698" s="19">
        <v>0</v>
      </c>
      <c r="V698" t="s">
        <v>99</v>
      </c>
      <c r="W698">
        <v>7.5</v>
      </c>
      <c r="X698" t="s">
        <v>102</v>
      </c>
      <c r="Y698" t="b">
        <v>0</v>
      </c>
    </row>
    <row r="699" spans="1:25" x14ac:dyDescent="0.55000000000000004">
      <c r="A699" t="s">
        <v>94</v>
      </c>
      <c r="B699" t="s">
        <v>173</v>
      </c>
      <c r="C699" t="s">
        <v>96</v>
      </c>
      <c r="D699" t="s">
        <v>174</v>
      </c>
      <c r="E699" t="s">
        <v>222</v>
      </c>
      <c r="F699" t="s">
        <v>135</v>
      </c>
      <c r="G699">
        <v>22913</v>
      </c>
      <c r="H699" t="s">
        <v>237</v>
      </c>
      <c r="I699">
        <v>1</v>
      </c>
      <c r="J699" t="s">
        <v>104</v>
      </c>
      <c r="K699" s="19">
        <v>0.58333333333333337</v>
      </c>
      <c r="L699" s="19">
        <v>0.91666666666666663</v>
      </c>
      <c r="M699">
        <v>8</v>
      </c>
      <c r="N699">
        <v>296.24</v>
      </c>
      <c r="O699">
        <v>37.5</v>
      </c>
      <c r="P699">
        <v>76</v>
      </c>
      <c r="Q699" t="s">
        <v>99</v>
      </c>
      <c r="R699">
        <v>30</v>
      </c>
      <c r="S699" s="19">
        <v>0.79166666666666663</v>
      </c>
      <c r="T699">
        <v>0</v>
      </c>
      <c r="U699" s="19">
        <v>0</v>
      </c>
      <c r="V699" t="s">
        <v>99</v>
      </c>
      <c r="W699">
        <v>7.5</v>
      </c>
      <c r="X699" t="s">
        <v>102</v>
      </c>
      <c r="Y699" t="b">
        <v>0</v>
      </c>
    </row>
    <row r="700" spans="1:25" x14ac:dyDescent="0.55000000000000004">
      <c r="A700" t="s">
        <v>94</v>
      </c>
      <c r="B700" t="s">
        <v>173</v>
      </c>
      <c r="C700" t="s">
        <v>96</v>
      </c>
      <c r="D700" t="s">
        <v>174</v>
      </c>
      <c r="E700" t="s">
        <v>222</v>
      </c>
      <c r="F700" t="s">
        <v>135</v>
      </c>
      <c r="G700">
        <v>22913</v>
      </c>
      <c r="H700" t="s">
        <v>237</v>
      </c>
      <c r="I700">
        <v>2</v>
      </c>
      <c r="J700" t="s">
        <v>104</v>
      </c>
      <c r="K700" s="19">
        <v>0.58333333333333337</v>
      </c>
      <c r="L700" s="19">
        <v>0.91666666666666663</v>
      </c>
      <c r="M700">
        <v>8</v>
      </c>
      <c r="N700">
        <v>296.24</v>
      </c>
      <c r="O700">
        <v>37.5</v>
      </c>
      <c r="P700">
        <v>76</v>
      </c>
      <c r="Q700" t="s">
        <v>99</v>
      </c>
      <c r="R700">
        <v>30</v>
      </c>
      <c r="S700" s="19">
        <v>0.79166666666666663</v>
      </c>
      <c r="T700">
        <v>0</v>
      </c>
      <c r="U700" s="19">
        <v>0</v>
      </c>
      <c r="V700" t="s">
        <v>99</v>
      </c>
      <c r="W700">
        <v>7.5</v>
      </c>
      <c r="X700" t="s">
        <v>102</v>
      </c>
      <c r="Y700" t="b">
        <v>0</v>
      </c>
    </row>
    <row r="701" spans="1:25" x14ac:dyDescent="0.55000000000000004">
      <c r="A701" t="s">
        <v>94</v>
      </c>
      <c r="B701" t="s">
        <v>173</v>
      </c>
      <c r="C701" t="s">
        <v>96</v>
      </c>
      <c r="D701" t="s">
        <v>174</v>
      </c>
      <c r="E701" t="s">
        <v>222</v>
      </c>
      <c r="F701" t="s">
        <v>135</v>
      </c>
      <c r="G701">
        <v>23242</v>
      </c>
      <c r="H701" t="s">
        <v>238</v>
      </c>
      <c r="I701">
        <v>1</v>
      </c>
      <c r="J701" t="s">
        <v>107</v>
      </c>
      <c r="K701" s="19">
        <v>0.58333333333333337</v>
      </c>
      <c r="L701" s="19">
        <v>0.91666666666666663</v>
      </c>
      <c r="M701">
        <v>8</v>
      </c>
      <c r="N701">
        <v>0</v>
      </c>
      <c r="O701">
        <v>45</v>
      </c>
      <c r="P701">
        <v>76</v>
      </c>
      <c r="Q701" t="s">
        <v>99</v>
      </c>
      <c r="R701">
        <v>30</v>
      </c>
      <c r="S701" s="19">
        <v>0.79166666666666663</v>
      </c>
      <c r="T701">
        <v>0</v>
      </c>
      <c r="U701" s="19">
        <v>0.54166666666666663</v>
      </c>
      <c r="V701" t="s">
        <v>99</v>
      </c>
      <c r="W701">
        <v>7.5</v>
      </c>
      <c r="X701" t="s">
        <v>102</v>
      </c>
      <c r="Y701" t="b">
        <v>0</v>
      </c>
    </row>
    <row r="702" spans="1:25" x14ac:dyDescent="0.55000000000000004">
      <c r="A702" t="s">
        <v>94</v>
      </c>
      <c r="B702" t="s">
        <v>173</v>
      </c>
      <c r="C702" t="s">
        <v>96</v>
      </c>
      <c r="D702" t="s">
        <v>174</v>
      </c>
      <c r="E702" t="s">
        <v>222</v>
      </c>
      <c r="F702" t="s">
        <v>135</v>
      </c>
      <c r="G702">
        <v>23245</v>
      </c>
      <c r="H702" t="s">
        <v>182</v>
      </c>
      <c r="I702">
        <v>2</v>
      </c>
      <c r="J702" t="s">
        <v>115</v>
      </c>
      <c r="K702" s="19">
        <v>0.58333333333333337</v>
      </c>
      <c r="L702" s="19">
        <v>0.91666666666666663</v>
      </c>
      <c r="M702">
        <v>8</v>
      </c>
      <c r="N702">
        <v>394.99</v>
      </c>
      <c r="O702">
        <v>52.5</v>
      </c>
      <c r="P702">
        <v>76</v>
      </c>
      <c r="Q702" t="s">
        <v>99</v>
      </c>
      <c r="R702">
        <v>30</v>
      </c>
      <c r="S702" s="19">
        <v>0.79166666666666663</v>
      </c>
      <c r="T702">
        <v>0</v>
      </c>
      <c r="U702" s="19">
        <v>0.54166666666666663</v>
      </c>
      <c r="V702" t="s">
        <v>99</v>
      </c>
      <c r="W702">
        <v>7.5</v>
      </c>
      <c r="X702" t="s">
        <v>102</v>
      </c>
      <c r="Y702" t="b">
        <v>0</v>
      </c>
    </row>
    <row r="703" spans="1:25" x14ac:dyDescent="0.55000000000000004">
      <c r="A703" t="s">
        <v>94</v>
      </c>
      <c r="B703" t="s">
        <v>173</v>
      </c>
      <c r="C703" t="s">
        <v>96</v>
      </c>
      <c r="D703" t="s">
        <v>174</v>
      </c>
      <c r="E703" t="s">
        <v>222</v>
      </c>
      <c r="F703" t="s">
        <v>135</v>
      </c>
      <c r="G703">
        <v>23245</v>
      </c>
      <c r="H703" t="s">
        <v>182</v>
      </c>
      <c r="I703">
        <v>2</v>
      </c>
      <c r="J703" t="s">
        <v>116</v>
      </c>
      <c r="K703" s="19">
        <v>0.58333333333333337</v>
      </c>
      <c r="L703" s="19">
        <v>0.91666666666666663</v>
      </c>
      <c r="M703">
        <v>8</v>
      </c>
      <c r="N703">
        <v>460.82</v>
      </c>
      <c r="O703">
        <v>52.5</v>
      </c>
      <c r="P703">
        <v>76</v>
      </c>
      <c r="Q703" t="s">
        <v>99</v>
      </c>
      <c r="R703">
        <v>30</v>
      </c>
      <c r="S703" s="19">
        <v>0.79166666666666663</v>
      </c>
      <c r="T703">
        <v>0</v>
      </c>
      <c r="U703" s="19">
        <v>0.54166666666666663</v>
      </c>
      <c r="V703" t="s">
        <v>99</v>
      </c>
      <c r="W703">
        <v>7.5</v>
      </c>
      <c r="X703" t="s">
        <v>102</v>
      </c>
      <c r="Y703" t="b">
        <v>0</v>
      </c>
    </row>
    <row r="704" spans="1:25" x14ac:dyDescent="0.55000000000000004">
      <c r="A704" t="s">
        <v>94</v>
      </c>
      <c r="B704" t="s">
        <v>173</v>
      </c>
      <c r="C704" t="s">
        <v>96</v>
      </c>
      <c r="D704" t="s">
        <v>174</v>
      </c>
      <c r="E704" t="s">
        <v>222</v>
      </c>
      <c r="F704" t="s">
        <v>135</v>
      </c>
      <c r="G704">
        <v>23245</v>
      </c>
      <c r="H704" t="s">
        <v>182</v>
      </c>
      <c r="I704">
        <v>2</v>
      </c>
      <c r="J704" t="s">
        <v>103</v>
      </c>
      <c r="K704" s="19">
        <v>0.58333333333333337</v>
      </c>
      <c r="L704" s="19">
        <v>0.91666666666666663</v>
      </c>
      <c r="M704">
        <v>8</v>
      </c>
      <c r="N704">
        <v>296.24</v>
      </c>
      <c r="O704">
        <v>52.5</v>
      </c>
      <c r="P704">
        <v>76</v>
      </c>
      <c r="Q704" t="s">
        <v>99</v>
      </c>
      <c r="R704">
        <v>30</v>
      </c>
      <c r="S704" s="19">
        <v>0.79166666666666663</v>
      </c>
      <c r="T704">
        <v>0</v>
      </c>
      <c r="U704" s="19">
        <v>0.54166666666666663</v>
      </c>
      <c r="V704" t="s">
        <v>99</v>
      </c>
      <c r="W704">
        <v>7.5</v>
      </c>
      <c r="X704" t="s">
        <v>102</v>
      </c>
      <c r="Y704" t="b">
        <v>0</v>
      </c>
    </row>
    <row r="705" spans="1:25" x14ac:dyDescent="0.55000000000000004">
      <c r="A705" t="s">
        <v>94</v>
      </c>
      <c r="B705" t="s">
        <v>173</v>
      </c>
      <c r="C705" t="s">
        <v>96</v>
      </c>
      <c r="D705" t="s">
        <v>174</v>
      </c>
      <c r="E705" t="s">
        <v>222</v>
      </c>
      <c r="F705" t="s">
        <v>135</v>
      </c>
      <c r="G705">
        <v>24060</v>
      </c>
      <c r="H705" t="s">
        <v>228</v>
      </c>
      <c r="I705">
        <v>2</v>
      </c>
      <c r="J705" t="s">
        <v>107</v>
      </c>
      <c r="K705" s="19">
        <v>0.58333333333333337</v>
      </c>
      <c r="L705" s="19">
        <v>0.91666666666666663</v>
      </c>
      <c r="M705">
        <v>8</v>
      </c>
      <c r="N705">
        <v>281.39</v>
      </c>
      <c r="O705">
        <v>60</v>
      </c>
      <c r="P705">
        <v>76</v>
      </c>
      <c r="Q705" t="s">
        <v>99</v>
      </c>
      <c r="R705">
        <v>30</v>
      </c>
      <c r="S705" s="19">
        <v>0.79166666666666663</v>
      </c>
      <c r="T705">
        <v>0</v>
      </c>
      <c r="U705" s="19">
        <v>0</v>
      </c>
      <c r="V705" t="s">
        <v>99</v>
      </c>
      <c r="W705">
        <v>7.5</v>
      </c>
      <c r="X705" t="s">
        <v>102</v>
      </c>
      <c r="Y705" t="b">
        <v>0</v>
      </c>
    </row>
    <row r="706" spans="1:25" x14ac:dyDescent="0.55000000000000004">
      <c r="A706" t="s">
        <v>94</v>
      </c>
      <c r="B706" t="s">
        <v>173</v>
      </c>
      <c r="C706" t="s">
        <v>96</v>
      </c>
      <c r="D706" t="s">
        <v>174</v>
      </c>
      <c r="E706" t="s">
        <v>222</v>
      </c>
      <c r="F706" t="s">
        <v>135</v>
      </c>
      <c r="G706">
        <v>24060</v>
      </c>
      <c r="H706" t="s">
        <v>228</v>
      </c>
      <c r="I706">
        <v>2</v>
      </c>
      <c r="J706" t="s">
        <v>116</v>
      </c>
      <c r="K706" s="19">
        <v>0.58333333333333337</v>
      </c>
      <c r="L706" s="19">
        <v>0.91666666666666663</v>
      </c>
      <c r="M706">
        <v>8</v>
      </c>
      <c r="N706">
        <v>437.72</v>
      </c>
      <c r="O706">
        <v>60</v>
      </c>
      <c r="P706">
        <v>76</v>
      </c>
      <c r="Q706" t="s">
        <v>99</v>
      </c>
      <c r="R706">
        <v>30</v>
      </c>
      <c r="S706" s="19">
        <v>0.79166666666666663</v>
      </c>
      <c r="T706">
        <v>0</v>
      </c>
      <c r="U706" s="19">
        <v>0</v>
      </c>
      <c r="V706" t="s">
        <v>99</v>
      </c>
      <c r="W706">
        <v>7.5</v>
      </c>
      <c r="X706" t="s">
        <v>102</v>
      </c>
      <c r="Y706" t="b">
        <v>0</v>
      </c>
    </row>
    <row r="707" spans="1:25" x14ac:dyDescent="0.55000000000000004">
      <c r="A707" t="s">
        <v>94</v>
      </c>
      <c r="B707" t="s">
        <v>173</v>
      </c>
      <c r="C707" t="s">
        <v>96</v>
      </c>
      <c r="D707" t="s">
        <v>174</v>
      </c>
      <c r="E707" t="s">
        <v>222</v>
      </c>
      <c r="F707" t="s">
        <v>135</v>
      </c>
      <c r="G707">
        <v>24562</v>
      </c>
      <c r="H707" t="s">
        <v>229</v>
      </c>
      <c r="I707">
        <v>2</v>
      </c>
      <c r="J707" t="s">
        <v>107</v>
      </c>
      <c r="K707" s="19">
        <v>0.58333333333333337</v>
      </c>
      <c r="L707" s="19">
        <v>0.91666666666666663</v>
      </c>
      <c r="M707">
        <v>8</v>
      </c>
      <c r="N707">
        <v>296.24</v>
      </c>
      <c r="O707">
        <v>52.5</v>
      </c>
      <c r="P707">
        <v>76</v>
      </c>
      <c r="Q707" t="s">
        <v>99</v>
      </c>
      <c r="R707">
        <v>30</v>
      </c>
      <c r="S707" s="19">
        <v>0.79166666666666663</v>
      </c>
      <c r="T707">
        <v>0</v>
      </c>
      <c r="U707" s="19">
        <v>0.54166666666666663</v>
      </c>
      <c r="V707" t="s">
        <v>99</v>
      </c>
      <c r="W707">
        <v>7.5</v>
      </c>
      <c r="X707" t="s">
        <v>102</v>
      </c>
      <c r="Y707" t="b">
        <v>0</v>
      </c>
    </row>
    <row r="708" spans="1:25" x14ac:dyDescent="0.55000000000000004">
      <c r="A708" t="s">
        <v>94</v>
      </c>
      <c r="B708" t="s">
        <v>173</v>
      </c>
      <c r="C708" t="s">
        <v>96</v>
      </c>
      <c r="D708" t="s">
        <v>174</v>
      </c>
      <c r="E708" t="s">
        <v>222</v>
      </c>
      <c r="F708" t="s">
        <v>135</v>
      </c>
      <c r="G708">
        <v>24562</v>
      </c>
      <c r="H708" t="s">
        <v>229</v>
      </c>
      <c r="I708">
        <v>2</v>
      </c>
      <c r="J708" t="s">
        <v>101</v>
      </c>
      <c r="K708" s="19">
        <v>0.58333333333333337</v>
      </c>
      <c r="L708" s="19">
        <v>0.91666666666666663</v>
      </c>
      <c r="M708">
        <v>8</v>
      </c>
      <c r="N708">
        <v>296.24</v>
      </c>
      <c r="O708">
        <v>52.5</v>
      </c>
      <c r="P708">
        <v>76</v>
      </c>
      <c r="Q708" t="s">
        <v>99</v>
      </c>
      <c r="R708">
        <v>30</v>
      </c>
      <c r="S708" s="19">
        <v>0.79166666666666663</v>
      </c>
      <c r="T708">
        <v>0</v>
      </c>
      <c r="U708" s="19">
        <v>0.54166666666666663</v>
      </c>
      <c r="V708" t="s">
        <v>99</v>
      </c>
      <c r="W708">
        <v>7.5</v>
      </c>
      <c r="X708" t="s">
        <v>102</v>
      </c>
      <c r="Y708" t="b">
        <v>0</v>
      </c>
    </row>
    <row r="709" spans="1:25" x14ac:dyDescent="0.55000000000000004">
      <c r="A709" t="s">
        <v>94</v>
      </c>
      <c r="B709" t="s">
        <v>173</v>
      </c>
      <c r="C709" t="s">
        <v>96</v>
      </c>
      <c r="D709" t="s">
        <v>174</v>
      </c>
      <c r="E709" t="s">
        <v>222</v>
      </c>
      <c r="F709" t="s">
        <v>135</v>
      </c>
      <c r="G709">
        <v>24562</v>
      </c>
      <c r="H709" t="s">
        <v>229</v>
      </c>
      <c r="I709">
        <v>2</v>
      </c>
      <c r="J709" t="s">
        <v>105</v>
      </c>
      <c r="K709" s="19">
        <v>0.58333333333333337</v>
      </c>
      <c r="L709" s="19">
        <v>0.91666666666666663</v>
      </c>
      <c r="M709">
        <v>8</v>
      </c>
      <c r="N709">
        <v>296.24</v>
      </c>
      <c r="O709">
        <v>52.5</v>
      </c>
      <c r="P709">
        <v>76</v>
      </c>
      <c r="Q709" t="s">
        <v>99</v>
      </c>
      <c r="R709">
        <v>30</v>
      </c>
      <c r="S709" s="19">
        <v>0.79166666666666663</v>
      </c>
      <c r="T709">
        <v>0</v>
      </c>
      <c r="U709" s="19">
        <v>0.54166666666666663</v>
      </c>
      <c r="V709" t="s">
        <v>99</v>
      </c>
      <c r="W709">
        <v>7.5</v>
      </c>
      <c r="X709" t="s">
        <v>102</v>
      </c>
      <c r="Y709" t="b">
        <v>0</v>
      </c>
    </row>
    <row r="710" spans="1:25" x14ac:dyDescent="0.55000000000000004">
      <c r="A710" t="s">
        <v>94</v>
      </c>
      <c r="B710" t="s">
        <v>173</v>
      </c>
      <c r="C710" t="s">
        <v>96</v>
      </c>
      <c r="D710" t="s">
        <v>174</v>
      </c>
      <c r="E710" t="s">
        <v>222</v>
      </c>
      <c r="F710" t="s">
        <v>135</v>
      </c>
      <c r="G710">
        <v>24819</v>
      </c>
      <c r="H710" t="s">
        <v>230</v>
      </c>
      <c r="I710">
        <v>2</v>
      </c>
      <c r="J710" t="s">
        <v>105</v>
      </c>
      <c r="K710" s="19">
        <v>0.5625</v>
      </c>
      <c r="L710" s="19">
        <v>0.91666666666666663</v>
      </c>
      <c r="M710">
        <v>8.5</v>
      </c>
      <c r="N710">
        <v>315.99</v>
      </c>
      <c r="O710">
        <v>76</v>
      </c>
      <c r="P710">
        <v>76</v>
      </c>
      <c r="Q710" t="s">
        <v>99</v>
      </c>
      <c r="R710">
        <v>30</v>
      </c>
      <c r="S710" s="19">
        <v>0.77083333333333337</v>
      </c>
      <c r="T710">
        <v>0</v>
      </c>
      <c r="U710" s="19">
        <v>0.54166666666666663</v>
      </c>
      <c r="V710" t="s">
        <v>99</v>
      </c>
      <c r="W710">
        <v>8</v>
      </c>
      <c r="X710" t="s">
        <v>102</v>
      </c>
      <c r="Y710" t="b">
        <v>0</v>
      </c>
    </row>
    <row r="711" spans="1:25" x14ac:dyDescent="0.55000000000000004">
      <c r="A711" t="s">
        <v>94</v>
      </c>
      <c r="B711" t="s">
        <v>173</v>
      </c>
      <c r="C711" t="s">
        <v>96</v>
      </c>
      <c r="D711" t="s">
        <v>174</v>
      </c>
      <c r="E711" t="s">
        <v>222</v>
      </c>
      <c r="F711" t="s">
        <v>135</v>
      </c>
      <c r="G711">
        <v>25109</v>
      </c>
      <c r="H711" t="s">
        <v>231</v>
      </c>
      <c r="I711">
        <v>1</v>
      </c>
      <c r="J711" t="s">
        <v>107</v>
      </c>
      <c r="K711" s="19">
        <v>0.5625</v>
      </c>
      <c r="L711" s="19">
        <v>0.91666666666666663</v>
      </c>
      <c r="M711">
        <v>8.5</v>
      </c>
      <c r="N711">
        <v>315.99</v>
      </c>
      <c r="O711">
        <v>76</v>
      </c>
      <c r="P711">
        <v>76</v>
      </c>
      <c r="Q711" t="s">
        <v>99</v>
      </c>
      <c r="R711">
        <v>30</v>
      </c>
      <c r="S711" s="19">
        <v>0.77083333333333337</v>
      </c>
      <c r="T711">
        <v>0</v>
      </c>
      <c r="U711" s="19">
        <v>0.54166666666666663</v>
      </c>
      <c r="V711" t="s">
        <v>99</v>
      </c>
      <c r="W711">
        <v>8</v>
      </c>
      <c r="X711" t="s">
        <v>102</v>
      </c>
      <c r="Y711" t="b">
        <v>0</v>
      </c>
    </row>
    <row r="712" spans="1:25" x14ac:dyDescent="0.55000000000000004">
      <c r="A712" t="s">
        <v>94</v>
      </c>
      <c r="B712" t="s">
        <v>173</v>
      </c>
      <c r="C712" t="s">
        <v>96</v>
      </c>
      <c r="D712" t="s">
        <v>174</v>
      </c>
      <c r="E712" t="s">
        <v>222</v>
      </c>
      <c r="F712" t="s">
        <v>135</v>
      </c>
      <c r="G712">
        <v>25175</v>
      </c>
      <c r="H712" t="s">
        <v>201</v>
      </c>
      <c r="I712">
        <v>2</v>
      </c>
      <c r="J712" t="s">
        <v>104</v>
      </c>
      <c r="K712" s="19">
        <v>0.58333333333333337</v>
      </c>
      <c r="L712" s="19">
        <v>0.91666666666666663</v>
      </c>
      <c r="M712">
        <v>8</v>
      </c>
      <c r="N712">
        <v>296.24</v>
      </c>
      <c r="O712">
        <v>75</v>
      </c>
      <c r="P712">
        <v>76</v>
      </c>
      <c r="Q712" t="s">
        <v>99</v>
      </c>
      <c r="R712">
        <v>30</v>
      </c>
      <c r="S712" s="19">
        <v>0.79166666666666663</v>
      </c>
      <c r="T712">
        <v>0</v>
      </c>
      <c r="U712" s="19">
        <v>0.54166666666666663</v>
      </c>
      <c r="V712" t="s">
        <v>99</v>
      </c>
      <c r="W712">
        <v>7.5</v>
      </c>
      <c r="X712" t="s">
        <v>102</v>
      </c>
      <c r="Y712" t="b">
        <v>0</v>
      </c>
    </row>
    <row r="713" spans="1:25" x14ac:dyDescent="0.55000000000000004">
      <c r="A713" t="s">
        <v>94</v>
      </c>
      <c r="B713" t="s">
        <v>173</v>
      </c>
      <c r="C713" t="s">
        <v>96</v>
      </c>
      <c r="D713" t="s">
        <v>174</v>
      </c>
      <c r="E713" t="s">
        <v>222</v>
      </c>
      <c r="F713" t="s">
        <v>135</v>
      </c>
      <c r="G713">
        <v>25302</v>
      </c>
      <c r="H713" t="s">
        <v>232</v>
      </c>
      <c r="I713">
        <v>2</v>
      </c>
      <c r="J713" t="s">
        <v>103</v>
      </c>
      <c r="K713" s="19">
        <v>0.58333333333333337</v>
      </c>
      <c r="L713" s="19">
        <v>0.91666666666666663</v>
      </c>
      <c r="M713">
        <v>8</v>
      </c>
      <c r="N713">
        <v>296.24</v>
      </c>
      <c r="O713">
        <v>60</v>
      </c>
      <c r="P713">
        <v>76</v>
      </c>
      <c r="Q713" t="s">
        <v>99</v>
      </c>
      <c r="R713">
        <v>30</v>
      </c>
      <c r="S713" s="19">
        <v>0.79166666666666663</v>
      </c>
      <c r="T713">
        <v>0</v>
      </c>
      <c r="U713" s="19">
        <v>0.54166666666666663</v>
      </c>
      <c r="V713" t="s">
        <v>99</v>
      </c>
      <c r="W713">
        <v>7.5</v>
      </c>
      <c r="X713" t="s">
        <v>102</v>
      </c>
      <c r="Y713" t="b">
        <v>0</v>
      </c>
    </row>
    <row r="714" spans="1:25" x14ac:dyDescent="0.55000000000000004">
      <c r="A714" t="s">
        <v>94</v>
      </c>
      <c r="B714" t="s">
        <v>173</v>
      </c>
      <c r="C714" t="s">
        <v>96</v>
      </c>
      <c r="D714" t="s">
        <v>174</v>
      </c>
      <c r="E714" t="s">
        <v>222</v>
      </c>
      <c r="F714" t="s">
        <v>135</v>
      </c>
      <c r="G714">
        <v>25376</v>
      </c>
      <c r="H714" t="s">
        <v>233</v>
      </c>
      <c r="I714">
        <v>1</v>
      </c>
      <c r="J714" t="s">
        <v>115</v>
      </c>
      <c r="K714" s="19">
        <v>0.58333333333333337</v>
      </c>
      <c r="L714" s="19">
        <v>0.91666666666666663</v>
      </c>
      <c r="M714">
        <v>8</v>
      </c>
      <c r="N714">
        <v>394.99</v>
      </c>
      <c r="O714">
        <v>52.5</v>
      </c>
      <c r="P714">
        <v>76</v>
      </c>
      <c r="Q714" t="s">
        <v>99</v>
      </c>
      <c r="R714">
        <v>30</v>
      </c>
      <c r="S714" s="19">
        <v>0.79166666666666663</v>
      </c>
      <c r="T714">
        <v>0</v>
      </c>
      <c r="U714" s="19">
        <v>0.54166666666666663</v>
      </c>
      <c r="V714" t="s">
        <v>99</v>
      </c>
      <c r="W714">
        <v>7.5</v>
      </c>
      <c r="X714" t="s">
        <v>102</v>
      </c>
      <c r="Y714" t="b">
        <v>0</v>
      </c>
    </row>
    <row r="715" spans="1:25" x14ac:dyDescent="0.55000000000000004">
      <c r="A715" t="s">
        <v>94</v>
      </c>
      <c r="B715" t="s">
        <v>173</v>
      </c>
      <c r="C715" t="s">
        <v>96</v>
      </c>
      <c r="D715" t="s">
        <v>174</v>
      </c>
      <c r="E715" t="s">
        <v>222</v>
      </c>
      <c r="F715" t="s">
        <v>135</v>
      </c>
      <c r="G715">
        <v>25376</v>
      </c>
      <c r="H715" t="s">
        <v>233</v>
      </c>
      <c r="I715">
        <v>1</v>
      </c>
      <c r="J715" t="s">
        <v>103</v>
      </c>
      <c r="K715" s="19">
        <v>0.58333333333333337</v>
      </c>
      <c r="L715" s="19">
        <v>0.91666666666666663</v>
      </c>
      <c r="M715">
        <v>8</v>
      </c>
      <c r="N715">
        <v>296.24</v>
      </c>
      <c r="O715">
        <v>52.5</v>
      </c>
      <c r="P715">
        <v>76</v>
      </c>
      <c r="Q715" t="s">
        <v>99</v>
      </c>
      <c r="R715">
        <v>30</v>
      </c>
      <c r="S715" s="19">
        <v>0.79166666666666663</v>
      </c>
      <c r="T715">
        <v>0</v>
      </c>
      <c r="U715" s="19">
        <v>0.54166666666666663</v>
      </c>
      <c r="V715" t="s">
        <v>99</v>
      </c>
      <c r="W715">
        <v>7.5</v>
      </c>
      <c r="X715" t="s">
        <v>102</v>
      </c>
      <c r="Y715" t="b">
        <v>0</v>
      </c>
    </row>
    <row r="716" spans="1:25" x14ac:dyDescent="0.55000000000000004">
      <c r="A716" t="s">
        <v>94</v>
      </c>
      <c r="B716" t="s">
        <v>173</v>
      </c>
      <c r="C716" t="s">
        <v>96</v>
      </c>
      <c r="D716" t="s">
        <v>174</v>
      </c>
      <c r="E716" t="s">
        <v>222</v>
      </c>
      <c r="F716" t="s">
        <v>135</v>
      </c>
      <c r="G716">
        <v>25376</v>
      </c>
      <c r="H716" t="s">
        <v>233</v>
      </c>
      <c r="I716">
        <v>2</v>
      </c>
      <c r="J716" t="s">
        <v>107</v>
      </c>
      <c r="K716" s="19">
        <v>0.58333333333333337</v>
      </c>
      <c r="L716" s="19">
        <v>0.91666666666666663</v>
      </c>
      <c r="M716">
        <v>8</v>
      </c>
      <c r="N716">
        <v>296.24</v>
      </c>
      <c r="O716">
        <v>52.5</v>
      </c>
      <c r="P716">
        <v>76</v>
      </c>
      <c r="Q716" t="s">
        <v>99</v>
      </c>
      <c r="R716">
        <v>30</v>
      </c>
      <c r="S716" s="19">
        <v>0.79166666666666663</v>
      </c>
      <c r="T716">
        <v>0</v>
      </c>
      <c r="U716" s="19">
        <v>0.54166666666666663</v>
      </c>
      <c r="V716" t="s">
        <v>99</v>
      </c>
      <c r="W716">
        <v>7.5</v>
      </c>
      <c r="X716" t="s">
        <v>102</v>
      </c>
      <c r="Y716" t="b">
        <v>0</v>
      </c>
    </row>
    <row r="717" spans="1:25" x14ac:dyDescent="0.55000000000000004">
      <c r="A717" t="s">
        <v>94</v>
      </c>
      <c r="B717" t="s">
        <v>173</v>
      </c>
      <c r="C717" t="s">
        <v>96</v>
      </c>
      <c r="D717" t="s">
        <v>174</v>
      </c>
      <c r="E717" t="s">
        <v>222</v>
      </c>
      <c r="F717" t="s">
        <v>135</v>
      </c>
      <c r="G717">
        <v>26072</v>
      </c>
      <c r="H717" t="s">
        <v>191</v>
      </c>
      <c r="I717">
        <v>1</v>
      </c>
      <c r="J717" t="s">
        <v>105</v>
      </c>
      <c r="K717" s="19">
        <v>0.58333333333333337</v>
      </c>
      <c r="L717" s="19">
        <v>0.91666666666666663</v>
      </c>
      <c r="M717">
        <v>8</v>
      </c>
      <c r="N717">
        <v>366.3</v>
      </c>
      <c r="O717">
        <v>45</v>
      </c>
      <c r="P717">
        <v>76</v>
      </c>
      <c r="Q717" t="s">
        <v>99</v>
      </c>
      <c r="R717">
        <v>30</v>
      </c>
      <c r="S717" s="19">
        <v>0.79166666666666663</v>
      </c>
      <c r="T717">
        <v>0</v>
      </c>
      <c r="U717" s="19">
        <v>0.54166666666666663</v>
      </c>
      <c r="V717" t="s">
        <v>99</v>
      </c>
      <c r="W717">
        <v>7.5</v>
      </c>
      <c r="X717" t="s">
        <v>102</v>
      </c>
      <c r="Y717" t="b">
        <v>0</v>
      </c>
    </row>
    <row r="718" spans="1:25" x14ac:dyDescent="0.55000000000000004">
      <c r="A718" t="s">
        <v>94</v>
      </c>
      <c r="B718" t="s">
        <v>173</v>
      </c>
      <c r="C718" t="s">
        <v>96</v>
      </c>
      <c r="D718" t="s">
        <v>174</v>
      </c>
      <c r="E718" t="s">
        <v>222</v>
      </c>
      <c r="F718" t="s">
        <v>135</v>
      </c>
      <c r="G718">
        <v>26358</v>
      </c>
      <c r="H718" t="s">
        <v>203</v>
      </c>
      <c r="I718">
        <v>1</v>
      </c>
      <c r="J718" t="s">
        <v>103</v>
      </c>
      <c r="K718" s="19">
        <v>0.58333333333333337</v>
      </c>
      <c r="L718" s="19">
        <v>0.91666666666666663</v>
      </c>
      <c r="M718">
        <v>8</v>
      </c>
      <c r="N718">
        <v>377.85</v>
      </c>
      <c r="O718">
        <v>0</v>
      </c>
      <c r="P718">
        <v>76</v>
      </c>
      <c r="Q718" t="s">
        <v>99</v>
      </c>
      <c r="R718">
        <v>30</v>
      </c>
      <c r="S718" s="19">
        <v>0.79166666666666663</v>
      </c>
      <c r="T718">
        <v>0</v>
      </c>
      <c r="U718" s="19">
        <v>0.54166666666666663</v>
      </c>
      <c r="V718" t="s">
        <v>99</v>
      </c>
      <c r="W718">
        <v>7.5</v>
      </c>
      <c r="X718" t="s">
        <v>102</v>
      </c>
      <c r="Y718" t="b">
        <v>0</v>
      </c>
    </row>
    <row r="719" spans="1:25" x14ac:dyDescent="0.55000000000000004">
      <c r="A719" t="s">
        <v>94</v>
      </c>
      <c r="B719" t="s">
        <v>173</v>
      </c>
      <c r="C719" t="s">
        <v>96</v>
      </c>
      <c r="D719" t="s">
        <v>174</v>
      </c>
      <c r="E719" t="s">
        <v>222</v>
      </c>
      <c r="F719" t="s">
        <v>135</v>
      </c>
      <c r="G719">
        <v>26401</v>
      </c>
      <c r="H719" t="s">
        <v>234</v>
      </c>
      <c r="I719">
        <v>2</v>
      </c>
      <c r="J719" t="s">
        <v>115</v>
      </c>
      <c r="K719" s="19">
        <v>0.58333333333333337</v>
      </c>
      <c r="L719" s="19">
        <v>0.91666666666666663</v>
      </c>
      <c r="M719">
        <v>8</v>
      </c>
      <c r="N719">
        <v>407.59</v>
      </c>
      <c r="O719">
        <v>52.5</v>
      </c>
      <c r="P719">
        <v>76</v>
      </c>
      <c r="Q719" t="s">
        <v>99</v>
      </c>
      <c r="R719">
        <v>30</v>
      </c>
      <c r="S719" s="19">
        <v>0.79166666666666663</v>
      </c>
      <c r="T719">
        <v>0</v>
      </c>
      <c r="U719" s="19">
        <v>0</v>
      </c>
      <c r="V719" t="s">
        <v>99</v>
      </c>
      <c r="W719">
        <v>7.5</v>
      </c>
      <c r="X719" t="s">
        <v>102</v>
      </c>
      <c r="Y719" t="b">
        <v>0</v>
      </c>
    </row>
    <row r="720" spans="1:25" x14ac:dyDescent="0.55000000000000004">
      <c r="A720" t="s">
        <v>94</v>
      </c>
      <c r="B720" t="s">
        <v>173</v>
      </c>
      <c r="C720" t="s">
        <v>96</v>
      </c>
      <c r="D720" t="s">
        <v>174</v>
      </c>
      <c r="E720" t="s">
        <v>222</v>
      </c>
      <c r="F720" t="s">
        <v>135</v>
      </c>
      <c r="G720">
        <v>26401</v>
      </c>
      <c r="H720" t="s">
        <v>234</v>
      </c>
      <c r="I720">
        <v>2</v>
      </c>
      <c r="J720" t="s">
        <v>103</v>
      </c>
      <c r="K720" s="19">
        <v>0.58333333333333337</v>
      </c>
      <c r="L720" s="19">
        <v>0.91666666666666663</v>
      </c>
      <c r="M720">
        <v>8</v>
      </c>
      <c r="N720">
        <v>373.62</v>
      </c>
      <c r="O720">
        <v>52.5</v>
      </c>
      <c r="P720">
        <v>76</v>
      </c>
      <c r="Q720" t="s">
        <v>99</v>
      </c>
      <c r="R720">
        <v>30</v>
      </c>
      <c r="S720" s="19">
        <v>0.79166666666666663</v>
      </c>
      <c r="T720">
        <v>0</v>
      </c>
      <c r="U720" s="19">
        <v>0.54166666666666663</v>
      </c>
      <c r="V720" t="s">
        <v>99</v>
      </c>
      <c r="W720">
        <v>7.5</v>
      </c>
      <c r="X720" t="s">
        <v>102</v>
      </c>
      <c r="Y720" t="b">
        <v>0</v>
      </c>
    </row>
    <row r="721" spans="1:25" x14ac:dyDescent="0.55000000000000004">
      <c r="A721" t="s">
        <v>94</v>
      </c>
      <c r="B721" t="s">
        <v>173</v>
      </c>
      <c r="C721" t="s">
        <v>96</v>
      </c>
      <c r="D721" t="s">
        <v>174</v>
      </c>
      <c r="E721" t="s">
        <v>222</v>
      </c>
      <c r="F721" t="s">
        <v>139</v>
      </c>
      <c r="H721" t="s">
        <v>99</v>
      </c>
      <c r="I721">
        <v>2</v>
      </c>
      <c r="J721" t="s">
        <v>105</v>
      </c>
      <c r="K721" s="19">
        <v>0.58333333333333337</v>
      </c>
      <c r="L721" s="19">
        <v>0.91666666666666663</v>
      </c>
      <c r="M721">
        <v>8</v>
      </c>
      <c r="N721">
        <v>281.39</v>
      </c>
      <c r="O721">
        <v>0</v>
      </c>
      <c r="P721">
        <v>0</v>
      </c>
      <c r="Q721" t="s">
        <v>99</v>
      </c>
      <c r="R721">
        <v>30</v>
      </c>
      <c r="S721" s="19">
        <v>0.79166666666666663</v>
      </c>
      <c r="T721">
        <v>0</v>
      </c>
      <c r="U721" s="19">
        <v>0.54166666666666663</v>
      </c>
      <c r="V721" t="s">
        <v>99</v>
      </c>
      <c r="W721">
        <v>7.5</v>
      </c>
      <c r="X721" t="s">
        <v>102</v>
      </c>
      <c r="Y721" t="b">
        <v>0</v>
      </c>
    </row>
    <row r="722" spans="1:25" x14ac:dyDescent="0.55000000000000004">
      <c r="A722" t="s">
        <v>94</v>
      </c>
      <c r="B722" t="s">
        <v>173</v>
      </c>
      <c r="C722" t="s">
        <v>96</v>
      </c>
      <c r="D722" t="s">
        <v>174</v>
      </c>
      <c r="E722" t="s">
        <v>222</v>
      </c>
      <c r="F722" t="s">
        <v>139</v>
      </c>
      <c r="G722">
        <v>19255</v>
      </c>
      <c r="H722" t="s">
        <v>235</v>
      </c>
      <c r="I722">
        <v>1</v>
      </c>
      <c r="J722" t="s">
        <v>101</v>
      </c>
      <c r="K722" s="19">
        <v>0.58333333333333337</v>
      </c>
      <c r="L722" s="19">
        <v>0.91666666666666663</v>
      </c>
      <c r="M722">
        <v>8</v>
      </c>
      <c r="N722">
        <v>0</v>
      </c>
      <c r="O722">
        <v>67.5</v>
      </c>
      <c r="P722">
        <v>76</v>
      </c>
      <c r="Q722" t="s">
        <v>99</v>
      </c>
      <c r="R722">
        <v>30</v>
      </c>
      <c r="S722" s="19">
        <v>0.79166666666666663</v>
      </c>
      <c r="T722">
        <v>0</v>
      </c>
      <c r="U722" s="19">
        <v>0.54166666666666663</v>
      </c>
      <c r="V722" t="s">
        <v>99</v>
      </c>
      <c r="W722">
        <v>7.5</v>
      </c>
      <c r="X722" t="s">
        <v>102</v>
      </c>
      <c r="Y722" t="b">
        <v>0</v>
      </c>
    </row>
    <row r="723" spans="1:25" x14ac:dyDescent="0.55000000000000004">
      <c r="A723" t="s">
        <v>94</v>
      </c>
      <c r="B723" t="s">
        <v>173</v>
      </c>
      <c r="C723" t="s">
        <v>96</v>
      </c>
      <c r="D723" t="s">
        <v>174</v>
      </c>
      <c r="E723" t="s">
        <v>222</v>
      </c>
      <c r="F723" t="s">
        <v>139</v>
      </c>
      <c r="G723">
        <v>19255</v>
      </c>
      <c r="H723" t="s">
        <v>235</v>
      </c>
      <c r="I723">
        <v>1</v>
      </c>
      <c r="J723" t="s">
        <v>116</v>
      </c>
      <c r="K723" s="19">
        <v>0.58333333333333337</v>
      </c>
      <c r="L723" s="19">
        <v>0.91666666666666663</v>
      </c>
      <c r="M723">
        <v>8</v>
      </c>
      <c r="N723">
        <v>0</v>
      </c>
      <c r="O723">
        <v>67.5</v>
      </c>
      <c r="P723">
        <v>76</v>
      </c>
      <c r="Q723" t="s">
        <v>99</v>
      </c>
      <c r="R723">
        <v>30</v>
      </c>
      <c r="S723" s="19">
        <v>0.79166666666666663</v>
      </c>
      <c r="T723">
        <v>0</v>
      </c>
      <c r="U723" s="19">
        <v>0</v>
      </c>
      <c r="V723" t="s">
        <v>99</v>
      </c>
      <c r="W723">
        <v>7.5</v>
      </c>
      <c r="X723" t="s">
        <v>102</v>
      </c>
      <c r="Y723" t="b">
        <v>0</v>
      </c>
    </row>
    <row r="724" spans="1:25" x14ac:dyDescent="0.55000000000000004">
      <c r="A724" t="s">
        <v>94</v>
      </c>
      <c r="B724" t="s">
        <v>173</v>
      </c>
      <c r="C724" t="s">
        <v>96</v>
      </c>
      <c r="D724" t="s">
        <v>174</v>
      </c>
      <c r="E724" t="s">
        <v>222</v>
      </c>
      <c r="F724" t="s">
        <v>139</v>
      </c>
      <c r="G724">
        <v>19255</v>
      </c>
      <c r="H724" t="s">
        <v>235</v>
      </c>
      <c r="I724">
        <v>1</v>
      </c>
      <c r="J724" t="s">
        <v>104</v>
      </c>
      <c r="K724" s="19">
        <v>0.58333333333333337</v>
      </c>
      <c r="L724" s="19">
        <v>0.91666666666666663</v>
      </c>
      <c r="M724">
        <v>8</v>
      </c>
      <c r="N724">
        <v>0</v>
      </c>
      <c r="O724">
        <v>67.5</v>
      </c>
      <c r="P724">
        <v>76</v>
      </c>
      <c r="Q724" t="s">
        <v>99</v>
      </c>
      <c r="R724">
        <v>30</v>
      </c>
      <c r="S724" s="19">
        <v>0.79166666666666663</v>
      </c>
      <c r="T724">
        <v>0</v>
      </c>
      <c r="U724" s="19">
        <v>0.54166666666666663</v>
      </c>
      <c r="V724" t="s">
        <v>99</v>
      </c>
      <c r="W724">
        <v>7.5</v>
      </c>
      <c r="X724" t="s">
        <v>102</v>
      </c>
      <c r="Y724" t="b">
        <v>0</v>
      </c>
    </row>
    <row r="725" spans="1:25" x14ac:dyDescent="0.55000000000000004">
      <c r="A725" t="s">
        <v>94</v>
      </c>
      <c r="B725" t="s">
        <v>173</v>
      </c>
      <c r="C725" t="s">
        <v>96</v>
      </c>
      <c r="D725" t="s">
        <v>174</v>
      </c>
      <c r="E725" t="s">
        <v>222</v>
      </c>
      <c r="F725" t="s">
        <v>139</v>
      </c>
      <c r="G725">
        <v>19255</v>
      </c>
      <c r="H725" t="s">
        <v>235</v>
      </c>
      <c r="I725">
        <v>1</v>
      </c>
      <c r="J725" t="s">
        <v>105</v>
      </c>
      <c r="K725" s="19">
        <v>0.625</v>
      </c>
      <c r="L725" s="19">
        <v>0.875</v>
      </c>
      <c r="M725">
        <v>6</v>
      </c>
      <c r="N725">
        <v>0</v>
      </c>
      <c r="O725">
        <v>67.5</v>
      </c>
      <c r="P725">
        <v>76</v>
      </c>
      <c r="Q725" t="s">
        <v>99</v>
      </c>
      <c r="R725">
        <v>30</v>
      </c>
      <c r="S725" s="19">
        <v>0.75</v>
      </c>
      <c r="T725">
        <v>0</v>
      </c>
      <c r="U725" s="19">
        <v>0.54166666666666663</v>
      </c>
      <c r="V725" t="s">
        <v>99</v>
      </c>
      <c r="W725">
        <v>5.5</v>
      </c>
      <c r="X725" t="s">
        <v>102</v>
      </c>
      <c r="Y725" t="b">
        <v>0</v>
      </c>
    </row>
    <row r="726" spans="1:25" x14ac:dyDescent="0.55000000000000004">
      <c r="A726" t="s">
        <v>94</v>
      </c>
      <c r="B726" t="s">
        <v>173</v>
      </c>
      <c r="C726" t="s">
        <v>96</v>
      </c>
      <c r="D726" t="s">
        <v>174</v>
      </c>
      <c r="E726" t="s">
        <v>222</v>
      </c>
      <c r="F726" t="s">
        <v>139</v>
      </c>
      <c r="G726">
        <v>19255</v>
      </c>
      <c r="H726" t="s">
        <v>235</v>
      </c>
      <c r="I726">
        <v>2</v>
      </c>
      <c r="J726" t="s">
        <v>116</v>
      </c>
      <c r="K726" s="19">
        <v>0.58333333333333337</v>
      </c>
      <c r="L726" s="19">
        <v>0.91666666666666663</v>
      </c>
      <c r="M726">
        <v>8</v>
      </c>
      <c r="N726">
        <v>0</v>
      </c>
      <c r="O726">
        <v>67.5</v>
      </c>
      <c r="P726">
        <v>76</v>
      </c>
      <c r="Q726" t="s">
        <v>99</v>
      </c>
      <c r="R726">
        <v>30</v>
      </c>
      <c r="S726" s="19">
        <v>0.79166666666666663</v>
      </c>
      <c r="T726">
        <v>0</v>
      </c>
      <c r="U726" s="19">
        <v>0.54166666666666663</v>
      </c>
      <c r="V726" t="s">
        <v>99</v>
      </c>
      <c r="W726">
        <v>7.5</v>
      </c>
      <c r="X726" t="s">
        <v>102</v>
      </c>
      <c r="Y726" t="b">
        <v>0</v>
      </c>
    </row>
    <row r="727" spans="1:25" x14ac:dyDescent="0.55000000000000004">
      <c r="A727" t="s">
        <v>94</v>
      </c>
      <c r="B727" t="s">
        <v>173</v>
      </c>
      <c r="C727" t="s">
        <v>96</v>
      </c>
      <c r="D727" t="s">
        <v>174</v>
      </c>
      <c r="E727" t="s">
        <v>222</v>
      </c>
      <c r="F727" t="s">
        <v>139</v>
      </c>
      <c r="G727">
        <v>19255</v>
      </c>
      <c r="H727" t="s">
        <v>235</v>
      </c>
      <c r="I727">
        <v>2</v>
      </c>
      <c r="J727" t="s">
        <v>103</v>
      </c>
      <c r="K727" s="19">
        <v>0.58333333333333337</v>
      </c>
      <c r="L727" s="19">
        <v>0.91666666666666663</v>
      </c>
      <c r="M727">
        <v>8</v>
      </c>
      <c r="N727">
        <v>0</v>
      </c>
      <c r="O727">
        <v>67.5</v>
      </c>
      <c r="P727">
        <v>76</v>
      </c>
      <c r="Q727" t="s">
        <v>99</v>
      </c>
      <c r="R727">
        <v>30</v>
      </c>
      <c r="S727" s="19">
        <v>0.79166666666666663</v>
      </c>
      <c r="T727">
        <v>0</v>
      </c>
      <c r="U727" s="19">
        <v>0</v>
      </c>
      <c r="V727" t="s">
        <v>99</v>
      </c>
      <c r="W727">
        <v>7.5</v>
      </c>
      <c r="X727" t="s">
        <v>102</v>
      </c>
      <c r="Y727" t="b">
        <v>0</v>
      </c>
    </row>
    <row r="728" spans="1:25" x14ac:dyDescent="0.55000000000000004">
      <c r="A728" t="s">
        <v>94</v>
      </c>
      <c r="B728" t="s">
        <v>173</v>
      </c>
      <c r="C728" t="s">
        <v>96</v>
      </c>
      <c r="D728" t="s">
        <v>174</v>
      </c>
      <c r="E728" t="s">
        <v>222</v>
      </c>
      <c r="F728" t="s">
        <v>139</v>
      </c>
      <c r="G728">
        <v>19255</v>
      </c>
      <c r="H728" t="s">
        <v>235</v>
      </c>
      <c r="I728">
        <v>2</v>
      </c>
      <c r="J728" t="s">
        <v>104</v>
      </c>
      <c r="K728" s="19">
        <v>0.58333333333333337</v>
      </c>
      <c r="L728" s="19">
        <v>0.91666666666666663</v>
      </c>
      <c r="M728">
        <v>8</v>
      </c>
      <c r="N728">
        <v>0</v>
      </c>
      <c r="O728">
        <v>67.5</v>
      </c>
      <c r="P728">
        <v>76</v>
      </c>
      <c r="Q728" t="s">
        <v>99</v>
      </c>
      <c r="R728">
        <v>30</v>
      </c>
      <c r="S728" s="19">
        <v>0.79166666666666663</v>
      </c>
      <c r="T728">
        <v>0</v>
      </c>
      <c r="U728" s="19">
        <v>0.54166666666666663</v>
      </c>
      <c r="V728" t="s">
        <v>99</v>
      </c>
      <c r="W728">
        <v>7.5</v>
      </c>
      <c r="X728" t="s">
        <v>102</v>
      </c>
      <c r="Y728" t="b">
        <v>0</v>
      </c>
    </row>
    <row r="729" spans="1:25" x14ac:dyDescent="0.55000000000000004">
      <c r="A729" t="s">
        <v>94</v>
      </c>
      <c r="B729" t="s">
        <v>173</v>
      </c>
      <c r="C729" t="s">
        <v>96</v>
      </c>
      <c r="D729" t="s">
        <v>174</v>
      </c>
      <c r="E729" t="s">
        <v>222</v>
      </c>
      <c r="F729" t="s">
        <v>139</v>
      </c>
      <c r="G729">
        <v>19255</v>
      </c>
      <c r="H729" t="s">
        <v>235</v>
      </c>
      <c r="I729">
        <v>2</v>
      </c>
      <c r="J729" t="s">
        <v>105</v>
      </c>
      <c r="K729" s="19">
        <v>0.625</v>
      </c>
      <c r="L729" s="19">
        <v>0.875</v>
      </c>
      <c r="M729">
        <v>6</v>
      </c>
      <c r="N729">
        <v>0</v>
      </c>
      <c r="O729">
        <v>67.5</v>
      </c>
      <c r="P729">
        <v>76</v>
      </c>
      <c r="Q729" t="s">
        <v>99</v>
      </c>
      <c r="R729">
        <v>30</v>
      </c>
      <c r="S729" s="19">
        <v>0.75</v>
      </c>
      <c r="T729">
        <v>0</v>
      </c>
      <c r="U729" s="19">
        <v>0.54166666666666663</v>
      </c>
      <c r="V729" t="s">
        <v>99</v>
      </c>
      <c r="W729">
        <v>5.5</v>
      </c>
      <c r="X729" t="s">
        <v>102</v>
      </c>
      <c r="Y729" t="b">
        <v>0</v>
      </c>
    </row>
    <row r="730" spans="1:25" x14ac:dyDescent="0.55000000000000004">
      <c r="A730" t="s">
        <v>94</v>
      </c>
      <c r="B730" t="s">
        <v>173</v>
      </c>
      <c r="C730" t="s">
        <v>96</v>
      </c>
      <c r="D730" t="s">
        <v>174</v>
      </c>
      <c r="E730" t="s">
        <v>222</v>
      </c>
      <c r="F730" t="s">
        <v>139</v>
      </c>
      <c r="G730">
        <v>19381</v>
      </c>
      <c r="H730" t="s">
        <v>166</v>
      </c>
      <c r="I730">
        <v>2</v>
      </c>
      <c r="J730" t="s">
        <v>115</v>
      </c>
      <c r="K730" s="19">
        <v>0.58333333333333337</v>
      </c>
      <c r="L730" s="19">
        <v>0.91666666666666663</v>
      </c>
      <c r="M730">
        <v>8</v>
      </c>
      <c r="N730">
        <v>0</v>
      </c>
      <c r="O730">
        <v>60</v>
      </c>
      <c r="P730">
        <v>76</v>
      </c>
      <c r="Q730" t="s">
        <v>99</v>
      </c>
      <c r="R730">
        <v>30</v>
      </c>
      <c r="S730" s="19">
        <v>0.79166666666666663</v>
      </c>
      <c r="T730">
        <v>0</v>
      </c>
      <c r="U730" s="19">
        <v>0.54166666666666663</v>
      </c>
      <c r="V730" t="s">
        <v>99</v>
      </c>
      <c r="W730">
        <v>7.5</v>
      </c>
      <c r="X730" t="s">
        <v>102</v>
      </c>
      <c r="Y730" t="b">
        <v>0</v>
      </c>
    </row>
    <row r="731" spans="1:25" x14ac:dyDescent="0.55000000000000004">
      <c r="A731" t="s">
        <v>94</v>
      </c>
      <c r="B731" t="s">
        <v>173</v>
      </c>
      <c r="C731" t="s">
        <v>96</v>
      </c>
      <c r="D731" t="s">
        <v>174</v>
      </c>
      <c r="E731" t="s">
        <v>222</v>
      </c>
      <c r="F731" t="s">
        <v>139</v>
      </c>
      <c r="G731">
        <v>19381</v>
      </c>
      <c r="H731" t="s">
        <v>166</v>
      </c>
      <c r="I731">
        <v>2</v>
      </c>
      <c r="J731" t="s">
        <v>104</v>
      </c>
      <c r="K731" s="19">
        <v>0.58333333333333337</v>
      </c>
      <c r="L731" s="19">
        <v>0.91666666666666663</v>
      </c>
      <c r="M731">
        <v>8</v>
      </c>
      <c r="N731">
        <v>280.72000000000003</v>
      </c>
      <c r="O731">
        <v>60</v>
      </c>
      <c r="P731">
        <v>76</v>
      </c>
      <c r="Q731" t="s">
        <v>99</v>
      </c>
      <c r="R731">
        <v>30</v>
      </c>
      <c r="S731" s="19">
        <v>0.77083333333333337</v>
      </c>
      <c r="T731">
        <v>0</v>
      </c>
      <c r="U731" s="19">
        <v>0</v>
      </c>
      <c r="V731" t="s">
        <v>99</v>
      </c>
      <c r="W731">
        <v>7.5</v>
      </c>
      <c r="X731" t="s">
        <v>102</v>
      </c>
      <c r="Y731" t="b">
        <v>0</v>
      </c>
    </row>
    <row r="732" spans="1:25" x14ac:dyDescent="0.55000000000000004">
      <c r="A732" t="s">
        <v>94</v>
      </c>
      <c r="B732" t="s">
        <v>173</v>
      </c>
      <c r="C732" t="s">
        <v>96</v>
      </c>
      <c r="D732" t="s">
        <v>174</v>
      </c>
      <c r="E732" t="s">
        <v>222</v>
      </c>
      <c r="F732" t="s">
        <v>139</v>
      </c>
      <c r="G732">
        <v>19835</v>
      </c>
      <c r="H732" t="s">
        <v>224</v>
      </c>
      <c r="I732">
        <v>2</v>
      </c>
      <c r="J732" t="s">
        <v>115</v>
      </c>
      <c r="K732" s="19">
        <v>0.58333333333333337</v>
      </c>
      <c r="L732" s="19">
        <v>0.91666666666666663</v>
      </c>
      <c r="M732">
        <v>8</v>
      </c>
      <c r="N732">
        <v>394.99</v>
      </c>
      <c r="O732">
        <v>60</v>
      </c>
      <c r="P732">
        <v>76</v>
      </c>
      <c r="Q732" t="s">
        <v>99</v>
      </c>
      <c r="R732">
        <v>30</v>
      </c>
      <c r="S732" s="19">
        <v>0.79166666666666663</v>
      </c>
      <c r="T732">
        <v>0</v>
      </c>
      <c r="U732" s="19">
        <v>0</v>
      </c>
      <c r="V732" t="s">
        <v>99</v>
      </c>
      <c r="W732">
        <v>7.5</v>
      </c>
      <c r="X732" t="s">
        <v>102</v>
      </c>
      <c r="Y732" t="b">
        <v>0</v>
      </c>
    </row>
    <row r="733" spans="1:25" x14ac:dyDescent="0.55000000000000004">
      <c r="A733" t="s">
        <v>94</v>
      </c>
      <c r="B733" t="s">
        <v>173</v>
      </c>
      <c r="C733" t="s">
        <v>96</v>
      </c>
      <c r="D733" t="s">
        <v>174</v>
      </c>
      <c r="E733" t="s">
        <v>222</v>
      </c>
      <c r="F733" t="s">
        <v>139</v>
      </c>
      <c r="G733">
        <v>20962</v>
      </c>
      <c r="H733" t="s">
        <v>225</v>
      </c>
      <c r="I733">
        <v>1</v>
      </c>
      <c r="J733" t="s">
        <v>115</v>
      </c>
      <c r="K733" s="19">
        <v>0.58333333333333337</v>
      </c>
      <c r="L733" s="19">
        <v>0.91666666666666663</v>
      </c>
      <c r="M733">
        <v>8</v>
      </c>
      <c r="N733">
        <v>0</v>
      </c>
      <c r="O733">
        <v>60</v>
      </c>
      <c r="P733">
        <v>76</v>
      </c>
      <c r="Q733" t="s">
        <v>99</v>
      </c>
      <c r="R733">
        <v>30</v>
      </c>
      <c r="S733" s="19">
        <v>0.79166666666666663</v>
      </c>
      <c r="T733">
        <v>0</v>
      </c>
      <c r="U733" s="19">
        <v>0.54166666666666663</v>
      </c>
      <c r="V733" t="s">
        <v>99</v>
      </c>
      <c r="W733">
        <v>7.5</v>
      </c>
      <c r="X733" t="s">
        <v>102</v>
      </c>
      <c r="Y733" t="b">
        <v>0</v>
      </c>
    </row>
    <row r="734" spans="1:25" x14ac:dyDescent="0.55000000000000004">
      <c r="A734" t="s">
        <v>94</v>
      </c>
      <c r="B734" t="s">
        <v>173</v>
      </c>
      <c r="C734" t="s">
        <v>96</v>
      </c>
      <c r="D734" t="s">
        <v>174</v>
      </c>
      <c r="E734" t="s">
        <v>222</v>
      </c>
      <c r="F734" t="s">
        <v>139</v>
      </c>
      <c r="G734">
        <v>20962</v>
      </c>
      <c r="H734" t="s">
        <v>225</v>
      </c>
      <c r="I734">
        <v>1</v>
      </c>
      <c r="J734" t="s">
        <v>103</v>
      </c>
      <c r="K734" s="19">
        <v>0.58333333333333337</v>
      </c>
      <c r="L734" s="19">
        <v>0.91666666666666663</v>
      </c>
      <c r="M734">
        <v>8</v>
      </c>
      <c r="N734">
        <v>299.7</v>
      </c>
      <c r="O734">
        <v>60</v>
      </c>
      <c r="P734">
        <v>76</v>
      </c>
      <c r="Q734" t="s">
        <v>99</v>
      </c>
      <c r="R734">
        <v>30</v>
      </c>
      <c r="S734" s="19">
        <v>0.79166666666666663</v>
      </c>
      <c r="T734">
        <v>0</v>
      </c>
      <c r="U734" s="19">
        <v>0.54166666666666663</v>
      </c>
      <c r="V734" t="s">
        <v>99</v>
      </c>
      <c r="W734">
        <v>7.5</v>
      </c>
      <c r="X734" t="s">
        <v>102</v>
      </c>
      <c r="Y734" t="b">
        <v>0</v>
      </c>
    </row>
    <row r="735" spans="1:25" x14ac:dyDescent="0.55000000000000004">
      <c r="A735" t="s">
        <v>94</v>
      </c>
      <c r="B735" t="s">
        <v>173</v>
      </c>
      <c r="C735" t="s">
        <v>96</v>
      </c>
      <c r="D735" t="s">
        <v>174</v>
      </c>
      <c r="E735" t="s">
        <v>222</v>
      </c>
      <c r="F735" t="s">
        <v>139</v>
      </c>
      <c r="G735">
        <v>20962</v>
      </c>
      <c r="H735" t="s">
        <v>225</v>
      </c>
      <c r="I735">
        <v>2</v>
      </c>
      <c r="J735" t="s">
        <v>103</v>
      </c>
      <c r="K735" s="19">
        <v>0.58333333333333337</v>
      </c>
      <c r="L735" s="19">
        <v>0.91666666666666663</v>
      </c>
      <c r="M735">
        <v>8</v>
      </c>
      <c r="N735">
        <v>299.7</v>
      </c>
      <c r="O735">
        <v>60</v>
      </c>
      <c r="P735">
        <v>76</v>
      </c>
      <c r="Q735" t="s">
        <v>99</v>
      </c>
      <c r="R735">
        <v>30</v>
      </c>
      <c r="S735" s="19">
        <v>0.79166666666666663</v>
      </c>
      <c r="T735">
        <v>0</v>
      </c>
      <c r="U735" s="19">
        <v>0.54166666666666663</v>
      </c>
      <c r="V735" t="s">
        <v>99</v>
      </c>
      <c r="W735">
        <v>7.5</v>
      </c>
      <c r="X735" t="s">
        <v>102</v>
      </c>
      <c r="Y735" t="b">
        <v>0</v>
      </c>
    </row>
    <row r="736" spans="1:25" x14ac:dyDescent="0.55000000000000004">
      <c r="A736" t="s">
        <v>94</v>
      </c>
      <c r="B736" t="s">
        <v>173</v>
      </c>
      <c r="C736" t="s">
        <v>96</v>
      </c>
      <c r="D736" t="s">
        <v>174</v>
      </c>
      <c r="E736" t="s">
        <v>222</v>
      </c>
      <c r="F736" t="s">
        <v>139</v>
      </c>
      <c r="G736">
        <v>21381</v>
      </c>
      <c r="H736" t="s">
        <v>226</v>
      </c>
      <c r="I736">
        <v>1</v>
      </c>
      <c r="J736" t="s">
        <v>103</v>
      </c>
      <c r="K736" s="19">
        <v>0.58333333333333337</v>
      </c>
      <c r="L736" s="19">
        <v>0.91666666666666663</v>
      </c>
      <c r="M736">
        <v>8</v>
      </c>
      <c r="N736">
        <v>0</v>
      </c>
      <c r="O736">
        <v>60</v>
      </c>
      <c r="P736">
        <v>76</v>
      </c>
      <c r="Q736" t="s">
        <v>99</v>
      </c>
      <c r="R736">
        <v>30</v>
      </c>
      <c r="S736" s="19">
        <v>0.79166666666666663</v>
      </c>
      <c r="T736">
        <v>0</v>
      </c>
      <c r="U736" s="19">
        <v>0</v>
      </c>
      <c r="V736" t="s">
        <v>99</v>
      </c>
      <c r="W736">
        <v>7.5</v>
      </c>
      <c r="X736" t="s">
        <v>102</v>
      </c>
      <c r="Y736" t="b">
        <v>0</v>
      </c>
    </row>
    <row r="737" spans="1:25" x14ac:dyDescent="0.55000000000000004">
      <c r="A737" t="s">
        <v>94</v>
      </c>
      <c r="B737" t="s">
        <v>173</v>
      </c>
      <c r="C737" t="s">
        <v>96</v>
      </c>
      <c r="D737" t="s">
        <v>174</v>
      </c>
      <c r="E737" t="s">
        <v>222</v>
      </c>
      <c r="F737" t="s">
        <v>139</v>
      </c>
      <c r="G737">
        <v>21381</v>
      </c>
      <c r="H737" t="s">
        <v>226</v>
      </c>
      <c r="I737">
        <v>2</v>
      </c>
      <c r="J737" t="s">
        <v>101</v>
      </c>
      <c r="K737" s="19">
        <v>0.58333333333333337</v>
      </c>
      <c r="L737" s="19">
        <v>0.91666666666666663</v>
      </c>
      <c r="M737">
        <v>8</v>
      </c>
      <c r="N737">
        <v>0</v>
      </c>
      <c r="O737">
        <v>60</v>
      </c>
      <c r="P737">
        <v>76</v>
      </c>
      <c r="Q737" t="s">
        <v>99</v>
      </c>
      <c r="R737">
        <v>30</v>
      </c>
      <c r="S737" s="19">
        <v>0.79166666666666663</v>
      </c>
      <c r="T737">
        <v>0</v>
      </c>
      <c r="U737" s="19">
        <v>0</v>
      </c>
      <c r="V737" t="s">
        <v>99</v>
      </c>
      <c r="W737">
        <v>7.5</v>
      </c>
      <c r="X737" t="s">
        <v>102</v>
      </c>
      <c r="Y737" t="b">
        <v>0</v>
      </c>
    </row>
    <row r="738" spans="1:25" x14ac:dyDescent="0.55000000000000004">
      <c r="A738" t="s">
        <v>94</v>
      </c>
      <c r="B738" t="s">
        <v>173</v>
      </c>
      <c r="C738" t="s">
        <v>96</v>
      </c>
      <c r="D738" t="s">
        <v>174</v>
      </c>
      <c r="E738" t="s">
        <v>222</v>
      </c>
      <c r="F738" t="s">
        <v>139</v>
      </c>
      <c r="G738">
        <v>21589</v>
      </c>
      <c r="H738" t="s">
        <v>227</v>
      </c>
      <c r="I738">
        <v>1</v>
      </c>
      <c r="J738" t="s">
        <v>104</v>
      </c>
      <c r="K738" s="19">
        <v>0.58333333333333337</v>
      </c>
      <c r="L738" s="19">
        <v>0.91666666666666663</v>
      </c>
      <c r="M738">
        <v>8</v>
      </c>
      <c r="N738">
        <v>299.7</v>
      </c>
      <c r="O738">
        <v>60</v>
      </c>
      <c r="P738">
        <v>76</v>
      </c>
      <c r="Q738" t="s">
        <v>99</v>
      </c>
      <c r="R738">
        <v>30</v>
      </c>
      <c r="S738" s="19">
        <v>0.79166666666666663</v>
      </c>
      <c r="T738">
        <v>0</v>
      </c>
      <c r="U738" s="19">
        <v>0.54166666666666663</v>
      </c>
      <c r="V738" t="s">
        <v>99</v>
      </c>
      <c r="W738">
        <v>7.5</v>
      </c>
      <c r="X738" t="s">
        <v>102</v>
      </c>
      <c r="Y738" t="b">
        <v>0</v>
      </c>
    </row>
    <row r="739" spans="1:25" x14ac:dyDescent="0.55000000000000004">
      <c r="A739" t="s">
        <v>94</v>
      </c>
      <c r="B739" t="s">
        <v>173</v>
      </c>
      <c r="C739" t="s">
        <v>96</v>
      </c>
      <c r="D739" t="s">
        <v>174</v>
      </c>
      <c r="E739" t="s">
        <v>222</v>
      </c>
      <c r="F739" t="s">
        <v>139</v>
      </c>
      <c r="G739">
        <v>21589</v>
      </c>
      <c r="H739" t="s">
        <v>227</v>
      </c>
      <c r="I739">
        <v>2</v>
      </c>
      <c r="J739" t="s">
        <v>107</v>
      </c>
      <c r="K739" s="19">
        <v>0.58333333333333337</v>
      </c>
      <c r="L739" s="19">
        <v>0.91666666666666663</v>
      </c>
      <c r="M739">
        <v>8</v>
      </c>
      <c r="N739">
        <v>299.7</v>
      </c>
      <c r="O739">
        <v>60</v>
      </c>
      <c r="P739">
        <v>76</v>
      </c>
      <c r="Q739" t="s">
        <v>99</v>
      </c>
      <c r="R739">
        <v>30</v>
      </c>
      <c r="S739" s="19">
        <v>0.79166666666666663</v>
      </c>
      <c r="T739">
        <v>0</v>
      </c>
      <c r="U739" s="19">
        <v>0.54166666666666663</v>
      </c>
      <c r="V739" t="s">
        <v>99</v>
      </c>
      <c r="W739">
        <v>7.5</v>
      </c>
      <c r="X739" t="s">
        <v>102</v>
      </c>
      <c r="Y739" t="b">
        <v>0</v>
      </c>
    </row>
    <row r="740" spans="1:25" x14ac:dyDescent="0.55000000000000004">
      <c r="A740" t="s">
        <v>94</v>
      </c>
      <c r="B740" t="s">
        <v>173</v>
      </c>
      <c r="C740" t="s">
        <v>96</v>
      </c>
      <c r="D740" t="s">
        <v>174</v>
      </c>
      <c r="E740" t="s">
        <v>222</v>
      </c>
      <c r="F740" t="s">
        <v>139</v>
      </c>
      <c r="G740">
        <v>21589</v>
      </c>
      <c r="H740" t="s">
        <v>227</v>
      </c>
      <c r="I740">
        <v>2</v>
      </c>
      <c r="J740" t="s">
        <v>116</v>
      </c>
      <c r="K740" s="19">
        <v>0.58333333333333337</v>
      </c>
      <c r="L740" s="19">
        <v>0.91666666666666663</v>
      </c>
      <c r="M740">
        <v>8</v>
      </c>
      <c r="N740">
        <v>466.2</v>
      </c>
      <c r="O740">
        <v>60</v>
      </c>
      <c r="P740">
        <v>76</v>
      </c>
      <c r="Q740" t="s">
        <v>99</v>
      </c>
      <c r="R740">
        <v>30</v>
      </c>
      <c r="S740" s="19">
        <v>0.79166666666666663</v>
      </c>
      <c r="T740">
        <v>0</v>
      </c>
      <c r="U740" s="19">
        <v>0.54166666666666663</v>
      </c>
      <c r="V740" t="s">
        <v>99</v>
      </c>
      <c r="W740">
        <v>7.5</v>
      </c>
      <c r="X740" t="s">
        <v>102</v>
      </c>
      <c r="Y740" t="b">
        <v>0</v>
      </c>
    </row>
    <row r="741" spans="1:25" x14ac:dyDescent="0.55000000000000004">
      <c r="A741" t="s">
        <v>94</v>
      </c>
      <c r="B741" t="s">
        <v>173</v>
      </c>
      <c r="C741" t="s">
        <v>96</v>
      </c>
      <c r="D741" t="s">
        <v>174</v>
      </c>
      <c r="E741" t="s">
        <v>222</v>
      </c>
      <c r="F741" t="s">
        <v>139</v>
      </c>
      <c r="G741">
        <v>21589</v>
      </c>
      <c r="H741" t="s">
        <v>227</v>
      </c>
      <c r="I741">
        <v>2</v>
      </c>
      <c r="J741" t="s">
        <v>103</v>
      </c>
      <c r="K741" s="19">
        <v>0.58333333333333337</v>
      </c>
      <c r="L741" s="19">
        <v>0.91666666666666663</v>
      </c>
      <c r="M741">
        <v>8</v>
      </c>
      <c r="N741">
        <v>299.7</v>
      </c>
      <c r="O741">
        <v>60</v>
      </c>
      <c r="P741">
        <v>76</v>
      </c>
      <c r="Q741" t="s">
        <v>99</v>
      </c>
      <c r="R741">
        <v>30</v>
      </c>
      <c r="S741" s="19">
        <v>0.79166666666666663</v>
      </c>
      <c r="T741">
        <v>0</v>
      </c>
      <c r="U741" s="19">
        <v>0.54166666666666663</v>
      </c>
      <c r="V741" t="s">
        <v>99</v>
      </c>
      <c r="W741">
        <v>7.5</v>
      </c>
      <c r="X741" t="s">
        <v>102</v>
      </c>
      <c r="Y741" t="b">
        <v>0</v>
      </c>
    </row>
    <row r="742" spans="1:25" x14ac:dyDescent="0.55000000000000004">
      <c r="A742" t="s">
        <v>94</v>
      </c>
      <c r="B742" t="s">
        <v>173</v>
      </c>
      <c r="C742" t="s">
        <v>96</v>
      </c>
      <c r="D742" t="s">
        <v>174</v>
      </c>
      <c r="E742" t="s">
        <v>222</v>
      </c>
      <c r="F742" t="s">
        <v>139</v>
      </c>
      <c r="G742">
        <v>22772</v>
      </c>
      <c r="H742" t="s">
        <v>205</v>
      </c>
      <c r="I742">
        <v>2</v>
      </c>
      <c r="J742" t="s">
        <v>104</v>
      </c>
      <c r="K742" s="19">
        <v>0.58333333333333337</v>
      </c>
      <c r="L742" s="19">
        <v>0.91666666666666663</v>
      </c>
      <c r="M742">
        <v>8</v>
      </c>
      <c r="N742">
        <v>296.24</v>
      </c>
      <c r="O742">
        <v>67.5</v>
      </c>
      <c r="P742">
        <v>76</v>
      </c>
      <c r="Q742" t="s">
        <v>99</v>
      </c>
      <c r="R742">
        <v>30</v>
      </c>
      <c r="S742" s="19">
        <v>0.79166666666666663</v>
      </c>
      <c r="T742">
        <v>0</v>
      </c>
      <c r="U742" s="19">
        <v>0.54166666666666663</v>
      </c>
      <c r="V742" t="s">
        <v>99</v>
      </c>
      <c r="W742">
        <v>7.5</v>
      </c>
      <c r="X742" t="s">
        <v>102</v>
      </c>
      <c r="Y742" t="b">
        <v>0</v>
      </c>
    </row>
    <row r="743" spans="1:25" x14ac:dyDescent="0.55000000000000004">
      <c r="A743" t="s">
        <v>94</v>
      </c>
      <c r="B743" t="s">
        <v>173</v>
      </c>
      <c r="C743" t="s">
        <v>96</v>
      </c>
      <c r="D743" t="s">
        <v>174</v>
      </c>
      <c r="E743" t="s">
        <v>222</v>
      </c>
      <c r="F743" t="s">
        <v>139</v>
      </c>
      <c r="G743">
        <v>22913</v>
      </c>
      <c r="H743" t="s">
        <v>237</v>
      </c>
      <c r="I743">
        <v>2</v>
      </c>
      <c r="J743" t="s">
        <v>101</v>
      </c>
      <c r="K743" s="19">
        <v>0.58333333333333337</v>
      </c>
      <c r="L743" s="19">
        <v>0.91666666666666663</v>
      </c>
      <c r="M743">
        <v>8</v>
      </c>
      <c r="N743">
        <v>296.24</v>
      </c>
      <c r="O743">
        <v>37.5</v>
      </c>
      <c r="P743">
        <v>76</v>
      </c>
      <c r="Q743" t="s">
        <v>99</v>
      </c>
      <c r="R743">
        <v>30</v>
      </c>
      <c r="S743" s="19">
        <v>0.79166666666666663</v>
      </c>
      <c r="T743">
        <v>0</v>
      </c>
      <c r="U743" s="19">
        <v>0.54166666666666663</v>
      </c>
      <c r="V743" t="s">
        <v>99</v>
      </c>
      <c r="W743">
        <v>7.5</v>
      </c>
      <c r="X743" t="s">
        <v>102</v>
      </c>
      <c r="Y743" t="b">
        <v>0</v>
      </c>
    </row>
    <row r="744" spans="1:25" x14ac:dyDescent="0.55000000000000004">
      <c r="A744" t="s">
        <v>94</v>
      </c>
      <c r="B744" t="s">
        <v>173</v>
      </c>
      <c r="C744" t="s">
        <v>96</v>
      </c>
      <c r="D744" t="s">
        <v>174</v>
      </c>
      <c r="E744" t="s">
        <v>222</v>
      </c>
      <c r="F744" t="s">
        <v>139</v>
      </c>
      <c r="G744">
        <v>23242</v>
      </c>
      <c r="H744" t="s">
        <v>238</v>
      </c>
      <c r="I744">
        <v>1</v>
      </c>
      <c r="J744" t="s">
        <v>116</v>
      </c>
      <c r="K744" s="19">
        <v>0.58333333333333337</v>
      </c>
      <c r="L744" s="19">
        <v>0.91666666666666663</v>
      </c>
      <c r="M744">
        <v>8</v>
      </c>
      <c r="N744">
        <v>0</v>
      </c>
      <c r="O744">
        <v>45</v>
      </c>
      <c r="P744">
        <v>76</v>
      </c>
      <c r="Q744" t="s">
        <v>99</v>
      </c>
      <c r="R744">
        <v>30</v>
      </c>
      <c r="S744" s="19">
        <v>0.79166666666666663</v>
      </c>
      <c r="T744">
        <v>0</v>
      </c>
      <c r="U744" s="19">
        <v>0</v>
      </c>
      <c r="V744" t="s">
        <v>99</v>
      </c>
      <c r="W744">
        <v>7.5</v>
      </c>
      <c r="X744" t="s">
        <v>102</v>
      </c>
      <c r="Y744" t="b">
        <v>0</v>
      </c>
    </row>
    <row r="745" spans="1:25" x14ac:dyDescent="0.55000000000000004">
      <c r="A745" t="s">
        <v>94</v>
      </c>
      <c r="B745" t="s">
        <v>173</v>
      </c>
      <c r="C745" t="s">
        <v>96</v>
      </c>
      <c r="D745" t="s">
        <v>174</v>
      </c>
      <c r="E745" t="s">
        <v>222</v>
      </c>
      <c r="F745" t="s">
        <v>139</v>
      </c>
      <c r="G745">
        <v>23242</v>
      </c>
      <c r="H745" t="s">
        <v>238</v>
      </c>
      <c r="I745">
        <v>2</v>
      </c>
      <c r="J745" t="s">
        <v>116</v>
      </c>
      <c r="K745" s="19">
        <v>0.58333333333333337</v>
      </c>
      <c r="L745" s="19">
        <v>0.91666666666666663</v>
      </c>
      <c r="M745">
        <v>8</v>
      </c>
      <c r="N745">
        <v>0</v>
      </c>
      <c r="O745">
        <v>45</v>
      </c>
      <c r="P745">
        <v>76</v>
      </c>
      <c r="Q745" t="s">
        <v>99</v>
      </c>
      <c r="R745">
        <v>30</v>
      </c>
      <c r="S745" s="19">
        <v>0.79166666666666663</v>
      </c>
      <c r="T745">
        <v>0</v>
      </c>
      <c r="U745" s="19">
        <v>0</v>
      </c>
      <c r="V745" t="s">
        <v>99</v>
      </c>
      <c r="W745">
        <v>7.5</v>
      </c>
      <c r="X745" t="s">
        <v>102</v>
      </c>
      <c r="Y745" t="b">
        <v>0</v>
      </c>
    </row>
    <row r="746" spans="1:25" x14ac:dyDescent="0.55000000000000004">
      <c r="A746" t="s">
        <v>94</v>
      </c>
      <c r="B746" t="s">
        <v>173</v>
      </c>
      <c r="C746" t="s">
        <v>96</v>
      </c>
      <c r="D746" t="s">
        <v>174</v>
      </c>
      <c r="E746" t="s">
        <v>222</v>
      </c>
      <c r="F746" t="s">
        <v>139</v>
      </c>
      <c r="G746">
        <v>24562</v>
      </c>
      <c r="H746" t="s">
        <v>229</v>
      </c>
      <c r="I746">
        <v>1</v>
      </c>
      <c r="J746" t="s">
        <v>107</v>
      </c>
      <c r="K746" s="19">
        <v>0.58333333333333337</v>
      </c>
      <c r="L746" s="19">
        <v>0.91666666666666663</v>
      </c>
      <c r="M746">
        <v>8</v>
      </c>
      <c r="N746">
        <v>296.24</v>
      </c>
      <c r="O746">
        <v>52.5</v>
      </c>
      <c r="P746">
        <v>76</v>
      </c>
      <c r="Q746" t="s">
        <v>99</v>
      </c>
      <c r="R746">
        <v>30</v>
      </c>
      <c r="S746" s="19">
        <v>0.79166666666666663</v>
      </c>
      <c r="T746">
        <v>0</v>
      </c>
      <c r="U746" s="19">
        <v>0.54166666666666663</v>
      </c>
      <c r="V746" t="s">
        <v>99</v>
      </c>
      <c r="W746">
        <v>7.5</v>
      </c>
      <c r="X746" t="s">
        <v>102</v>
      </c>
      <c r="Y746" t="b">
        <v>0</v>
      </c>
    </row>
    <row r="747" spans="1:25" x14ac:dyDescent="0.55000000000000004">
      <c r="A747" t="s">
        <v>94</v>
      </c>
      <c r="B747" t="s">
        <v>173</v>
      </c>
      <c r="C747" t="s">
        <v>96</v>
      </c>
      <c r="D747" t="s">
        <v>174</v>
      </c>
      <c r="E747" t="s">
        <v>222</v>
      </c>
      <c r="F747" t="s">
        <v>139</v>
      </c>
      <c r="G747">
        <v>24562</v>
      </c>
      <c r="H747" t="s">
        <v>229</v>
      </c>
      <c r="I747">
        <v>1</v>
      </c>
      <c r="J747" t="s">
        <v>101</v>
      </c>
      <c r="K747" s="19">
        <v>0.58333333333333337</v>
      </c>
      <c r="L747" s="19">
        <v>0.91666666666666663</v>
      </c>
      <c r="M747">
        <v>8</v>
      </c>
      <c r="N747">
        <v>296.24</v>
      </c>
      <c r="O747">
        <v>52.5</v>
      </c>
      <c r="P747">
        <v>76</v>
      </c>
      <c r="Q747" t="s">
        <v>99</v>
      </c>
      <c r="R747">
        <v>30</v>
      </c>
      <c r="S747" s="19">
        <v>0.79166666666666663</v>
      </c>
      <c r="T747">
        <v>0</v>
      </c>
      <c r="U747" s="19">
        <v>0.54166666666666663</v>
      </c>
      <c r="V747" t="s">
        <v>99</v>
      </c>
      <c r="W747">
        <v>7.5</v>
      </c>
      <c r="X747" t="s">
        <v>102</v>
      </c>
      <c r="Y747" t="b">
        <v>0</v>
      </c>
    </row>
    <row r="748" spans="1:25" x14ac:dyDescent="0.55000000000000004">
      <c r="A748" t="s">
        <v>94</v>
      </c>
      <c r="B748" t="s">
        <v>173</v>
      </c>
      <c r="C748" t="s">
        <v>96</v>
      </c>
      <c r="D748" t="s">
        <v>174</v>
      </c>
      <c r="E748" t="s">
        <v>222</v>
      </c>
      <c r="F748" t="s">
        <v>139</v>
      </c>
      <c r="G748">
        <v>24562</v>
      </c>
      <c r="H748" t="s">
        <v>229</v>
      </c>
      <c r="I748">
        <v>1</v>
      </c>
      <c r="J748" t="s">
        <v>115</v>
      </c>
      <c r="K748" s="19">
        <v>0.58333333333333337</v>
      </c>
      <c r="L748" s="19">
        <v>0.91666666666666663</v>
      </c>
      <c r="M748">
        <v>8</v>
      </c>
      <c r="N748">
        <v>394.99</v>
      </c>
      <c r="O748">
        <v>52.5</v>
      </c>
      <c r="P748">
        <v>76</v>
      </c>
      <c r="Q748" t="s">
        <v>99</v>
      </c>
      <c r="R748">
        <v>30</v>
      </c>
      <c r="S748" s="19">
        <v>0.77083333333333337</v>
      </c>
      <c r="T748">
        <v>0</v>
      </c>
      <c r="U748" s="19">
        <v>0.54166666666666663</v>
      </c>
      <c r="V748" t="s">
        <v>99</v>
      </c>
      <c r="W748">
        <v>7.5</v>
      </c>
      <c r="X748" t="s">
        <v>102</v>
      </c>
      <c r="Y748" t="b">
        <v>0</v>
      </c>
    </row>
    <row r="749" spans="1:25" x14ac:dyDescent="0.55000000000000004">
      <c r="A749" t="s">
        <v>94</v>
      </c>
      <c r="B749" t="s">
        <v>173</v>
      </c>
      <c r="C749" t="s">
        <v>96</v>
      </c>
      <c r="D749" t="s">
        <v>174</v>
      </c>
      <c r="E749" t="s">
        <v>222</v>
      </c>
      <c r="F749" t="s">
        <v>139</v>
      </c>
      <c r="G749">
        <v>24562</v>
      </c>
      <c r="H749" t="s">
        <v>229</v>
      </c>
      <c r="I749">
        <v>1</v>
      </c>
      <c r="J749" t="s">
        <v>104</v>
      </c>
      <c r="K749" s="19">
        <v>0.58333333333333337</v>
      </c>
      <c r="L749" s="19">
        <v>0.91666666666666663</v>
      </c>
      <c r="M749">
        <v>8</v>
      </c>
      <c r="N749">
        <v>296.24</v>
      </c>
      <c r="O749">
        <v>52.5</v>
      </c>
      <c r="P749">
        <v>76</v>
      </c>
      <c r="Q749" t="s">
        <v>99</v>
      </c>
      <c r="R749">
        <v>30</v>
      </c>
      <c r="S749" s="19">
        <v>0.79166666666666663</v>
      </c>
      <c r="T749">
        <v>0</v>
      </c>
      <c r="U749" s="19">
        <v>0.54166666666666663</v>
      </c>
      <c r="V749" t="s">
        <v>99</v>
      </c>
      <c r="W749">
        <v>7.5</v>
      </c>
      <c r="X749" t="s">
        <v>102</v>
      </c>
      <c r="Y749" t="b">
        <v>0</v>
      </c>
    </row>
    <row r="750" spans="1:25" x14ac:dyDescent="0.55000000000000004">
      <c r="A750" t="s">
        <v>94</v>
      </c>
      <c r="B750" t="s">
        <v>173</v>
      </c>
      <c r="C750" t="s">
        <v>96</v>
      </c>
      <c r="D750" t="s">
        <v>174</v>
      </c>
      <c r="E750" t="s">
        <v>222</v>
      </c>
      <c r="F750" t="s">
        <v>139</v>
      </c>
      <c r="G750">
        <v>24562</v>
      </c>
      <c r="H750" t="s">
        <v>229</v>
      </c>
      <c r="I750">
        <v>1</v>
      </c>
      <c r="J750" t="s">
        <v>105</v>
      </c>
      <c r="K750" s="19">
        <v>0.58333333333333337</v>
      </c>
      <c r="L750" s="19">
        <v>0.91666666666666663</v>
      </c>
      <c r="M750">
        <v>8</v>
      </c>
      <c r="N750">
        <v>296.24</v>
      </c>
      <c r="O750">
        <v>52.5</v>
      </c>
      <c r="P750">
        <v>76</v>
      </c>
      <c r="Q750" t="s">
        <v>99</v>
      </c>
      <c r="R750">
        <v>30</v>
      </c>
      <c r="S750" s="19">
        <v>0.79166666666666663</v>
      </c>
      <c r="T750">
        <v>0</v>
      </c>
      <c r="U750" s="19">
        <v>0.54166666666666663</v>
      </c>
      <c r="V750" t="s">
        <v>99</v>
      </c>
      <c r="W750">
        <v>7.5</v>
      </c>
      <c r="X750" t="s">
        <v>102</v>
      </c>
      <c r="Y750" t="b">
        <v>0</v>
      </c>
    </row>
    <row r="751" spans="1:25" x14ac:dyDescent="0.55000000000000004">
      <c r="A751" t="s">
        <v>94</v>
      </c>
      <c r="B751" t="s">
        <v>173</v>
      </c>
      <c r="C751" t="s">
        <v>96</v>
      </c>
      <c r="D751" t="s">
        <v>174</v>
      </c>
      <c r="E751" t="s">
        <v>222</v>
      </c>
      <c r="F751" t="s">
        <v>139</v>
      </c>
      <c r="G751">
        <v>24819</v>
      </c>
      <c r="H751" t="s">
        <v>230</v>
      </c>
      <c r="I751">
        <v>1</v>
      </c>
      <c r="J751" t="s">
        <v>107</v>
      </c>
      <c r="K751" s="19">
        <v>0.58333333333333337</v>
      </c>
      <c r="L751" s="19">
        <v>0.91666666666666663</v>
      </c>
      <c r="M751">
        <v>8</v>
      </c>
      <c r="N751">
        <v>296.24</v>
      </c>
      <c r="O751">
        <v>76</v>
      </c>
      <c r="P751">
        <v>76</v>
      </c>
      <c r="Q751" t="s">
        <v>99</v>
      </c>
      <c r="R751">
        <v>30</v>
      </c>
      <c r="S751" s="19">
        <v>0.79166666666666663</v>
      </c>
      <c r="T751">
        <v>0</v>
      </c>
      <c r="U751" s="19">
        <v>0</v>
      </c>
      <c r="V751" t="s">
        <v>99</v>
      </c>
      <c r="W751">
        <v>7.5</v>
      </c>
      <c r="X751" t="s">
        <v>102</v>
      </c>
      <c r="Y751" t="b">
        <v>0</v>
      </c>
    </row>
    <row r="752" spans="1:25" x14ac:dyDescent="0.55000000000000004">
      <c r="A752" t="s">
        <v>94</v>
      </c>
      <c r="B752" t="s">
        <v>173</v>
      </c>
      <c r="C752" t="s">
        <v>96</v>
      </c>
      <c r="D752" t="s">
        <v>174</v>
      </c>
      <c r="E752" t="s">
        <v>222</v>
      </c>
      <c r="F752" t="s">
        <v>139</v>
      </c>
      <c r="G752">
        <v>24819</v>
      </c>
      <c r="H752" t="s">
        <v>230</v>
      </c>
      <c r="I752">
        <v>1</v>
      </c>
      <c r="J752" t="s">
        <v>115</v>
      </c>
      <c r="K752" s="19">
        <v>0.58333333333333337</v>
      </c>
      <c r="L752" s="19">
        <v>0.91666666666666663</v>
      </c>
      <c r="M752">
        <v>8</v>
      </c>
      <c r="N752">
        <v>394.99</v>
      </c>
      <c r="O752">
        <v>76</v>
      </c>
      <c r="P752">
        <v>76</v>
      </c>
      <c r="Q752" t="s">
        <v>99</v>
      </c>
      <c r="R752">
        <v>30</v>
      </c>
      <c r="S752" s="19">
        <v>0.79166666666666663</v>
      </c>
      <c r="T752">
        <v>0</v>
      </c>
      <c r="U752" s="19">
        <v>0.54166666666666663</v>
      </c>
      <c r="V752" t="s">
        <v>99</v>
      </c>
      <c r="W752">
        <v>7.5</v>
      </c>
      <c r="X752" t="s">
        <v>102</v>
      </c>
      <c r="Y752" t="b">
        <v>0</v>
      </c>
    </row>
    <row r="753" spans="1:25" x14ac:dyDescent="0.55000000000000004">
      <c r="A753" t="s">
        <v>94</v>
      </c>
      <c r="B753" t="s">
        <v>173</v>
      </c>
      <c r="C753" t="s">
        <v>96</v>
      </c>
      <c r="D753" t="s">
        <v>174</v>
      </c>
      <c r="E753" t="s">
        <v>222</v>
      </c>
      <c r="F753" t="s">
        <v>139</v>
      </c>
      <c r="G753">
        <v>24819</v>
      </c>
      <c r="H753" t="s">
        <v>230</v>
      </c>
      <c r="I753">
        <v>1</v>
      </c>
      <c r="J753" t="s">
        <v>103</v>
      </c>
      <c r="K753" s="19">
        <v>0.58333333333333337</v>
      </c>
      <c r="L753" s="19">
        <v>0.91666666666666663</v>
      </c>
      <c r="M753">
        <v>8</v>
      </c>
      <c r="N753">
        <v>296.24</v>
      </c>
      <c r="O753">
        <v>76</v>
      </c>
      <c r="P753">
        <v>76</v>
      </c>
      <c r="Q753" t="s">
        <v>99</v>
      </c>
      <c r="R753">
        <v>30</v>
      </c>
      <c r="S753" s="19">
        <v>0.79166666666666663</v>
      </c>
      <c r="T753">
        <v>0</v>
      </c>
      <c r="U753" s="19">
        <v>0</v>
      </c>
      <c r="V753" t="s">
        <v>99</v>
      </c>
      <c r="W753">
        <v>7.5</v>
      </c>
      <c r="X753" t="s">
        <v>102</v>
      </c>
      <c r="Y753" t="b">
        <v>0</v>
      </c>
    </row>
    <row r="754" spans="1:25" x14ac:dyDescent="0.55000000000000004">
      <c r="A754" t="s">
        <v>94</v>
      </c>
      <c r="B754" t="s">
        <v>173</v>
      </c>
      <c r="C754" t="s">
        <v>96</v>
      </c>
      <c r="D754" t="s">
        <v>174</v>
      </c>
      <c r="E754" t="s">
        <v>222</v>
      </c>
      <c r="F754" t="s">
        <v>139</v>
      </c>
      <c r="G754">
        <v>24819</v>
      </c>
      <c r="H754" t="s">
        <v>230</v>
      </c>
      <c r="I754">
        <v>2</v>
      </c>
      <c r="J754" t="s">
        <v>107</v>
      </c>
      <c r="K754" s="19">
        <v>0.58333333333333337</v>
      </c>
      <c r="L754" s="19">
        <v>0.91666666666666663</v>
      </c>
      <c r="M754">
        <v>8</v>
      </c>
      <c r="N754">
        <v>296.24</v>
      </c>
      <c r="O754">
        <v>76</v>
      </c>
      <c r="P754">
        <v>76</v>
      </c>
      <c r="Q754" t="s">
        <v>99</v>
      </c>
      <c r="R754">
        <v>30</v>
      </c>
      <c r="S754" s="19">
        <v>0.79166666666666663</v>
      </c>
      <c r="T754">
        <v>0</v>
      </c>
      <c r="U754" s="19">
        <v>0</v>
      </c>
      <c r="V754" t="s">
        <v>99</v>
      </c>
      <c r="W754">
        <v>7.5</v>
      </c>
      <c r="X754" t="s">
        <v>102</v>
      </c>
      <c r="Y754" t="b">
        <v>0</v>
      </c>
    </row>
    <row r="755" spans="1:25" x14ac:dyDescent="0.55000000000000004">
      <c r="A755" t="s">
        <v>94</v>
      </c>
      <c r="B755" t="s">
        <v>173</v>
      </c>
      <c r="C755" t="s">
        <v>96</v>
      </c>
      <c r="D755" t="s">
        <v>174</v>
      </c>
      <c r="E755" t="s">
        <v>222</v>
      </c>
      <c r="F755" t="s">
        <v>139</v>
      </c>
      <c r="G755">
        <v>25109</v>
      </c>
      <c r="H755" t="s">
        <v>231</v>
      </c>
      <c r="I755">
        <v>1</v>
      </c>
      <c r="J755" t="s">
        <v>116</v>
      </c>
      <c r="K755" s="19">
        <v>0.58333333333333337</v>
      </c>
      <c r="L755" s="19">
        <v>0.91666666666666663</v>
      </c>
      <c r="M755">
        <v>8</v>
      </c>
      <c r="N755">
        <v>460.82</v>
      </c>
      <c r="O755">
        <v>76</v>
      </c>
      <c r="P755">
        <v>76</v>
      </c>
      <c r="Q755" t="s">
        <v>99</v>
      </c>
      <c r="R755">
        <v>30</v>
      </c>
      <c r="S755" s="19">
        <v>0.77083333333333337</v>
      </c>
      <c r="T755">
        <v>0</v>
      </c>
      <c r="U755" s="19">
        <v>0.54166666666666663</v>
      </c>
      <c r="V755" t="s">
        <v>99</v>
      </c>
      <c r="W755">
        <v>7.5</v>
      </c>
      <c r="X755" t="s">
        <v>102</v>
      </c>
      <c r="Y755" t="b">
        <v>0</v>
      </c>
    </row>
    <row r="756" spans="1:25" x14ac:dyDescent="0.55000000000000004">
      <c r="A756" t="s">
        <v>94</v>
      </c>
      <c r="B756" t="s">
        <v>173</v>
      </c>
      <c r="C756" t="s">
        <v>96</v>
      </c>
      <c r="D756" t="s">
        <v>174</v>
      </c>
      <c r="E756" t="s">
        <v>222</v>
      </c>
      <c r="F756" t="s">
        <v>139</v>
      </c>
      <c r="G756">
        <v>25109</v>
      </c>
      <c r="H756" t="s">
        <v>231</v>
      </c>
      <c r="I756">
        <v>2</v>
      </c>
      <c r="J756" t="s">
        <v>107</v>
      </c>
      <c r="K756" s="19">
        <v>0.5625</v>
      </c>
      <c r="L756" s="19">
        <v>0.91666666666666663</v>
      </c>
      <c r="M756">
        <v>8.5</v>
      </c>
      <c r="N756">
        <v>315.99</v>
      </c>
      <c r="O756">
        <v>76</v>
      </c>
      <c r="P756">
        <v>76</v>
      </c>
      <c r="Q756" t="s">
        <v>99</v>
      </c>
      <c r="R756">
        <v>30</v>
      </c>
      <c r="S756" s="19">
        <v>0.77083333333333337</v>
      </c>
      <c r="T756">
        <v>0</v>
      </c>
      <c r="U756" s="19">
        <v>0.54166666666666663</v>
      </c>
      <c r="V756" t="s">
        <v>99</v>
      </c>
      <c r="W756">
        <v>8</v>
      </c>
      <c r="X756" t="s">
        <v>102</v>
      </c>
      <c r="Y756" t="b">
        <v>0</v>
      </c>
    </row>
    <row r="757" spans="1:25" x14ac:dyDescent="0.55000000000000004">
      <c r="A757" t="s">
        <v>94</v>
      </c>
      <c r="B757" t="s">
        <v>173</v>
      </c>
      <c r="C757" t="s">
        <v>96</v>
      </c>
      <c r="D757" t="s">
        <v>174</v>
      </c>
      <c r="E757" t="s">
        <v>222</v>
      </c>
      <c r="F757" t="s">
        <v>139</v>
      </c>
      <c r="G757">
        <v>25376</v>
      </c>
      <c r="H757" t="s">
        <v>233</v>
      </c>
      <c r="I757">
        <v>2</v>
      </c>
      <c r="J757" t="s">
        <v>115</v>
      </c>
      <c r="K757" s="19">
        <v>0.58333333333333337</v>
      </c>
      <c r="L757" s="19">
        <v>0.91666666666666663</v>
      </c>
      <c r="M757">
        <v>8</v>
      </c>
      <c r="N757">
        <v>394.99</v>
      </c>
      <c r="O757">
        <v>52.5</v>
      </c>
      <c r="P757">
        <v>76</v>
      </c>
      <c r="Q757" t="s">
        <v>99</v>
      </c>
      <c r="R757">
        <v>30</v>
      </c>
      <c r="S757" s="19">
        <v>0.79166666666666663</v>
      </c>
      <c r="T757">
        <v>0</v>
      </c>
      <c r="U757" s="19">
        <v>0.54166666666666663</v>
      </c>
      <c r="V757" t="s">
        <v>99</v>
      </c>
      <c r="W757">
        <v>7.5</v>
      </c>
      <c r="X757" t="s">
        <v>102</v>
      </c>
      <c r="Y757" t="b">
        <v>0</v>
      </c>
    </row>
    <row r="758" spans="1:25" x14ac:dyDescent="0.55000000000000004">
      <c r="A758" t="s">
        <v>94</v>
      </c>
      <c r="B758" t="s">
        <v>173</v>
      </c>
      <c r="C758" t="s">
        <v>96</v>
      </c>
      <c r="D758" t="s">
        <v>174</v>
      </c>
      <c r="E758" t="s">
        <v>222</v>
      </c>
      <c r="F758" t="s">
        <v>139</v>
      </c>
      <c r="G758">
        <v>26358</v>
      </c>
      <c r="H758" t="s">
        <v>203</v>
      </c>
      <c r="I758">
        <v>1</v>
      </c>
      <c r="J758" t="s">
        <v>107</v>
      </c>
      <c r="K758" s="19">
        <v>0.58333333333333337</v>
      </c>
      <c r="L758" s="19">
        <v>0.91666666666666663</v>
      </c>
      <c r="M758">
        <v>8</v>
      </c>
      <c r="N758">
        <v>377.85</v>
      </c>
      <c r="O758">
        <v>0</v>
      </c>
      <c r="P758">
        <v>76</v>
      </c>
      <c r="Q758" t="s">
        <v>99</v>
      </c>
      <c r="R758">
        <v>30</v>
      </c>
      <c r="S758" s="19">
        <v>0.79166666666666663</v>
      </c>
      <c r="T758">
        <v>0</v>
      </c>
      <c r="U758" s="19">
        <v>0.54166666666666663</v>
      </c>
      <c r="V758" t="s">
        <v>99</v>
      </c>
      <c r="W758">
        <v>7.5</v>
      </c>
      <c r="X758" t="s">
        <v>102</v>
      </c>
      <c r="Y758" t="b">
        <v>0</v>
      </c>
    </row>
    <row r="759" spans="1:25" x14ac:dyDescent="0.55000000000000004">
      <c r="A759" t="s">
        <v>94</v>
      </c>
      <c r="B759" t="s">
        <v>173</v>
      </c>
      <c r="C759" t="s">
        <v>96</v>
      </c>
      <c r="D759" t="s">
        <v>174</v>
      </c>
      <c r="E759" t="s">
        <v>222</v>
      </c>
      <c r="F759" t="s">
        <v>139</v>
      </c>
      <c r="G759">
        <v>26358</v>
      </c>
      <c r="H759" t="s">
        <v>203</v>
      </c>
      <c r="I759">
        <v>1</v>
      </c>
      <c r="J759" t="s">
        <v>101</v>
      </c>
      <c r="K759" s="19">
        <v>0.58333333333333337</v>
      </c>
      <c r="L759" s="19">
        <v>0.91666666666666663</v>
      </c>
      <c r="M759">
        <v>8</v>
      </c>
      <c r="N759">
        <v>377.85</v>
      </c>
      <c r="O759">
        <v>0</v>
      </c>
      <c r="P759">
        <v>76</v>
      </c>
      <c r="Q759" t="s">
        <v>99</v>
      </c>
      <c r="R759">
        <v>30</v>
      </c>
      <c r="S759" s="19">
        <v>0.79166666666666663</v>
      </c>
      <c r="T759">
        <v>0</v>
      </c>
      <c r="U759" s="19">
        <v>0</v>
      </c>
      <c r="V759" t="s">
        <v>99</v>
      </c>
      <c r="W759">
        <v>7.5</v>
      </c>
      <c r="X759" t="s">
        <v>102</v>
      </c>
      <c r="Y759" t="b">
        <v>0</v>
      </c>
    </row>
    <row r="760" spans="1:25" x14ac:dyDescent="0.55000000000000004">
      <c r="A760" t="s">
        <v>94</v>
      </c>
      <c r="B760" t="s">
        <v>173</v>
      </c>
      <c r="C760" t="s">
        <v>96</v>
      </c>
      <c r="D760" t="s">
        <v>174</v>
      </c>
      <c r="E760" t="s">
        <v>222</v>
      </c>
      <c r="F760" t="s">
        <v>139</v>
      </c>
      <c r="G760">
        <v>26401</v>
      </c>
      <c r="H760" t="s">
        <v>234</v>
      </c>
      <c r="I760">
        <v>1</v>
      </c>
      <c r="J760" t="s">
        <v>105</v>
      </c>
      <c r="K760" s="19">
        <v>0.58333333333333337</v>
      </c>
      <c r="L760" s="19">
        <v>0.91666666666666663</v>
      </c>
      <c r="M760">
        <v>8</v>
      </c>
      <c r="N760">
        <v>373.62</v>
      </c>
      <c r="O760">
        <v>52.5</v>
      </c>
      <c r="P760">
        <v>76</v>
      </c>
      <c r="Q760" t="s">
        <v>99</v>
      </c>
      <c r="R760">
        <v>30</v>
      </c>
      <c r="S760" s="19">
        <v>0.79166666666666663</v>
      </c>
      <c r="T760">
        <v>0</v>
      </c>
      <c r="U760" s="19">
        <v>0.54166666666666663</v>
      </c>
      <c r="V760" t="s">
        <v>99</v>
      </c>
      <c r="W760">
        <v>7.5</v>
      </c>
      <c r="X760" t="s">
        <v>102</v>
      </c>
      <c r="Y760" t="b">
        <v>0</v>
      </c>
    </row>
    <row r="761" spans="1:25" x14ac:dyDescent="0.55000000000000004">
      <c r="A761" t="s">
        <v>94</v>
      </c>
      <c r="B761" t="s">
        <v>173</v>
      </c>
      <c r="C761" t="s">
        <v>96</v>
      </c>
      <c r="D761" t="s">
        <v>174</v>
      </c>
      <c r="E761" t="s">
        <v>222</v>
      </c>
      <c r="F761" t="s">
        <v>139</v>
      </c>
      <c r="G761">
        <v>26401</v>
      </c>
      <c r="H761" t="s">
        <v>234</v>
      </c>
      <c r="I761">
        <v>2</v>
      </c>
      <c r="J761" t="s">
        <v>101</v>
      </c>
      <c r="K761" s="19">
        <v>0.58333333333333337</v>
      </c>
      <c r="L761" s="19">
        <v>0.91666666666666663</v>
      </c>
      <c r="M761">
        <v>8</v>
      </c>
      <c r="N761">
        <v>373.62</v>
      </c>
      <c r="O761">
        <v>52.5</v>
      </c>
      <c r="P761">
        <v>76</v>
      </c>
      <c r="Q761" t="s">
        <v>99</v>
      </c>
      <c r="R761">
        <v>30</v>
      </c>
      <c r="S761" s="19">
        <v>0.79166666666666663</v>
      </c>
      <c r="T761">
        <v>0</v>
      </c>
      <c r="U761" s="19">
        <v>0</v>
      </c>
      <c r="V761" t="s">
        <v>99</v>
      </c>
      <c r="W761">
        <v>7.5</v>
      </c>
      <c r="X761" t="s">
        <v>102</v>
      </c>
      <c r="Y761" t="b">
        <v>0</v>
      </c>
    </row>
    <row r="762" spans="1:25" x14ac:dyDescent="0.55000000000000004">
      <c r="A762" t="s">
        <v>94</v>
      </c>
      <c r="B762" t="s">
        <v>173</v>
      </c>
      <c r="C762" t="s">
        <v>96</v>
      </c>
      <c r="D762" t="s">
        <v>174</v>
      </c>
      <c r="E762" t="s">
        <v>222</v>
      </c>
      <c r="F762" t="s">
        <v>139</v>
      </c>
      <c r="G762">
        <v>26401</v>
      </c>
      <c r="H762" t="s">
        <v>234</v>
      </c>
      <c r="I762">
        <v>2</v>
      </c>
      <c r="J762" t="s">
        <v>105</v>
      </c>
      <c r="K762" s="19">
        <v>0.58333333333333337</v>
      </c>
      <c r="L762" s="19">
        <v>0.91666666666666663</v>
      </c>
      <c r="M762">
        <v>8</v>
      </c>
      <c r="N762">
        <v>373.62</v>
      </c>
      <c r="O762">
        <v>52.5</v>
      </c>
      <c r="P762">
        <v>76</v>
      </c>
      <c r="Q762" t="s">
        <v>99</v>
      </c>
      <c r="R762">
        <v>30</v>
      </c>
      <c r="S762" s="19">
        <v>0.79166666666666663</v>
      </c>
      <c r="T762">
        <v>0</v>
      </c>
      <c r="U762" s="19">
        <v>0.54166666666666663</v>
      </c>
      <c r="V762" t="s">
        <v>99</v>
      </c>
      <c r="W762">
        <v>7.5</v>
      </c>
      <c r="X762" t="s">
        <v>102</v>
      </c>
      <c r="Y762" t="b">
        <v>0</v>
      </c>
    </row>
    <row r="763" spans="1:25" x14ac:dyDescent="0.55000000000000004">
      <c r="A763" t="s">
        <v>94</v>
      </c>
      <c r="B763" t="s">
        <v>173</v>
      </c>
      <c r="C763" t="s">
        <v>96</v>
      </c>
      <c r="D763" t="s">
        <v>174</v>
      </c>
      <c r="E763" t="s">
        <v>222</v>
      </c>
      <c r="F763" t="s">
        <v>141</v>
      </c>
      <c r="G763">
        <v>19381</v>
      </c>
      <c r="H763" t="s">
        <v>166</v>
      </c>
      <c r="I763">
        <v>1</v>
      </c>
      <c r="J763" t="s">
        <v>101</v>
      </c>
      <c r="K763" s="19">
        <v>0.58333333333333337</v>
      </c>
      <c r="L763" s="19">
        <v>0.91666666666666663</v>
      </c>
      <c r="M763">
        <v>8</v>
      </c>
      <c r="N763">
        <v>280.72000000000003</v>
      </c>
      <c r="O763">
        <v>60</v>
      </c>
      <c r="P763">
        <v>76</v>
      </c>
      <c r="Q763" t="s">
        <v>99</v>
      </c>
      <c r="R763">
        <v>30</v>
      </c>
      <c r="S763" s="19">
        <v>0.79166666666666663</v>
      </c>
      <c r="T763">
        <v>0</v>
      </c>
      <c r="U763" s="19">
        <v>0.54166666666666663</v>
      </c>
      <c r="V763" t="s">
        <v>99</v>
      </c>
      <c r="W763">
        <v>7.5</v>
      </c>
      <c r="X763" t="s">
        <v>102</v>
      </c>
      <c r="Y763" t="b">
        <v>0</v>
      </c>
    </row>
    <row r="764" spans="1:25" x14ac:dyDescent="0.55000000000000004">
      <c r="A764" t="s">
        <v>94</v>
      </c>
      <c r="B764" t="s">
        <v>173</v>
      </c>
      <c r="C764" t="s">
        <v>96</v>
      </c>
      <c r="D764" t="s">
        <v>174</v>
      </c>
      <c r="E764" t="s">
        <v>222</v>
      </c>
      <c r="F764" t="s">
        <v>141</v>
      </c>
      <c r="G764">
        <v>19381</v>
      </c>
      <c r="H764" t="s">
        <v>166</v>
      </c>
      <c r="I764">
        <v>1</v>
      </c>
      <c r="J764" t="s">
        <v>116</v>
      </c>
      <c r="K764" s="19">
        <v>0.58333333333333337</v>
      </c>
      <c r="L764" s="19">
        <v>0.91666666666666663</v>
      </c>
      <c r="M764">
        <v>8</v>
      </c>
      <c r="N764">
        <v>436.67</v>
      </c>
      <c r="O764">
        <v>60</v>
      </c>
      <c r="P764">
        <v>76</v>
      </c>
      <c r="Q764" t="s">
        <v>99</v>
      </c>
      <c r="R764">
        <v>30</v>
      </c>
      <c r="S764" s="19">
        <v>0.79166666666666663</v>
      </c>
      <c r="T764">
        <v>0</v>
      </c>
      <c r="U764" s="19">
        <v>0.54166666666666663</v>
      </c>
      <c r="V764" t="s">
        <v>99</v>
      </c>
      <c r="W764">
        <v>7.5</v>
      </c>
      <c r="X764" t="s">
        <v>102</v>
      </c>
      <c r="Y764" t="b">
        <v>0</v>
      </c>
    </row>
    <row r="765" spans="1:25" x14ac:dyDescent="0.55000000000000004">
      <c r="A765" t="s">
        <v>94</v>
      </c>
      <c r="B765" t="s">
        <v>173</v>
      </c>
      <c r="C765" t="s">
        <v>96</v>
      </c>
      <c r="D765" t="s">
        <v>174</v>
      </c>
      <c r="E765" t="s">
        <v>222</v>
      </c>
      <c r="F765" t="s">
        <v>141</v>
      </c>
      <c r="G765">
        <v>19381</v>
      </c>
      <c r="H765" t="s">
        <v>166</v>
      </c>
      <c r="I765">
        <v>2</v>
      </c>
      <c r="J765" t="s">
        <v>101</v>
      </c>
      <c r="K765" s="19">
        <v>0.58333333333333337</v>
      </c>
      <c r="L765" s="19">
        <v>0.91666666666666663</v>
      </c>
      <c r="M765">
        <v>8</v>
      </c>
      <c r="N765">
        <v>280.72000000000003</v>
      </c>
      <c r="O765">
        <v>60</v>
      </c>
      <c r="P765">
        <v>76</v>
      </c>
      <c r="Q765" t="s">
        <v>99</v>
      </c>
      <c r="R765">
        <v>30</v>
      </c>
      <c r="S765" s="19">
        <v>0.79166666666666663</v>
      </c>
      <c r="T765">
        <v>0</v>
      </c>
      <c r="U765" s="19">
        <v>0.54166666666666663</v>
      </c>
      <c r="V765" t="s">
        <v>99</v>
      </c>
      <c r="W765">
        <v>7.5</v>
      </c>
      <c r="X765" t="s">
        <v>102</v>
      </c>
      <c r="Y765" t="b">
        <v>0</v>
      </c>
    </row>
    <row r="766" spans="1:25" x14ac:dyDescent="0.55000000000000004">
      <c r="A766" t="s">
        <v>94</v>
      </c>
      <c r="B766" t="s">
        <v>173</v>
      </c>
      <c r="C766" t="s">
        <v>96</v>
      </c>
      <c r="D766" t="s">
        <v>174</v>
      </c>
      <c r="E766" t="s">
        <v>222</v>
      </c>
      <c r="F766" t="s">
        <v>141</v>
      </c>
      <c r="G766">
        <v>19381</v>
      </c>
      <c r="H766" t="s">
        <v>166</v>
      </c>
      <c r="I766">
        <v>2</v>
      </c>
      <c r="J766" t="s">
        <v>116</v>
      </c>
      <c r="K766" s="19">
        <v>0.58333333333333337</v>
      </c>
      <c r="L766" s="19">
        <v>0.91666666666666663</v>
      </c>
      <c r="M766">
        <v>8</v>
      </c>
      <c r="N766">
        <v>0</v>
      </c>
      <c r="O766">
        <v>60</v>
      </c>
      <c r="P766">
        <v>76</v>
      </c>
      <c r="Q766" t="s">
        <v>99</v>
      </c>
      <c r="R766">
        <v>30</v>
      </c>
      <c r="S766" s="19">
        <v>0.79166666666666663</v>
      </c>
      <c r="T766">
        <v>0</v>
      </c>
      <c r="U766" s="19">
        <v>0.54166666666666663</v>
      </c>
      <c r="V766" t="s">
        <v>99</v>
      </c>
      <c r="W766">
        <v>7.5</v>
      </c>
      <c r="X766" t="s">
        <v>102</v>
      </c>
      <c r="Y766" t="b">
        <v>0</v>
      </c>
    </row>
    <row r="767" spans="1:25" x14ac:dyDescent="0.55000000000000004">
      <c r="A767" t="s">
        <v>94</v>
      </c>
      <c r="B767" t="s">
        <v>173</v>
      </c>
      <c r="C767" t="s">
        <v>96</v>
      </c>
      <c r="D767" t="s">
        <v>174</v>
      </c>
      <c r="E767" t="s">
        <v>222</v>
      </c>
      <c r="F767" t="s">
        <v>141</v>
      </c>
      <c r="G767">
        <v>19440</v>
      </c>
      <c r="H767" t="s">
        <v>239</v>
      </c>
      <c r="I767">
        <v>1</v>
      </c>
      <c r="J767" t="s">
        <v>107</v>
      </c>
      <c r="K767" s="19">
        <v>0.58333333333333337</v>
      </c>
      <c r="L767" s="19">
        <v>0.91666666666666663</v>
      </c>
      <c r="M767">
        <v>8</v>
      </c>
      <c r="N767">
        <v>0</v>
      </c>
      <c r="O767">
        <v>60</v>
      </c>
      <c r="P767">
        <v>76</v>
      </c>
      <c r="Q767" t="s">
        <v>99</v>
      </c>
      <c r="R767">
        <v>30</v>
      </c>
      <c r="S767" s="19">
        <v>0.79166666666666663</v>
      </c>
      <c r="T767">
        <v>0</v>
      </c>
      <c r="U767" s="19">
        <v>0</v>
      </c>
      <c r="V767" t="s">
        <v>99</v>
      </c>
      <c r="W767">
        <v>7.5</v>
      </c>
      <c r="X767" t="s">
        <v>102</v>
      </c>
      <c r="Y767" t="b">
        <v>0</v>
      </c>
    </row>
    <row r="768" spans="1:25" x14ac:dyDescent="0.55000000000000004">
      <c r="A768" t="s">
        <v>94</v>
      </c>
      <c r="B768" t="s">
        <v>173</v>
      </c>
      <c r="C768" t="s">
        <v>96</v>
      </c>
      <c r="D768" t="s">
        <v>174</v>
      </c>
      <c r="E768" t="s">
        <v>222</v>
      </c>
      <c r="F768" t="s">
        <v>141</v>
      </c>
      <c r="G768">
        <v>19440</v>
      </c>
      <c r="H768" t="s">
        <v>239</v>
      </c>
      <c r="I768">
        <v>1</v>
      </c>
      <c r="J768" t="s">
        <v>115</v>
      </c>
      <c r="K768" s="19">
        <v>0.58333333333333337</v>
      </c>
      <c r="L768" s="19">
        <v>0.91666666666666663</v>
      </c>
      <c r="M768">
        <v>8</v>
      </c>
      <c r="N768">
        <v>0</v>
      </c>
      <c r="O768">
        <v>60</v>
      </c>
      <c r="P768">
        <v>76</v>
      </c>
      <c r="Q768" t="s">
        <v>99</v>
      </c>
      <c r="R768">
        <v>30</v>
      </c>
      <c r="S768" s="19">
        <v>0.79166666666666663</v>
      </c>
      <c r="T768">
        <v>0</v>
      </c>
      <c r="U768" s="19">
        <v>0</v>
      </c>
      <c r="V768" t="s">
        <v>99</v>
      </c>
      <c r="W768">
        <v>7.5</v>
      </c>
      <c r="X768" t="s">
        <v>102</v>
      </c>
      <c r="Y768" t="b">
        <v>0</v>
      </c>
    </row>
    <row r="769" spans="1:25" x14ac:dyDescent="0.55000000000000004">
      <c r="A769" t="s">
        <v>94</v>
      </c>
      <c r="B769" t="s">
        <v>173</v>
      </c>
      <c r="C769" t="s">
        <v>96</v>
      </c>
      <c r="D769" t="s">
        <v>174</v>
      </c>
      <c r="E769" t="s">
        <v>222</v>
      </c>
      <c r="F769" t="s">
        <v>141</v>
      </c>
      <c r="G769">
        <v>19440</v>
      </c>
      <c r="H769" t="s">
        <v>239</v>
      </c>
      <c r="I769">
        <v>1</v>
      </c>
      <c r="J769" t="s">
        <v>116</v>
      </c>
      <c r="K769" s="19">
        <v>0.58333333333333337</v>
      </c>
      <c r="L769" s="19">
        <v>0.91666666666666663</v>
      </c>
      <c r="M769">
        <v>8</v>
      </c>
      <c r="N769">
        <v>0</v>
      </c>
      <c r="O769">
        <v>60</v>
      </c>
      <c r="P769">
        <v>76</v>
      </c>
      <c r="Q769" t="s">
        <v>99</v>
      </c>
      <c r="R769">
        <v>30</v>
      </c>
      <c r="S769" s="19">
        <v>0.79166666666666663</v>
      </c>
      <c r="T769">
        <v>0</v>
      </c>
      <c r="U769" s="19">
        <v>0</v>
      </c>
      <c r="V769" t="s">
        <v>99</v>
      </c>
      <c r="W769">
        <v>7.5</v>
      </c>
      <c r="X769" t="s">
        <v>102</v>
      </c>
      <c r="Y769" t="b">
        <v>0</v>
      </c>
    </row>
    <row r="770" spans="1:25" x14ac:dyDescent="0.55000000000000004">
      <c r="A770" t="s">
        <v>94</v>
      </c>
      <c r="B770" t="s">
        <v>173</v>
      </c>
      <c r="C770" t="s">
        <v>96</v>
      </c>
      <c r="D770" t="s">
        <v>174</v>
      </c>
      <c r="E770" t="s">
        <v>222</v>
      </c>
      <c r="F770" t="s">
        <v>141</v>
      </c>
      <c r="G770">
        <v>19440</v>
      </c>
      <c r="H770" t="s">
        <v>239</v>
      </c>
      <c r="I770">
        <v>1</v>
      </c>
      <c r="J770" t="s">
        <v>103</v>
      </c>
      <c r="K770" s="19">
        <v>0.58333333333333337</v>
      </c>
      <c r="L770" s="19">
        <v>0.91666666666666663</v>
      </c>
      <c r="M770">
        <v>8</v>
      </c>
      <c r="N770">
        <v>0</v>
      </c>
      <c r="O770">
        <v>60</v>
      </c>
      <c r="P770">
        <v>76</v>
      </c>
      <c r="Q770" t="s">
        <v>99</v>
      </c>
      <c r="R770">
        <v>30</v>
      </c>
      <c r="S770" s="19">
        <v>0.79166666666666663</v>
      </c>
      <c r="T770">
        <v>0</v>
      </c>
      <c r="U770" s="19">
        <v>0</v>
      </c>
      <c r="V770" t="s">
        <v>99</v>
      </c>
      <c r="W770">
        <v>7.5</v>
      </c>
      <c r="X770" t="s">
        <v>102</v>
      </c>
      <c r="Y770" t="b">
        <v>0</v>
      </c>
    </row>
    <row r="771" spans="1:25" x14ac:dyDescent="0.55000000000000004">
      <c r="A771" t="s">
        <v>94</v>
      </c>
      <c r="B771" t="s">
        <v>173</v>
      </c>
      <c r="C771" t="s">
        <v>96</v>
      </c>
      <c r="D771" t="s">
        <v>174</v>
      </c>
      <c r="E771" t="s">
        <v>222</v>
      </c>
      <c r="F771" t="s">
        <v>141</v>
      </c>
      <c r="G771">
        <v>19440</v>
      </c>
      <c r="H771" t="s">
        <v>239</v>
      </c>
      <c r="I771">
        <v>1</v>
      </c>
      <c r="J771" t="s">
        <v>105</v>
      </c>
      <c r="K771" s="19">
        <v>0.58333333333333337</v>
      </c>
      <c r="L771" s="19">
        <v>0.91666666666666663</v>
      </c>
      <c r="M771">
        <v>8</v>
      </c>
      <c r="N771">
        <v>0</v>
      </c>
      <c r="O771">
        <v>60</v>
      </c>
      <c r="P771">
        <v>76</v>
      </c>
      <c r="Q771" t="s">
        <v>99</v>
      </c>
      <c r="R771">
        <v>30</v>
      </c>
      <c r="S771" s="19">
        <v>0.79166666666666663</v>
      </c>
      <c r="T771">
        <v>0</v>
      </c>
      <c r="U771" s="19">
        <v>0</v>
      </c>
      <c r="V771" t="s">
        <v>99</v>
      </c>
      <c r="W771">
        <v>7.5</v>
      </c>
      <c r="X771" t="s">
        <v>102</v>
      </c>
      <c r="Y771" t="b">
        <v>0</v>
      </c>
    </row>
    <row r="772" spans="1:25" x14ac:dyDescent="0.55000000000000004">
      <c r="A772" t="s">
        <v>94</v>
      </c>
      <c r="B772" t="s">
        <v>173</v>
      </c>
      <c r="C772" t="s">
        <v>96</v>
      </c>
      <c r="D772" t="s">
        <v>174</v>
      </c>
      <c r="E772" t="s">
        <v>222</v>
      </c>
      <c r="F772" t="s">
        <v>141</v>
      </c>
      <c r="G772">
        <v>19440</v>
      </c>
      <c r="H772" t="s">
        <v>239</v>
      </c>
      <c r="I772">
        <v>2</v>
      </c>
      <c r="J772" t="s">
        <v>107</v>
      </c>
      <c r="K772" s="19">
        <v>0.58333333333333337</v>
      </c>
      <c r="L772" s="19">
        <v>0.91666666666666663</v>
      </c>
      <c r="M772">
        <v>8</v>
      </c>
      <c r="N772">
        <v>0</v>
      </c>
      <c r="O772">
        <v>60</v>
      </c>
      <c r="P772">
        <v>76</v>
      </c>
      <c r="Q772" t="s">
        <v>99</v>
      </c>
      <c r="R772">
        <v>30</v>
      </c>
      <c r="S772" s="19">
        <v>0.79166666666666663</v>
      </c>
      <c r="T772">
        <v>0</v>
      </c>
      <c r="U772" s="19">
        <v>0</v>
      </c>
      <c r="V772" t="s">
        <v>99</v>
      </c>
      <c r="W772">
        <v>7.5</v>
      </c>
      <c r="X772" t="s">
        <v>102</v>
      </c>
      <c r="Y772" t="b">
        <v>0</v>
      </c>
    </row>
    <row r="773" spans="1:25" x14ac:dyDescent="0.55000000000000004">
      <c r="A773" t="s">
        <v>94</v>
      </c>
      <c r="B773" t="s">
        <v>173</v>
      </c>
      <c r="C773" t="s">
        <v>96</v>
      </c>
      <c r="D773" t="s">
        <v>174</v>
      </c>
      <c r="E773" t="s">
        <v>222</v>
      </c>
      <c r="F773" t="s">
        <v>141</v>
      </c>
      <c r="G773">
        <v>19440</v>
      </c>
      <c r="H773" t="s">
        <v>239</v>
      </c>
      <c r="I773">
        <v>2</v>
      </c>
      <c r="J773" t="s">
        <v>103</v>
      </c>
      <c r="K773" s="19">
        <v>0.58333333333333337</v>
      </c>
      <c r="L773" s="19">
        <v>0.91666666666666663</v>
      </c>
      <c r="M773">
        <v>8</v>
      </c>
      <c r="N773">
        <v>0</v>
      </c>
      <c r="O773">
        <v>60</v>
      </c>
      <c r="P773">
        <v>76</v>
      </c>
      <c r="Q773" t="s">
        <v>99</v>
      </c>
      <c r="R773">
        <v>30</v>
      </c>
      <c r="S773" s="19">
        <v>0.79166666666666663</v>
      </c>
      <c r="T773">
        <v>0</v>
      </c>
      <c r="U773" s="19">
        <v>0</v>
      </c>
      <c r="V773" t="s">
        <v>99</v>
      </c>
      <c r="W773">
        <v>7.5</v>
      </c>
      <c r="X773" t="s">
        <v>102</v>
      </c>
      <c r="Y773" t="b">
        <v>0</v>
      </c>
    </row>
    <row r="774" spans="1:25" x14ac:dyDescent="0.55000000000000004">
      <c r="A774" t="s">
        <v>94</v>
      </c>
      <c r="B774" t="s">
        <v>173</v>
      </c>
      <c r="C774" t="s">
        <v>96</v>
      </c>
      <c r="D774" t="s">
        <v>174</v>
      </c>
      <c r="E774" t="s">
        <v>222</v>
      </c>
      <c r="F774" t="s">
        <v>141</v>
      </c>
      <c r="G774">
        <v>19440</v>
      </c>
      <c r="H774" t="s">
        <v>239</v>
      </c>
      <c r="I774">
        <v>2</v>
      </c>
      <c r="J774" t="s">
        <v>105</v>
      </c>
      <c r="K774" s="19">
        <v>0.58333333333333337</v>
      </c>
      <c r="L774" s="19">
        <v>0.91666666666666663</v>
      </c>
      <c r="M774">
        <v>8</v>
      </c>
      <c r="N774">
        <v>0</v>
      </c>
      <c r="O774">
        <v>60</v>
      </c>
      <c r="P774">
        <v>76</v>
      </c>
      <c r="Q774" t="s">
        <v>99</v>
      </c>
      <c r="R774">
        <v>30</v>
      </c>
      <c r="S774" s="19">
        <v>0.79166666666666663</v>
      </c>
      <c r="T774">
        <v>0</v>
      </c>
      <c r="U774" s="19">
        <v>0</v>
      </c>
      <c r="V774" t="s">
        <v>99</v>
      </c>
      <c r="W774">
        <v>7.5</v>
      </c>
      <c r="X774" t="s">
        <v>102</v>
      </c>
      <c r="Y774" t="b">
        <v>0</v>
      </c>
    </row>
    <row r="775" spans="1:25" x14ac:dyDescent="0.55000000000000004">
      <c r="A775" t="s">
        <v>94</v>
      </c>
      <c r="B775" t="s">
        <v>173</v>
      </c>
      <c r="C775" t="s">
        <v>96</v>
      </c>
      <c r="D775" t="s">
        <v>174</v>
      </c>
      <c r="E775" t="s">
        <v>222</v>
      </c>
      <c r="F775" t="s">
        <v>141</v>
      </c>
      <c r="G775">
        <v>22772</v>
      </c>
      <c r="H775" t="s">
        <v>205</v>
      </c>
      <c r="I775">
        <v>1</v>
      </c>
      <c r="J775" t="s">
        <v>115</v>
      </c>
      <c r="K775" s="19">
        <v>0.58333333333333337</v>
      </c>
      <c r="L775" s="19">
        <v>0.91666666666666663</v>
      </c>
      <c r="M775">
        <v>8</v>
      </c>
      <c r="N775">
        <v>394.99</v>
      </c>
      <c r="O775">
        <v>67.5</v>
      </c>
      <c r="P775">
        <v>76</v>
      </c>
      <c r="Q775" t="s">
        <v>99</v>
      </c>
      <c r="R775">
        <v>30</v>
      </c>
      <c r="S775" s="19">
        <v>0.79166666666666663</v>
      </c>
      <c r="T775">
        <v>0</v>
      </c>
      <c r="U775" s="19">
        <v>0.54166666666666663</v>
      </c>
      <c r="V775" t="s">
        <v>99</v>
      </c>
      <c r="W775">
        <v>7.5</v>
      </c>
      <c r="X775" t="s">
        <v>102</v>
      </c>
      <c r="Y775" t="b">
        <v>0</v>
      </c>
    </row>
    <row r="776" spans="1:25" x14ac:dyDescent="0.55000000000000004">
      <c r="A776" t="s">
        <v>94</v>
      </c>
      <c r="B776" t="s">
        <v>173</v>
      </c>
      <c r="C776" t="s">
        <v>96</v>
      </c>
      <c r="D776" t="s">
        <v>174</v>
      </c>
      <c r="E776" t="s">
        <v>222</v>
      </c>
      <c r="F776" t="s">
        <v>141</v>
      </c>
      <c r="G776">
        <v>22772</v>
      </c>
      <c r="H776" t="s">
        <v>205</v>
      </c>
      <c r="I776">
        <v>1</v>
      </c>
      <c r="J776" t="s">
        <v>116</v>
      </c>
      <c r="K776" s="19">
        <v>0.58333333333333337</v>
      </c>
      <c r="L776" s="19">
        <v>0.91666666666666663</v>
      </c>
      <c r="M776">
        <v>8</v>
      </c>
      <c r="N776">
        <v>460.82</v>
      </c>
      <c r="O776">
        <v>67.5</v>
      </c>
      <c r="P776">
        <v>76</v>
      </c>
      <c r="Q776" t="s">
        <v>99</v>
      </c>
      <c r="R776">
        <v>30</v>
      </c>
      <c r="S776" s="19">
        <v>0.79166666666666663</v>
      </c>
      <c r="T776">
        <v>0</v>
      </c>
      <c r="U776" s="19">
        <v>0.54166666666666663</v>
      </c>
      <c r="V776" t="s">
        <v>99</v>
      </c>
      <c r="W776">
        <v>7.5</v>
      </c>
      <c r="X776" t="s">
        <v>102</v>
      </c>
      <c r="Y776" t="b">
        <v>0</v>
      </c>
    </row>
    <row r="777" spans="1:25" x14ac:dyDescent="0.55000000000000004">
      <c r="A777" t="s">
        <v>94</v>
      </c>
      <c r="B777" t="s">
        <v>173</v>
      </c>
      <c r="C777" t="s">
        <v>96</v>
      </c>
      <c r="D777" t="s">
        <v>174</v>
      </c>
      <c r="E777" t="s">
        <v>222</v>
      </c>
      <c r="F777" t="s">
        <v>141</v>
      </c>
      <c r="G777">
        <v>22772</v>
      </c>
      <c r="H777" t="s">
        <v>205</v>
      </c>
      <c r="I777">
        <v>1</v>
      </c>
      <c r="J777" t="s">
        <v>103</v>
      </c>
      <c r="K777" s="19">
        <v>0.58333333333333337</v>
      </c>
      <c r="L777" s="19">
        <v>0.91666666666666663</v>
      </c>
      <c r="M777">
        <v>8</v>
      </c>
      <c r="N777">
        <v>296.24</v>
      </c>
      <c r="O777">
        <v>67.5</v>
      </c>
      <c r="P777">
        <v>76</v>
      </c>
      <c r="Q777" t="s">
        <v>99</v>
      </c>
      <c r="R777">
        <v>30</v>
      </c>
      <c r="S777" s="19">
        <v>0.79166666666666663</v>
      </c>
      <c r="T777">
        <v>0</v>
      </c>
      <c r="U777" s="19">
        <v>0.54166666666666663</v>
      </c>
      <c r="V777" t="s">
        <v>99</v>
      </c>
      <c r="W777">
        <v>7.5</v>
      </c>
      <c r="X777" t="s">
        <v>102</v>
      </c>
      <c r="Y777" t="b">
        <v>0</v>
      </c>
    </row>
    <row r="778" spans="1:25" x14ac:dyDescent="0.55000000000000004">
      <c r="A778" t="s">
        <v>94</v>
      </c>
      <c r="B778" t="s">
        <v>173</v>
      </c>
      <c r="C778" t="s">
        <v>96</v>
      </c>
      <c r="D778" t="s">
        <v>174</v>
      </c>
      <c r="E778" t="s">
        <v>222</v>
      </c>
      <c r="F778" t="s">
        <v>141</v>
      </c>
      <c r="G778">
        <v>22772</v>
      </c>
      <c r="H778" t="s">
        <v>205</v>
      </c>
      <c r="I778">
        <v>1</v>
      </c>
      <c r="J778" t="s">
        <v>104</v>
      </c>
      <c r="K778" s="19">
        <v>0.58333333333333337</v>
      </c>
      <c r="L778" s="19">
        <v>0.91666666666666663</v>
      </c>
      <c r="M778">
        <v>8</v>
      </c>
      <c r="N778">
        <v>296.24</v>
      </c>
      <c r="O778">
        <v>67.5</v>
      </c>
      <c r="P778">
        <v>76</v>
      </c>
      <c r="Q778" t="s">
        <v>99</v>
      </c>
      <c r="R778">
        <v>30</v>
      </c>
      <c r="S778" s="19">
        <v>0.79166666666666663</v>
      </c>
      <c r="T778">
        <v>0</v>
      </c>
      <c r="U778" s="19">
        <v>0.54166666666666663</v>
      </c>
      <c r="V778" t="s">
        <v>99</v>
      </c>
      <c r="W778">
        <v>7.5</v>
      </c>
      <c r="X778" t="s">
        <v>102</v>
      </c>
      <c r="Y778" t="b">
        <v>0</v>
      </c>
    </row>
    <row r="779" spans="1:25" x14ac:dyDescent="0.55000000000000004">
      <c r="A779" t="s">
        <v>94</v>
      </c>
      <c r="B779" t="s">
        <v>173</v>
      </c>
      <c r="C779" t="s">
        <v>96</v>
      </c>
      <c r="D779" t="s">
        <v>174</v>
      </c>
      <c r="E779" t="s">
        <v>222</v>
      </c>
      <c r="F779" t="s">
        <v>141</v>
      </c>
      <c r="G779">
        <v>22772</v>
      </c>
      <c r="H779" t="s">
        <v>205</v>
      </c>
      <c r="I779">
        <v>1</v>
      </c>
      <c r="J779" t="s">
        <v>105</v>
      </c>
      <c r="K779" s="19">
        <v>0.58333333333333337</v>
      </c>
      <c r="L779" s="19">
        <v>0.91666666666666663</v>
      </c>
      <c r="M779">
        <v>8</v>
      </c>
      <c r="N779">
        <v>296.24</v>
      </c>
      <c r="O779">
        <v>67.5</v>
      </c>
      <c r="P779">
        <v>76</v>
      </c>
      <c r="Q779" t="s">
        <v>99</v>
      </c>
      <c r="R779">
        <v>30</v>
      </c>
      <c r="S779" s="19">
        <v>0.79166666666666663</v>
      </c>
      <c r="T779">
        <v>0</v>
      </c>
      <c r="U779" s="19">
        <v>0.54166666666666663</v>
      </c>
      <c r="V779" t="s">
        <v>99</v>
      </c>
      <c r="W779">
        <v>7.5</v>
      </c>
      <c r="X779" t="s">
        <v>102</v>
      </c>
      <c r="Y779" t="b">
        <v>0</v>
      </c>
    </row>
    <row r="780" spans="1:25" x14ac:dyDescent="0.55000000000000004">
      <c r="A780" t="s">
        <v>94</v>
      </c>
      <c r="B780" t="s">
        <v>173</v>
      </c>
      <c r="C780" t="s">
        <v>96</v>
      </c>
      <c r="D780" t="s">
        <v>174</v>
      </c>
      <c r="E780" t="s">
        <v>222</v>
      </c>
      <c r="F780" t="s">
        <v>141</v>
      </c>
      <c r="G780">
        <v>22772</v>
      </c>
      <c r="H780" t="s">
        <v>205</v>
      </c>
      <c r="I780">
        <v>2</v>
      </c>
      <c r="J780" t="s">
        <v>103</v>
      </c>
      <c r="K780" s="19">
        <v>0.58333333333333337</v>
      </c>
      <c r="L780" s="19">
        <v>0.91666666666666663</v>
      </c>
      <c r="M780">
        <v>8</v>
      </c>
      <c r="N780">
        <v>296.24</v>
      </c>
      <c r="O780">
        <v>67.5</v>
      </c>
      <c r="P780">
        <v>76</v>
      </c>
      <c r="Q780" t="s">
        <v>99</v>
      </c>
      <c r="R780">
        <v>30</v>
      </c>
      <c r="S780" s="19">
        <v>0.79166666666666663</v>
      </c>
      <c r="T780">
        <v>0</v>
      </c>
      <c r="U780" s="19">
        <v>0.54166666666666663</v>
      </c>
      <c r="V780" t="s">
        <v>99</v>
      </c>
      <c r="W780">
        <v>7.5</v>
      </c>
      <c r="X780" t="s">
        <v>102</v>
      </c>
      <c r="Y780" t="b">
        <v>0</v>
      </c>
    </row>
    <row r="781" spans="1:25" x14ac:dyDescent="0.55000000000000004">
      <c r="A781" t="s">
        <v>94</v>
      </c>
      <c r="B781" t="s">
        <v>173</v>
      </c>
      <c r="C781" t="s">
        <v>96</v>
      </c>
      <c r="D781" t="s">
        <v>174</v>
      </c>
      <c r="E781" t="s">
        <v>222</v>
      </c>
      <c r="F781" t="s">
        <v>141</v>
      </c>
      <c r="G781">
        <v>22772</v>
      </c>
      <c r="H781" t="s">
        <v>205</v>
      </c>
      <c r="I781">
        <v>2</v>
      </c>
      <c r="J781" t="s">
        <v>105</v>
      </c>
      <c r="K781" s="19">
        <v>0.58333333333333337</v>
      </c>
      <c r="L781" s="19">
        <v>0.91666666666666663</v>
      </c>
      <c r="M781">
        <v>8</v>
      </c>
      <c r="N781">
        <v>296.24</v>
      </c>
      <c r="O781">
        <v>67.5</v>
      </c>
      <c r="P781">
        <v>76</v>
      </c>
      <c r="Q781" t="s">
        <v>99</v>
      </c>
      <c r="R781">
        <v>30</v>
      </c>
      <c r="S781" s="19">
        <v>0.79166666666666663</v>
      </c>
      <c r="T781">
        <v>0</v>
      </c>
      <c r="U781" s="19">
        <v>0.54166666666666663</v>
      </c>
      <c r="V781" t="s">
        <v>99</v>
      </c>
      <c r="W781">
        <v>7.5</v>
      </c>
      <c r="X781" t="s">
        <v>102</v>
      </c>
      <c r="Y781" t="b">
        <v>0</v>
      </c>
    </row>
    <row r="782" spans="1:25" x14ac:dyDescent="0.55000000000000004">
      <c r="A782" t="s">
        <v>94</v>
      </c>
      <c r="B782" t="s">
        <v>173</v>
      </c>
      <c r="C782" t="s">
        <v>96</v>
      </c>
      <c r="D782" t="s">
        <v>174</v>
      </c>
      <c r="E782" t="s">
        <v>222</v>
      </c>
      <c r="F782" t="s">
        <v>141</v>
      </c>
      <c r="G782">
        <v>22913</v>
      </c>
      <c r="H782" t="s">
        <v>237</v>
      </c>
      <c r="I782">
        <v>1</v>
      </c>
      <c r="J782" t="s">
        <v>107</v>
      </c>
      <c r="K782" s="19">
        <v>0.58333333333333337</v>
      </c>
      <c r="L782" s="19">
        <v>0.91666666666666663</v>
      </c>
      <c r="M782">
        <v>8</v>
      </c>
      <c r="N782">
        <v>296.24</v>
      </c>
      <c r="O782">
        <v>37.5</v>
      </c>
      <c r="P782">
        <v>76</v>
      </c>
      <c r="Q782" t="s">
        <v>99</v>
      </c>
      <c r="R782">
        <v>30</v>
      </c>
      <c r="S782" s="19">
        <v>0.79166666666666663</v>
      </c>
      <c r="T782">
        <v>0</v>
      </c>
      <c r="U782" s="19">
        <v>0</v>
      </c>
      <c r="V782" t="s">
        <v>99</v>
      </c>
      <c r="W782">
        <v>7.5</v>
      </c>
      <c r="X782" t="s">
        <v>102</v>
      </c>
      <c r="Y782" t="b">
        <v>0</v>
      </c>
    </row>
    <row r="783" spans="1:25" x14ac:dyDescent="0.55000000000000004">
      <c r="A783" t="s">
        <v>94</v>
      </c>
      <c r="B783" t="s">
        <v>173</v>
      </c>
      <c r="C783" t="s">
        <v>96</v>
      </c>
      <c r="D783" t="s">
        <v>174</v>
      </c>
      <c r="E783" t="s">
        <v>222</v>
      </c>
      <c r="F783" t="s">
        <v>141</v>
      </c>
      <c r="G783">
        <v>23242</v>
      </c>
      <c r="H783" t="s">
        <v>238</v>
      </c>
      <c r="I783">
        <v>1</v>
      </c>
      <c r="J783" t="s">
        <v>115</v>
      </c>
      <c r="K783" s="19">
        <v>0.58333333333333337</v>
      </c>
      <c r="L783" s="19">
        <v>0.91666666666666663</v>
      </c>
      <c r="M783">
        <v>8</v>
      </c>
      <c r="N783">
        <v>0</v>
      </c>
      <c r="O783">
        <v>45</v>
      </c>
      <c r="P783">
        <v>76</v>
      </c>
      <c r="Q783" t="s">
        <v>99</v>
      </c>
      <c r="R783">
        <v>30</v>
      </c>
      <c r="S783" s="19">
        <v>0.79166666666666663</v>
      </c>
      <c r="T783">
        <v>0</v>
      </c>
      <c r="U783" s="19">
        <v>0</v>
      </c>
      <c r="V783" t="s">
        <v>99</v>
      </c>
      <c r="W783">
        <v>7.5</v>
      </c>
      <c r="X783" t="s">
        <v>102</v>
      </c>
      <c r="Y783" t="b">
        <v>0</v>
      </c>
    </row>
    <row r="784" spans="1:25" x14ac:dyDescent="0.55000000000000004">
      <c r="A784" t="s">
        <v>94</v>
      </c>
      <c r="B784" t="s">
        <v>173</v>
      </c>
      <c r="C784" t="s">
        <v>96</v>
      </c>
      <c r="D784" t="s">
        <v>174</v>
      </c>
      <c r="E784" t="s">
        <v>222</v>
      </c>
      <c r="F784" t="s">
        <v>141</v>
      </c>
      <c r="G784">
        <v>23242</v>
      </c>
      <c r="H784" t="s">
        <v>238</v>
      </c>
      <c r="I784">
        <v>2</v>
      </c>
      <c r="J784" t="s">
        <v>107</v>
      </c>
      <c r="K784" s="19">
        <v>0.58333333333333337</v>
      </c>
      <c r="L784" s="19">
        <v>0.91666666666666663</v>
      </c>
      <c r="M784">
        <v>8</v>
      </c>
      <c r="N784">
        <v>0</v>
      </c>
      <c r="O784">
        <v>45</v>
      </c>
      <c r="P784">
        <v>76</v>
      </c>
      <c r="Q784" t="s">
        <v>99</v>
      </c>
      <c r="R784">
        <v>30</v>
      </c>
      <c r="S784" s="19">
        <v>0.79166666666666663</v>
      </c>
      <c r="T784">
        <v>0</v>
      </c>
      <c r="U784" s="19">
        <v>0</v>
      </c>
      <c r="V784" t="s">
        <v>99</v>
      </c>
      <c r="W784">
        <v>7.5</v>
      </c>
      <c r="X784" t="s">
        <v>102</v>
      </c>
      <c r="Y784" t="b">
        <v>0</v>
      </c>
    </row>
    <row r="785" spans="1:25" x14ac:dyDescent="0.55000000000000004">
      <c r="A785" t="s">
        <v>94</v>
      </c>
      <c r="B785" t="s">
        <v>173</v>
      </c>
      <c r="C785" t="s">
        <v>96</v>
      </c>
      <c r="D785" t="s">
        <v>174</v>
      </c>
      <c r="E785" t="s">
        <v>222</v>
      </c>
      <c r="F785" t="s">
        <v>141</v>
      </c>
      <c r="G785">
        <v>23242</v>
      </c>
      <c r="H785" t="s">
        <v>238</v>
      </c>
      <c r="I785">
        <v>2</v>
      </c>
      <c r="J785" t="s">
        <v>115</v>
      </c>
      <c r="K785" s="19">
        <v>0.58333333333333337</v>
      </c>
      <c r="L785" s="19">
        <v>0.91666666666666663</v>
      </c>
      <c r="M785">
        <v>8</v>
      </c>
      <c r="N785">
        <v>0</v>
      </c>
      <c r="O785">
        <v>45</v>
      </c>
      <c r="P785">
        <v>76</v>
      </c>
      <c r="Q785" t="s">
        <v>99</v>
      </c>
      <c r="R785">
        <v>30</v>
      </c>
      <c r="S785" s="19">
        <v>0.79166666666666663</v>
      </c>
      <c r="T785">
        <v>0</v>
      </c>
      <c r="U785" s="19">
        <v>0</v>
      </c>
      <c r="V785" t="s">
        <v>99</v>
      </c>
      <c r="W785">
        <v>7.5</v>
      </c>
      <c r="X785" t="s">
        <v>102</v>
      </c>
      <c r="Y785" t="b">
        <v>0</v>
      </c>
    </row>
    <row r="786" spans="1:25" x14ac:dyDescent="0.55000000000000004">
      <c r="A786" t="s">
        <v>94</v>
      </c>
      <c r="B786" t="s">
        <v>173</v>
      </c>
      <c r="C786" t="s">
        <v>96</v>
      </c>
      <c r="D786" t="s">
        <v>174</v>
      </c>
      <c r="E786" t="s">
        <v>222</v>
      </c>
      <c r="F786" t="s">
        <v>141</v>
      </c>
      <c r="G786">
        <v>24819</v>
      </c>
      <c r="H786" t="s">
        <v>230</v>
      </c>
      <c r="I786">
        <v>1</v>
      </c>
      <c r="J786" t="s">
        <v>116</v>
      </c>
      <c r="K786" s="19">
        <v>0.58333333333333337</v>
      </c>
      <c r="L786" s="19">
        <v>0.91666666666666663</v>
      </c>
      <c r="M786">
        <v>8</v>
      </c>
      <c r="N786">
        <v>460.82</v>
      </c>
      <c r="O786">
        <v>76</v>
      </c>
      <c r="P786">
        <v>76</v>
      </c>
      <c r="Q786" t="s">
        <v>99</v>
      </c>
      <c r="R786">
        <v>30</v>
      </c>
      <c r="S786" s="19">
        <v>0.79166666666666663</v>
      </c>
      <c r="T786">
        <v>0</v>
      </c>
      <c r="U786" s="19">
        <v>0.54166666666666663</v>
      </c>
      <c r="V786" t="s">
        <v>99</v>
      </c>
      <c r="W786">
        <v>7.5</v>
      </c>
      <c r="X786" t="s">
        <v>102</v>
      </c>
      <c r="Y786" t="b">
        <v>0</v>
      </c>
    </row>
    <row r="787" spans="1:25" x14ac:dyDescent="0.55000000000000004">
      <c r="A787" t="s">
        <v>94</v>
      </c>
      <c r="B787" t="s">
        <v>173</v>
      </c>
      <c r="C787" t="s">
        <v>96</v>
      </c>
      <c r="D787" t="s">
        <v>174</v>
      </c>
      <c r="E787" t="s">
        <v>222</v>
      </c>
      <c r="F787" t="s">
        <v>141</v>
      </c>
      <c r="G787">
        <v>24819</v>
      </c>
      <c r="H787" t="s">
        <v>230</v>
      </c>
      <c r="I787">
        <v>2</v>
      </c>
      <c r="J787" t="s">
        <v>116</v>
      </c>
      <c r="K787" s="19">
        <v>0.58333333333333337</v>
      </c>
      <c r="L787" s="19">
        <v>0.91666666666666663</v>
      </c>
      <c r="M787">
        <v>8</v>
      </c>
      <c r="N787">
        <v>460.82</v>
      </c>
      <c r="O787">
        <v>76</v>
      </c>
      <c r="P787">
        <v>76</v>
      </c>
      <c r="Q787" t="s">
        <v>99</v>
      </c>
      <c r="R787">
        <v>30</v>
      </c>
      <c r="S787" s="19">
        <v>0.79166666666666663</v>
      </c>
      <c r="T787">
        <v>0</v>
      </c>
      <c r="U787" s="19">
        <v>0.54166666666666663</v>
      </c>
      <c r="V787" t="s">
        <v>99</v>
      </c>
      <c r="W787">
        <v>7.5</v>
      </c>
      <c r="X787" t="s">
        <v>102</v>
      </c>
      <c r="Y787" t="b">
        <v>0</v>
      </c>
    </row>
    <row r="788" spans="1:25" x14ac:dyDescent="0.55000000000000004">
      <c r="A788" t="s">
        <v>94</v>
      </c>
      <c r="B788" t="s">
        <v>173</v>
      </c>
      <c r="C788" t="s">
        <v>96</v>
      </c>
      <c r="D788" t="s">
        <v>174</v>
      </c>
      <c r="E788" t="s">
        <v>222</v>
      </c>
      <c r="F788" t="s">
        <v>141</v>
      </c>
      <c r="G788">
        <v>25109</v>
      </c>
      <c r="H788" t="s">
        <v>231</v>
      </c>
      <c r="I788">
        <v>1</v>
      </c>
      <c r="J788" t="s">
        <v>101</v>
      </c>
      <c r="K788" s="19">
        <v>0.58333333333333337</v>
      </c>
      <c r="L788" s="19">
        <v>0.91666666666666663</v>
      </c>
      <c r="M788">
        <v>8</v>
      </c>
      <c r="N788">
        <v>296.24</v>
      </c>
      <c r="O788">
        <v>76</v>
      </c>
      <c r="P788">
        <v>76</v>
      </c>
      <c r="Q788" t="s">
        <v>99</v>
      </c>
      <c r="R788">
        <v>30</v>
      </c>
      <c r="S788" s="19">
        <v>0.79166666666666663</v>
      </c>
      <c r="T788">
        <v>0</v>
      </c>
      <c r="U788" s="19">
        <v>0.54166666666666663</v>
      </c>
      <c r="V788" t="s">
        <v>99</v>
      </c>
      <c r="W788">
        <v>7.5</v>
      </c>
      <c r="X788" t="s">
        <v>102</v>
      </c>
      <c r="Y788" t="b">
        <v>0</v>
      </c>
    </row>
    <row r="789" spans="1:25" x14ac:dyDescent="0.55000000000000004">
      <c r="A789" t="s">
        <v>94</v>
      </c>
      <c r="B789" t="s">
        <v>173</v>
      </c>
      <c r="C789" t="s">
        <v>96</v>
      </c>
      <c r="D789" t="s">
        <v>174</v>
      </c>
      <c r="E789" t="s">
        <v>222</v>
      </c>
      <c r="F789" t="s">
        <v>141</v>
      </c>
      <c r="G789">
        <v>25109</v>
      </c>
      <c r="H789" t="s">
        <v>231</v>
      </c>
      <c r="I789">
        <v>2</v>
      </c>
      <c r="J789" t="s">
        <v>101</v>
      </c>
      <c r="K789" s="19">
        <v>0.58333333333333337</v>
      </c>
      <c r="L789" s="19">
        <v>0.91666666666666663</v>
      </c>
      <c r="M789">
        <v>8</v>
      </c>
      <c r="N789">
        <v>296.24</v>
      </c>
      <c r="O789">
        <v>76</v>
      </c>
      <c r="P789">
        <v>76</v>
      </c>
      <c r="Q789" t="s">
        <v>99</v>
      </c>
      <c r="R789">
        <v>30</v>
      </c>
      <c r="S789" s="19">
        <v>0.79166666666666663</v>
      </c>
      <c r="T789">
        <v>0</v>
      </c>
      <c r="U789" s="19">
        <v>0.54166666666666663</v>
      </c>
      <c r="V789" t="s">
        <v>99</v>
      </c>
      <c r="W789">
        <v>7.5</v>
      </c>
      <c r="X789" t="s">
        <v>102</v>
      </c>
      <c r="Y789" t="b">
        <v>0</v>
      </c>
    </row>
    <row r="790" spans="1:25" x14ac:dyDescent="0.55000000000000004">
      <c r="A790" t="s">
        <v>94</v>
      </c>
      <c r="B790" t="s">
        <v>173</v>
      </c>
      <c r="C790" t="s">
        <v>96</v>
      </c>
      <c r="D790" t="s">
        <v>174</v>
      </c>
      <c r="E790" t="s">
        <v>222</v>
      </c>
      <c r="F790" t="s">
        <v>141</v>
      </c>
      <c r="G790">
        <v>25109</v>
      </c>
      <c r="H790" t="s">
        <v>231</v>
      </c>
      <c r="I790">
        <v>2</v>
      </c>
      <c r="J790" t="s">
        <v>115</v>
      </c>
      <c r="K790" s="19">
        <v>0.58333333333333337</v>
      </c>
      <c r="L790" s="19">
        <v>0.91666666666666663</v>
      </c>
      <c r="M790">
        <v>8</v>
      </c>
      <c r="N790">
        <v>394.99</v>
      </c>
      <c r="O790">
        <v>76</v>
      </c>
      <c r="P790">
        <v>76</v>
      </c>
      <c r="Q790" t="s">
        <v>99</v>
      </c>
      <c r="R790">
        <v>30</v>
      </c>
      <c r="S790" s="19">
        <v>0.79166666666666663</v>
      </c>
      <c r="T790">
        <v>0</v>
      </c>
      <c r="U790" s="19">
        <v>0.54166666666666663</v>
      </c>
      <c r="V790" t="s">
        <v>99</v>
      </c>
      <c r="W790">
        <v>7.5</v>
      </c>
      <c r="X790" t="s">
        <v>102</v>
      </c>
      <c r="Y790" t="b">
        <v>0</v>
      </c>
    </row>
    <row r="791" spans="1:25" x14ac:dyDescent="0.55000000000000004">
      <c r="A791" t="s">
        <v>94</v>
      </c>
      <c r="B791" t="s">
        <v>173</v>
      </c>
      <c r="C791" t="s">
        <v>96</v>
      </c>
      <c r="D791" t="s">
        <v>174</v>
      </c>
      <c r="E791" t="s">
        <v>222</v>
      </c>
      <c r="F791" t="s">
        <v>141</v>
      </c>
      <c r="G791">
        <v>25109</v>
      </c>
      <c r="H791" t="s">
        <v>231</v>
      </c>
      <c r="I791">
        <v>2</v>
      </c>
      <c r="J791" t="s">
        <v>116</v>
      </c>
      <c r="K791" s="19">
        <v>0.58333333333333337</v>
      </c>
      <c r="L791" s="19">
        <v>0.91666666666666663</v>
      </c>
      <c r="M791">
        <v>8</v>
      </c>
      <c r="N791">
        <v>460.82</v>
      </c>
      <c r="O791">
        <v>76</v>
      </c>
      <c r="P791">
        <v>76</v>
      </c>
      <c r="Q791" t="s">
        <v>99</v>
      </c>
      <c r="R791">
        <v>30</v>
      </c>
      <c r="S791" s="19">
        <v>0.79166666666666663</v>
      </c>
      <c r="T791">
        <v>0</v>
      </c>
      <c r="U791" s="19">
        <v>0.54166666666666663</v>
      </c>
      <c r="V791" t="s">
        <v>99</v>
      </c>
      <c r="W791">
        <v>7.5</v>
      </c>
      <c r="X791" t="s">
        <v>102</v>
      </c>
      <c r="Y791" t="b">
        <v>0</v>
      </c>
    </row>
    <row r="792" spans="1:25" x14ac:dyDescent="0.55000000000000004">
      <c r="A792" t="s">
        <v>94</v>
      </c>
      <c r="B792" t="s">
        <v>173</v>
      </c>
      <c r="C792" t="s">
        <v>96</v>
      </c>
      <c r="D792" t="s">
        <v>174</v>
      </c>
      <c r="E792" t="s">
        <v>222</v>
      </c>
      <c r="F792" t="s">
        <v>141</v>
      </c>
      <c r="G792">
        <v>25109</v>
      </c>
      <c r="H792" t="s">
        <v>231</v>
      </c>
      <c r="I792">
        <v>2</v>
      </c>
      <c r="J792" t="s">
        <v>104</v>
      </c>
      <c r="K792" s="19">
        <v>0.58333333333333337</v>
      </c>
      <c r="L792" s="19">
        <v>0.91666666666666663</v>
      </c>
      <c r="M792">
        <v>8</v>
      </c>
      <c r="N792">
        <v>296.24</v>
      </c>
      <c r="O792">
        <v>76</v>
      </c>
      <c r="P792">
        <v>76</v>
      </c>
      <c r="Q792" t="s">
        <v>99</v>
      </c>
      <c r="R792">
        <v>30</v>
      </c>
      <c r="S792" s="19">
        <v>0.79166666666666663</v>
      </c>
      <c r="T792">
        <v>0</v>
      </c>
      <c r="U792" s="19">
        <v>0.54166666666666663</v>
      </c>
      <c r="V792" t="s">
        <v>99</v>
      </c>
      <c r="W792">
        <v>7.5</v>
      </c>
      <c r="X792" t="s">
        <v>102</v>
      </c>
      <c r="Y792" t="b">
        <v>0</v>
      </c>
    </row>
    <row r="793" spans="1:25" x14ac:dyDescent="0.55000000000000004">
      <c r="A793" t="s">
        <v>94</v>
      </c>
      <c r="B793" t="s">
        <v>173</v>
      </c>
      <c r="C793" t="s">
        <v>96</v>
      </c>
      <c r="D793" t="s">
        <v>174</v>
      </c>
      <c r="E793" t="s">
        <v>222</v>
      </c>
      <c r="F793" t="s">
        <v>141</v>
      </c>
      <c r="G793">
        <v>25167</v>
      </c>
      <c r="H793" t="s">
        <v>240</v>
      </c>
      <c r="I793">
        <v>1</v>
      </c>
      <c r="J793" t="s">
        <v>101</v>
      </c>
      <c r="K793" s="19">
        <v>0.58333333333333337</v>
      </c>
      <c r="L793" s="19">
        <v>0.91666666666666663</v>
      </c>
      <c r="M793">
        <v>8</v>
      </c>
      <c r="N793">
        <v>343.92</v>
      </c>
      <c r="O793">
        <v>60</v>
      </c>
      <c r="P793">
        <v>76</v>
      </c>
      <c r="Q793" t="s">
        <v>99</v>
      </c>
      <c r="R793">
        <v>30</v>
      </c>
      <c r="S793" s="19">
        <v>0.75</v>
      </c>
      <c r="T793">
        <v>0</v>
      </c>
      <c r="U793" s="19">
        <v>0.54166666666666663</v>
      </c>
      <c r="V793" t="s">
        <v>99</v>
      </c>
      <c r="W793">
        <v>7.5</v>
      </c>
      <c r="X793" t="s">
        <v>102</v>
      </c>
      <c r="Y793" t="b">
        <v>0</v>
      </c>
    </row>
    <row r="794" spans="1:25" x14ac:dyDescent="0.55000000000000004">
      <c r="A794" t="s">
        <v>94</v>
      </c>
      <c r="B794" t="s">
        <v>173</v>
      </c>
      <c r="C794" t="s">
        <v>96</v>
      </c>
      <c r="D794" t="s">
        <v>174</v>
      </c>
      <c r="E794" t="s">
        <v>222</v>
      </c>
      <c r="F794" t="s">
        <v>141</v>
      </c>
      <c r="G794">
        <v>25167</v>
      </c>
      <c r="H794" t="s">
        <v>240</v>
      </c>
      <c r="I794">
        <v>1</v>
      </c>
      <c r="J794" t="s">
        <v>103</v>
      </c>
      <c r="K794" s="19">
        <v>0.58333333333333337</v>
      </c>
      <c r="L794" s="19">
        <v>0.91666666666666663</v>
      </c>
      <c r="M794">
        <v>8</v>
      </c>
      <c r="N794">
        <v>343.92</v>
      </c>
      <c r="O794">
        <v>60</v>
      </c>
      <c r="P794">
        <v>76</v>
      </c>
      <c r="Q794" t="s">
        <v>99</v>
      </c>
      <c r="R794">
        <v>30</v>
      </c>
      <c r="S794" s="19">
        <v>0.79166666666666663</v>
      </c>
      <c r="T794">
        <v>0</v>
      </c>
      <c r="U794" s="19">
        <v>0</v>
      </c>
      <c r="V794" t="s">
        <v>99</v>
      </c>
      <c r="W794">
        <v>7.5</v>
      </c>
      <c r="X794" t="s">
        <v>102</v>
      </c>
      <c r="Y794" t="b">
        <v>0</v>
      </c>
    </row>
    <row r="795" spans="1:25" x14ac:dyDescent="0.55000000000000004">
      <c r="A795" t="s">
        <v>94</v>
      </c>
      <c r="B795" t="s">
        <v>173</v>
      </c>
      <c r="C795" t="s">
        <v>96</v>
      </c>
      <c r="D795" t="s">
        <v>174</v>
      </c>
      <c r="E795" t="s">
        <v>222</v>
      </c>
      <c r="F795" t="s">
        <v>141</v>
      </c>
      <c r="G795">
        <v>25167</v>
      </c>
      <c r="H795" t="s">
        <v>240</v>
      </c>
      <c r="I795">
        <v>1</v>
      </c>
      <c r="J795" t="s">
        <v>104</v>
      </c>
      <c r="K795" s="19">
        <v>0.58333333333333337</v>
      </c>
      <c r="L795" s="19">
        <v>0.91666666666666663</v>
      </c>
      <c r="M795">
        <v>8</v>
      </c>
      <c r="N795">
        <v>343.92</v>
      </c>
      <c r="O795">
        <v>60</v>
      </c>
      <c r="P795">
        <v>76</v>
      </c>
      <c r="Q795" t="s">
        <v>99</v>
      </c>
      <c r="R795">
        <v>30</v>
      </c>
      <c r="S795" s="19">
        <v>0.79166666666666663</v>
      </c>
      <c r="T795">
        <v>0</v>
      </c>
      <c r="U795" s="19">
        <v>0</v>
      </c>
      <c r="V795" t="s">
        <v>99</v>
      </c>
      <c r="W795">
        <v>7.5</v>
      </c>
      <c r="X795" t="s">
        <v>102</v>
      </c>
      <c r="Y795" t="b">
        <v>0</v>
      </c>
    </row>
    <row r="796" spans="1:25" x14ac:dyDescent="0.55000000000000004">
      <c r="A796" t="s">
        <v>94</v>
      </c>
      <c r="B796" t="s">
        <v>173</v>
      </c>
      <c r="C796" t="s">
        <v>96</v>
      </c>
      <c r="D796" t="s">
        <v>174</v>
      </c>
      <c r="E796" t="s">
        <v>222</v>
      </c>
      <c r="F796" t="s">
        <v>141</v>
      </c>
      <c r="G796">
        <v>25167</v>
      </c>
      <c r="H796" t="s">
        <v>240</v>
      </c>
      <c r="I796">
        <v>1</v>
      </c>
      <c r="J796" t="s">
        <v>105</v>
      </c>
      <c r="K796" s="19">
        <v>0.58333333333333337</v>
      </c>
      <c r="L796" s="19">
        <v>0.91666666666666663</v>
      </c>
      <c r="M796">
        <v>8</v>
      </c>
      <c r="N796">
        <v>343.92</v>
      </c>
      <c r="O796">
        <v>60</v>
      </c>
      <c r="P796">
        <v>76</v>
      </c>
      <c r="Q796" t="s">
        <v>99</v>
      </c>
      <c r="R796">
        <v>30</v>
      </c>
      <c r="S796" s="19">
        <v>0.79166666666666663</v>
      </c>
      <c r="T796">
        <v>0</v>
      </c>
      <c r="U796" s="19">
        <v>0</v>
      </c>
      <c r="V796" t="s">
        <v>99</v>
      </c>
      <c r="W796">
        <v>7.5</v>
      </c>
      <c r="X796" t="s">
        <v>102</v>
      </c>
      <c r="Y796" t="b">
        <v>0</v>
      </c>
    </row>
    <row r="797" spans="1:25" x14ac:dyDescent="0.55000000000000004">
      <c r="A797" t="s">
        <v>94</v>
      </c>
      <c r="B797" t="s">
        <v>173</v>
      </c>
      <c r="C797" t="s">
        <v>96</v>
      </c>
      <c r="D797" t="s">
        <v>174</v>
      </c>
      <c r="E797" t="s">
        <v>222</v>
      </c>
      <c r="F797" t="s">
        <v>141</v>
      </c>
      <c r="G797">
        <v>25167</v>
      </c>
      <c r="H797" t="s">
        <v>240</v>
      </c>
      <c r="I797">
        <v>2</v>
      </c>
      <c r="J797" t="s">
        <v>101</v>
      </c>
      <c r="K797" s="19">
        <v>0.58333333333333337</v>
      </c>
      <c r="L797" s="19">
        <v>0.91666666666666663</v>
      </c>
      <c r="M797">
        <v>8</v>
      </c>
      <c r="N797">
        <v>343.92</v>
      </c>
      <c r="O797">
        <v>60</v>
      </c>
      <c r="P797">
        <v>76</v>
      </c>
      <c r="Q797" t="s">
        <v>99</v>
      </c>
      <c r="R797">
        <v>30</v>
      </c>
      <c r="S797" s="19">
        <v>0.79166666666666663</v>
      </c>
      <c r="T797">
        <v>0</v>
      </c>
      <c r="U797" s="19">
        <v>0</v>
      </c>
      <c r="V797" t="s">
        <v>99</v>
      </c>
      <c r="W797">
        <v>7.5</v>
      </c>
      <c r="X797" t="s">
        <v>102</v>
      </c>
      <c r="Y797" t="b">
        <v>0</v>
      </c>
    </row>
    <row r="798" spans="1:25" x14ac:dyDescent="0.55000000000000004">
      <c r="A798" t="s">
        <v>94</v>
      </c>
      <c r="B798" t="s">
        <v>173</v>
      </c>
      <c r="C798" t="s">
        <v>96</v>
      </c>
      <c r="D798" t="s">
        <v>174</v>
      </c>
      <c r="E798" t="s">
        <v>222</v>
      </c>
      <c r="F798" t="s">
        <v>141</v>
      </c>
      <c r="G798">
        <v>25167</v>
      </c>
      <c r="H798" t="s">
        <v>240</v>
      </c>
      <c r="I798">
        <v>2</v>
      </c>
      <c r="J798" t="s">
        <v>103</v>
      </c>
      <c r="K798" s="19">
        <v>0.58333333333333337</v>
      </c>
      <c r="L798" s="19">
        <v>0.91666666666666663</v>
      </c>
      <c r="M798">
        <v>8</v>
      </c>
      <c r="N798">
        <v>343.92</v>
      </c>
      <c r="O798">
        <v>60</v>
      </c>
      <c r="P798">
        <v>76</v>
      </c>
      <c r="Q798" t="s">
        <v>99</v>
      </c>
      <c r="R798">
        <v>30</v>
      </c>
      <c r="S798" s="19">
        <v>0.79166666666666663</v>
      </c>
      <c r="T798">
        <v>0</v>
      </c>
      <c r="U798" s="19">
        <v>0</v>
      </c>
      <c r="V798" t="s">
        <v>99</v>
      </c>
      <c r="W798">
        <v>7.5</v>
      </c>
      <c r="X798" t="s">
        <v>102</v>
      </c>
      <c r="Y798" t="b">
        <v>0</v>
      </c>
    </row>
    <row r="799" spans="1:25" x14ac:dyDescent="0.55000000000000004">
      <c r="A799" t="s">
        <v>94</v>
      </c>
      <c r="B799" t="s">
        <v>173</v>
      </c>
      <c r="C799" t="s">
        <v>96</v>
      </c>
      <c r="D799" t="s">
        <v>174</v>
      </c>
      <c r="E799" t="s">
        <v>222</v>
      </c>
      <c r="F799" t="s">
        <v>141</v>
      </c>
      <c r="G799">
        <v>25167</v>
      </c>
      <c r="H799" t="s">
        <v>240</v>
      </c>
      <c r="I799">
        <v>2</v>
      </c>
      <c r="J799" t="s">
        <v>104</v>
      </c>
      <c r="K799" s="19">
        <v>0.58333333333333337</v>
      </c>
      <c r="L799" s="19">
        <v>0.91666666666666663</v>
      </c>
      <c r="M799">
        <v>8</v>
      </c>
      <c r="N799">
        <v>343.92</v>
      </c>
      <c r="O799">
        <v>60</v>
      </c>
      <c r="P799">
        <v>76</v>
      </c>
      <c r="Q799" t="s">
        <v>99</v>
      </c>
      <c r="R799">
        <v>30</v>
      </c>
      <c r="S799" s="19">
        <v>0.79166666666666663</v>
      </c>
      <c r="T799">
        <v>0</v>
      </c>
      <c r="U799" s="19">
        <v>0.54166666666666663</v>
      </c>
      <c r="V799" t="s">
        <v>99</v>
      </c>
      <c r="W799">
        <v>7.5</v>
      </c>
      <c r="X799" t="s">
        <v>102</v>
      </c>
      <c r="Y799" t="b">
        <v>0</v>
      </c>
    </row>
    <row r="800" spans="1:25" x14ac:dyDescent="0.55000000000000004">
      <c r="A800" t="s">
        <v>94</v>
      </c>
      <c r="B800" t="s">
        <v>173</v>
      </c>
      <c r="C800" t="s">
        <v>96</v>
      </c>
      <c r="D800" t="s">
        <v>174</v>
      </c>
      <c r="E800" t="s">
        <v>222</v>
      </c>
      <c r="F800" t="s">
        <v>141</v>
      </c>
      <c r="G800">
        <v>25167</v>
      </c>
      <c r="H800" t="s">
        <v>240</v>
      </c>
      <c r="I800">
        <v>2</v>
      </c>
      <c r="J800" t="s">
        <v>105</v>
      </c>
      <c r="K800" s="19">
        <v>0.58333333333333337</v>
      </c>
      <c r="L800" s="19">
        <v>0.91666666666666663</v>
      </c>
      <c r="M800">
        <v>8</v>
      </c>
      <c r="N800">
        <v>343.92</v>
      </c>
      <c r="O800">
        <v>60</v>
      </c>
      <c r="P800">
        <v>76</v>
      </c>
      <c r="Q800" t="s">
        <v>99</v>
      </c>
      <c r="R800">
        <v>30</v>
      </c>
      <c r="S800" s="19">
        <v>0.75</v>
      </c>
      <c r="T800">
        <v>0</v>
      </c>
      <c r="U800" s="19">
        <v>0</v>
      </c>
      <c r="V800" t="s">
        <v>99</v>
      </c>
      <c r="W800">
        <v>7.5</v>
      </c>
      <c r="X800" t="s">
        <v>102</v>
      </c>
      <c r="Y800" t="b">
        <v>0</v>
      </c>
    </row>
    <row r="801" spans="1:25" x14ac:dyDescent="0.55000000000000004">
      <c r="A801" t="s">
        <v>94</v>
      </c>
      <c r="B801" t="s">
        <v>173</v>
      </c>
      <c r="C801" t="s">
        <v>96</v>
      </c>
      <c r="D801" t="s">
        <v>174</v>
      </c>
      <c r="E801" t="s">
        <v>222</v>
      </c>
      <c r="F801" t="s">
        <v>141</v>
      </c>
      <c r="G801">
        <v>25175</v>
      </c>
      <c r="H801" t="s">
        <v>201</v>
      </c>
      <c r="I801">
        <v>1</v>
      </c>
      <c r="J801" t="s">
        <v>104</v>
      </c>
      <c r="K801" s="19">
        <v>0.58333333333333337</v>
      </c>
      <c r="L801" s="19">
        <v>0.91666666666666663</v>
      </c>
      <c r="M801">
        <v>8</v>
      </c>
      <c r="N801">
        <v>296.24</v>
      </c>
      <c r="O801">
        <v>75</v>
      </c>
      <c r="P801">
        <v>76</v>
      </c>
      <c r="Q801" t="s">
        <v>99</v>
      </c>
      <c r="R801">
        <v>30</v>
      </c>
      <c r="S801" s="19">
        <v>0.79166666666666663</v>
      </c>
      <c r="T801">
        <v>0</v>
      </c>
      <c r="U801" s="19">
        <v>0.54166666666666663</v>
      </c>
      <c r="V801" t="s">
        <v>99</v>
      </c>
      <c r="W801">
        <v>7.5</v>
      </c>
      <c r="X801" t="s">
        <v>102</v>
      </c>
      <c r="Y801" t="b">
        <v>0</v>
      </c>
    </row>
    <row r="802" spans="1:25" x14ac:dyDescent="0.55000000000000004">
      <c r="A802" t="s">
        <v>94</v>
      </c>
      <c r="B802" t="s">
        <v>173</v>
      </c>
      <c r="C802" t="s">
        <v>96</v>
      </c>
      <c r="D802" t="s">
        <v>174</v>
      </c>
      <c r="E802" t="s">
        <v>222</v>
      </c>
      <c r="F802" t="s">
        <v>141</v>
      </c>
      <c r="G802">
        <v>25302</v>
      </c>
      <c r="H802" t="s">
        <v>232</v>
      </c>
      <c r="I802">
        <v>2</v>
      </c>
      <c r="J802" t="s">
        <v>115</v>
      </c>
      <c r="K802" s="19">
        <v>0.58333333333333337</v>
      </c>
      <c r="L802" s="19">
        <v>0.91666666666666663</v>
      </c>
      <c r="M802">
        <v>8</v>
      </c>
      <c r="N802">
        <v>394.99</v>
      </c>
      <c r="O802">
        <v>60</v>
      </c>
      <c r="P802">
        <v>76</v>
      </c>
      <c r="Q802" t="s">
        <v>99</v>
      </c>
      <c r="R802">
        <v>30</v>
      </c>
      <c r="S802" s="19">
        <v>0.79166666666666663</v>
      </c>
      <c r="T802">
        <v>0</v>
      </c>
      <c r="U802" s="19">
        <v>0.54166666666666663</v>
      </c>
      <c r="V802" t="s">
        <v>99</v>
      </c>
      <c r="W802">
        <v>7.5</v>
      </c>
      <c r="X802" t="s">
        <v>102</v>
      </c>
      <c r="Y802" t="b">
        <v>0</v>
      </c>
    </row>
    <row r="803" spans="1:25" x14ac:dyDescent="0.55000000000000004">
      <c r="A803" t="s">
        <v>94</v>
      </c>
      <c r="B803" t="s">
        <v>173</v>
      </c>
      <c r="C803" t="s">
        <v>96</v>
      </c>
      <c r="D803" t="s">
        <v>174</v>
      </c>
      <c r="E803" t="s">
        <v>222</v>
      </c>
      <c r="F803" t="s">
        <v>141</v>
      </c>
      <c r="G803">
        <v>25302</v>
      </c>
      <c r="H803" t="s">
        <v>232</v>
      </c>
      <c r="I803">
        <v>2</v>
      </c>
      <c r="J803" t="s">
        <v>104</v>
      </c>
      <c r="K803" s="19">
        <v>0.58333333333333337</v>
      </c>
      <c r="L803" s="19">
        <v>0.91666666666666663</v>
      </c>
      <c r="M803">
        <v>8</v>
      </c>
      <c r="N803">
        <v>296.24</v>
      </c>
      <c r="O803">
        <v>60</v>
      </c>
      <c r="P803">
        <v>76</v>
      </c>
      <c r="Q803" t="s">
        <v>99</v>
      </c>
      <c r="R803">
        <v>30</v>
      </c>
      <c r="S803" s="19">
        <v>0.79166666666666663</v>
      </c>
      <c r="T803">
        <v>0</v>
      </c>
      <c r="U803" s="19">
        <v>0.54166666666666663</v>
      </c>
      <c r="V803" t="s">
        <v>99</v>
      </c>
      <c r="W803">
        <v>7.5</v>
      </c>
      <c r="X803" t="s">
        <v>102</v>
      </c>
      <c r="Y803" t="b">
        <v>0</v>
      </c>
    </row>
    <row r="804" spans="1:25" x14ac:dyDescent="0.55000000000000004">
      <c r="A804" t="s">
        <v>94</v>
      </c>
      <c r="B804" t="s">
        <v>173</v>
      </c>
      <c r="C804" t="s">
        <v>96</v>
      </c>
      <c r="D804" t="s">
        <v>174</v>
      </c>
      <c r="E804" t="s">
        <v>222</v>
      </c>
      <c r="F804" t="s">
        <v>141</v>
      </c>
      <c r="G804">
        <v>25376</v>
      </c>
      <c r="H804" t="s">
        <v>233</v>
      </c>
      <c r="I804">
        <v>1</v>
      </c>
      <c r="J804" t="s">
        <v>107</v>
      </c>
      <c r="K804" s="19">
        <v>0.58333333333333337</v>
      </c>
      <c r="L804" s="19">
        <v>0.91666666666666663</v>
      </c>
      <c r="M804">
        <v>8</v>
      </c>
      <c r="N804">
        <v>296.24</v>
      </c>
      <c r="O804">
        <v>52.5</v>
      </c>
      <c r="P804">
        <v>76</v>
      </c>
      <c r="Q804" t="s">
        <v>99</v>
      </c>
      <c r="R804">
        <v>30</v>
      </c>
      <c r="S804" s="19">
        <v>0.79166666666666663</v>
      </c>
      <c r="T804">
        <v>0</v>
      </c>
      <c r="U804" s="19">
        <v>0.54166666666666663</v>
      </c>
      <c r="V804" t="s">
        <v>99</v>
      </c>
      <c r="W804">
        <v>7.5</v>
      </c>
      <c r="X804" t="s">
        <v>102</v>
      </c>
      <c r="Y804" t="b">
        <v>0</v>
      </c>
    </row>
    <row r="805" spans="1:25" x14ac:dyDescent="0.55000000000000004">
      <c r="A805" t="s">
        <v>94</v>
      </c>
      <c r="B805" t="s">
        <v>173</v>
      </c>
      <c r="C805" t="s">
        <v>96</v>
      </c>
      <c r="D805" t="s">
        <v>174</v>
      </c>
      <c r="E805" t="s">
        <v>222</v>
      </c>
      <c r="F805" t="s">
        <v>141</v>
      </c>
      <c r="G805">
        <v>26401</v>
      </c>
      <c r="H805" t="s">
        <v>234</v>
      </c>
      <c r="I805">
        <v>2</v>
      </c>
      <c r="J805" t="s">
        <v>107</v>
      </c>
      <c r="K805" s="19">
        <v>0.58333333333333337</v>
      </c>
      <c r="L805" s="19">
        <v>0.91666666666666663</v>
      </c>
      <c r="M805">
        <v>8</v>
      </c>
      <c r="N805">
        <v>373.62</v>
      </c>
      <c r="O805">
        <v>52.5</v>
      </c>
      <c r="P805">
        <v>76</v>
      </c>
      <c r="Q805" t="s">
        <v>99</v>
      </c>
      <c r="R805">
        <v>30</v>
      </c>
      <c r="S805" s="19">
        <v>0.79166666666666663</v>
      </c>
      <c r="T805">
        <v>0</v>
      </c>
      <c r="U805" s="19">
        <v>0.54166666666666663</v>
      </c>
      <c r="V805" t="s">
        <v>99</v>
      </c>
      <c r="W805">
        <v>7.5</v>
      </c>
      <c r="X805" t="s">
        <v>102</v>
      </c>
      <c r="Y805" t="b">
        <v>0</v>
      </c>
    </row>
    <row r="806" spans="1:25" x14ac:dyDescent="0.55000000000000004">
      <c r="A806" t="s">
        <v>94</v>
      </c>
      <c r="B806" t="s">
        <v>173</v>
      </c>
      <c r="C806" t="s">
        <v>96</v>
      </c>
      <c r="D806" t="s">
        <v>174</v>
      </c>
      <c r="E806" t="s">
        <v>241</v>
      </c>
      <c r="F806" t="s">
        <v>99</v>
      </c>
      <c r="G806">
        <v>25608</v>
      </c>
      <c r="H806" t="s">
        <v>242</v>
      </c>
      <c r="I806">
        <v>1</v>
      </c>
      <c r="J806" t="s">
        <v>107</v>
      </c>
      <c r="K806" s="19">
        <v>0.33333333333333331</v>
      </c>
      <c r="L806" s="19">
        <v>0.66666666666666663</v>
      </c>
      <c r="M806">
        <v>8</v>
      </c>
      <c r="N806">
        <v>0</v>
      </c>
      <c r="O806">
        <v>76</v>
      </c>
      <c r="P806">
        <v>76</v>
      </c>
      <c r="Q806" t="s">
        <v>99</v>
      </c>
      <c r="R806">
        <v>30</v>
      </c>
      <c r="S806" s="19">
        <v>0.54166666666666663</v>
      </c>
      <c r="T806">
        <v>0</v>
      </c>
      <c r="U806" s="19">
        <v>0.54166666666666663</v>
      </c>
      <c r="V806" t="s">
        <v>99</v>
      </c>
      <c r="W806">
        <v>7.5</v>
      </c>
      <c r="X806" t="s">
        <v>102</v>
      </c>
      <c r="Y806" t="b">
        <v>0</v>
      </c>
    </row>
    <row r="807" spans="1:25" x14ac:dyDescent="0.55000000000000004">
      <c r="A807" t="s">
        <v>94</v>
      </c>
      <c r="B807" t="s">
        <v>173</v>
      </c>
      <c r="C807" t="s">
        <v>96</v>
      </c>
      <c r="D807" t="s">
        <v>174</v>
      </c>
      <c r="E807" t="s">
        <v>241</v>
      </c>
      <c r="F807" t="s">
        <v>99</v>
      </c>
      <c r="G807">
        <v>25608</v>
      </c>
      <c r="H807" t="s">
        <v>242</v>
      </c>
      <c r="I807">
        <v>1</v>
      </c>
      <c r="J807" t="s">
        <v>101</v>
      </c>
      <c r="K807" s="19">
        <v>0.33333333333333331</v>
      </c>
      <c r="L807" s="19">
        <v>0.6875</v>
      </c>
      <c r="M807">
        <v>8.5</v>
      </c>
      <c r="N807">
        <v>501.6</v>
      </c>
      <c r="O807">
        <v>76</v>
      </c>
      <c r="P807">
        <v>76</v>
      </c>
      <c r="Q807" t="s">
        <v>99</v>
      </c>
      <c r="R807">
        <v>30</v>
      </c>
      <c r="S807" s="19">
        <v>0.5625</v>
      </c>
      <c r="T807">
        <v>0</v>
      </c>
      <c r="U807" s="19">
        <v>0.54166666666666663</v>
      </c>
      <c r="V807" t="s">
        <v>99</v>
      </c>
      <c r="W807">
        <v>8</v>
      </c>
      <c r="X807" t="s">
        <v>102</v>
      </c>
      <c r="Y807" t="b">
        <v>0</v>
      </c>
    </row>
    <row r="808" spans="1:25" x14ac:dyDescent="0.55000000000000004">
      <c r="A808" t="s">
        <v>94</v>
      </c>
      <c r="B808" t="s">
        <v>173</v>
      </c>
      <c r="C808" t="s">
        <v>96</v>
      </c>
      <c r="D808" t="s">
        <v>174</v>
      </c>
      <c r="E808" t="s">
        <v>241</v>
      </c>
      <c r="F808" t="s">
        <v>99</v>
      </c>
      <c r="G808">
        <v>25608</v>
      </c>
      <c r="H808" t="s">
        <v>242</v>
      </c>
      <c r="I808">
        <v>1</v>
      </c>
      <c r="J808" t="s">
        <v>103</v>
      </c>
      <c r="K808" s="19">
        <v>0.33333333333333331</v>
      </c>
      <c r="L808" s="19">
        <v>0.66666666666666663</v>
      </c>
      <c r="M808">
        <v>8</v>
      </c>
      <c r="N808">
        <v>0</v>
      </c>
      <c r="O808">
        <v>76</v>
      </c>
      <c r="P808">
        <v>76</v>
      </c>
      <c r="Q808" t="s">
        <v>99</v>
      </c>
      <c r="R808">
        <v>30</v>
      </c>
      <c r="S808" s="19">
        <v>0.54166666666666663</v>
      </c>
      <c r="T808">
        <v>0</v>
      </c>
      <c r="U808" s="19">
        <v>0.54166666666666663</v>
      </c>
      <c r="V808" t="s">
        <v>99</v>
      </c>
      <c r="W808">
        <v>7.5</v>
      </c>
      <c r="X808" t="s">
        <v>102</v>
      </c>
      <c r="Y808" t="b">
        <v>0</v>
      </c>
    </row>
    <row r="809" spans="1:25" x14ac:dyDescent="0.55000000000000004">
      <c r="A809" t="s">
        <v>94</v>
      </c>
      <c r="B809" t="s">
        <v>173</v>
      </c>
      <c r="C809" t="s">
        <v>96</v>
      </c>
      <c r="D809" t="s">
        <v>174</v>
      </c>
      <c r="E809" t="s">
        <v>241</v>
      </c>
      <c r="F809" t="s">
        <v>99</v>
      </c>
      <c r="G809">
        <v>25608</v>
      </c>
      <c r="H809" t="s">
        <v>242</v>
      </c>
      <c r="I809">
        <v>1</v>
      </c>
      <c r="J809" t="s">
        <v>104</v>
      </c>
      <c r="K809" s="19">
        <v>0.33333333333333331</v>
      </c>
      <c r="L809" s="19">
        <v>0.66666666666666663</v>
      </c>
      <c r="M809">
        <v>8</v>
      </c>
      <c r="N809">
        <v>470.25</v>
      </c>
      <c r="O809">
        <v>76</v>
      </c>
      <c r="P809">
        <v>76</v>
      </c>
      <c r="Q809" t="s">
        <v>99</v>
      </c>
      <c r="R809">
        <v>30</v>
      </c>
      <c r="S809" s="19">
        <v>0.5625</v>
      </c>
      <c r="T809">
        <v>0</v>
      </c>
      <c r="U809" s="19">
        <v>0.54166666666666663</v>
      </c>
      <c r="V809" t="s">
        <v>99</v>
      </c>
      <c r="W809">
        <v>7.5</v>
      </c>
      <c r="X809" t="s">
        <v>102</v>
      </c>
      <c r="Y809" t="b">
        <v>0</v>
      </c>
    </row>
    <row r="810" spans="1:25" x14ac:dyDescent="0.55000000000000004">
      <c r="A810" t="s">
        <v>94</v>
      </c>
      <c r="B810" t="s">
        <v>173</v>
      </c>
      <c r="C810" t="s">
        <v>96</v>
      </c>
      <c r="D810" t="s">
        <v>174</v>
      </c>
      <c r="E810" t="s">
        <v>241</v>
      </c>
      <c r="F810" t="s">
        <v>99</v>
      </c>
      <c r="G810">
        <v>25608</v>
      </c>
      <c r="H810" t="s">
        <v>242</v>
      </c>
      <c r="I810">
        <v>1</v>
      </c>
      <c r="J810" t="s">
        <v>105</v>
      </c>
      <c r="K810" s="19">
        <v>0.33333333333333331</v>
      </c>
      <c r="L810" s="19">
        <v>0.66666666666666663</v>
      </c>
      <c r="M810">
        <v>8</v>
      </c>
      <c r="N810">
        <v>0</v>
      </c>
      <c r="O810">
        <v>76</v>
      </c>
      <c r="P810">
        <v>76</v>
      </c>
      <c r="Q810" t="s">
        <v>99</v>
      </c>
      <c r="R810">
        <v>30</v>
      </c>
      <c r="S810" s="19">
        <v>0.54166666666666663</v>
      </c>
      <c r="T810">
        <v>0</v>
      </c>
      <c r="U810" s="19">
        <v>0.54166666666666663</v>
      </c>
      <c r="V810" t="s">
        <v>99</v>
      </c>
      <c r="W810">
        <v>7.5</v>
      </c>
      <c r="X810" t="s">
        <v>102</v>
      </c>
      <c r="Y810" t="b">
        <v>0</v>
      </c>
    </row>
    <row r="811" spans="1:25" x14ac:dyDescent="0.55000000000000004">
      <c r="A811" t="s">
        <v>94</v>
      </c>
      <c r="B811" t="s">
        <v>173</v>
      </c>
      <c r="C811" t="s">
        <v>96</v>
      </c>
      <c r="D811" t="s">
        <v>174</v>
      </c>
      <c r="E811" t="s">
        <v>241</v>
      </c>
      <c r="F811" t="s">
        <v>99</v>
      </c>
      <c r="G811">
        <v>25608</v>
      </c>
      <c r="H811" t="s">
        <v>242</v>
      </c>
      <c r="I811">
        <v>2</v>
      </c>
      <c r="J811" t="s">
        <v>107</v>
      </c>
      <c r="K811" s="19">
        <v>0.33333333333333331</v>
      </c>
      <c r="L811" s="19">
        <v>0.66666666666666663</v>
      </c>
      <c r="M811">
        <v>8</v>
      </c>
      <c r="N811">
        <v>0</v>
      </c>
      <c r="O811">
        <v>76</v>
      </c>
      <c r="P811">
        <v>76</v>
      </c>
      <c r="Q811" t="s">
        <v>99</v>
      </c>
      <c r="R811">
        <v>30</v>
      </c>
      <c r="S811" s="19">
        <v>0.54166666666666663</v>
      </c>
      <c r="T811">
        <v>0</v>
      </c>
      <c r="U811" s="19">
        <v>0.54166666666666663</v>
      </c>
      <c r="V811" t="s">
        <v>99</v>
      </c>
      <c r="W811">
        <v>7.5</v>
      </c>
      <c r="X811" t="s">
        <v>102</v>
      </c>
      <c r="Y811" t="b">
        <v>0</v>
      </c>
    </row>
    <row r="812" spans="1:25" x14ac:dyDescent="0.55000000000000004">
      <c r="A812" t="s">
        <v>94</v>
      </c>
      <c r="B812" t="s">
        <v>173</v>
      </c>
      <c r="C812" t="s">
        <v>96</v>
      </c>
      <c r="D812" t="s">
        <v>174</v>
      </c>
      <c r="E812" t="s">
        <v>241</v>
      </c>
      <c r="F812" t="s">
        <v>99</v>
      </c>
      <c r="G812">
        <v>25608</v>
      </c>
      <c r="H812" t="s">
        <v>242</v>
      </c>
      <c r="I812">
        <v>2</v>
      </c>
      <c r="J812" t="s">
        <v>101</v>
      </c>
      <c r="K812" s="19">
        <v>0.33333333333333331</v>
      </c>
      <c r="L812" s="19">
        <v>0.6875</v>
      </c>
      <c r="M812">
        <v>8.5</v>
      </c>
      <c r="N812">
        <v>0</v>
      </c>
      <c r="O812">
        <v>76</v>
      </c>
      <c r="P812">
        <v>76</v>
      </c>
      <c r="Q812" t="s">
        <v>99</v>
      </c>
      <c r="R812">
        <v>30</v>
      </c>
      <c r="S812" s="19">
        <v>0.54166666666666663</v>
      </c>
      <c r="T812">
        <v>0</v>
      </c>
      <c r="U812" s="19">
        <v>0.54166666666666663</v>
      </c>
      <c r="V812" t="s">
        <v>99</v>
      </c>
      <c r="W812">
        <v>8</v>
      </c>
      <c r="X812" t="s">
        <v>102</v>
      </c>
      <c r="Y812" t="b">
        <v>0</v>
      </c>
    </row>
    <row r="813" spans="1:25" x14ac:dyDescent="0.55000000000000004">
      <c r="A813" t="s">
        <v>94</v>
      </c>
      <c r="B813" t="s">
        <v>173</v>
      </c>
      <c r="C813" t="s">
        <v>96</v>
      </c>
      <c r="D813" t="s">
        <v>174</v>
      </c>
      <c r="E813" t="s">
        <v>241</v>
      </c>
      <c r="F813" t="s">
        <v>99</v>
      </c>
      <c r="G813">
        <v>25608</v>
      </c>
      <c r="H813" t="s">
        <v>242</v>
      </c>
      <c r="I813">
        <v>2</v>
      </c>
      <c r="J813" t="s">
        <v>103</v>
      </c>
      <c r="K813" s="19">
        <v>0.33333333333333331</v>
      </c>
      <c r="L813" s="19">
        <v>0.66666666666666663</v>
      </c>
      <c r="M813">
        <v>8</v>
      </c>
      <c r="N813">
        <v>0</v>
      </c>
      <c r="O813">
        <v>76</v>
      </c>
      <c r="P813">
        <v>76</v>
      </c>
      <c r="Q813" t="s">
        <v>99</v>
      </c>
      <c r="R813">
        <v>30</v>
      </c>
      <c r="S813" s="19">
        <v>0.54166666666666663</v>
      </c>
      <c r="T813">
        <v>0</v>
      </c>
      <c r="U813" s="19">
        <v>0.54166666666666663</v>
      </c>
      <c r="V813" t="s">
        <v>99</v>
      </c>
      <c r="W813">
        <v>7.5</v>
      </c>
      <c r="X813" t="s">
        <v>102</v>
      </c>
      <c r="Y813" t="b">
        <v>0</v>
      </c>
    </row>
    <row r="814" spans="1:25" x14ac:dyDescent="0.55000000000000004">
      <c r="A814" t="s">
        <v>94</v>
      </c>
      <c r="B814" t="s">
        <v>173</v>
      </c>
      <c r="C814" t="s">
        <v>96</v>
      </c>
      <c r="D814" t="s">
        <v>174</v>
      </c>
      <c r="E814" t="s">
        <v>241</v>
      </c>
      <c r="F814" t="s">
        <v>99</v>
      </c>
      <c r="G814">
        <v>25608</v>
      </c>
      <c r="H814" t="s">
        <v>242</v>
      </c>
      <c r="I814">
        <v>2</v>
      </c>
      <c r="J814" t="s">
        <v>104</v>
      </c>
      <c r="K814" s="19">
        <v>0.33333333333333331</v>
      </c>
      <c r="L814" s="19">
        <v>0.66666666666666663</v>
      </c>
      <c r="M814">
        <v>8</v>
      </c>
      <c r="N814">
        <v>0</v>
      </c>
      <c r="O814">
        <v>76</v>
      </c>
      <c r="P814">
        <v>76</v>
      </c>
      <c r="Q814" t="s">
        <v>99</v>
      </c>
      <c r="R814">
        <v>30</v>
      </c>
      <c r="S814" s="19">
        <v>0.54166666666666663</v>
      </c>
      <c r="T814">
        <v>0</v>
      </c>
      <c r="U814" s="19">
        <v>0.54166666666666663</v>
      </c>
      <c r="V814" t="s">
        <v>99</v>
      </c>
      <c r="W814">
        <v>7.5</v>
      </c>
      <c r="X814" t="s">
        <v>102</v>
      </c>
      <c r="Y814" t="b">
        <v>0</v>
      </c>
    </row>
    <row r="815" spans="1:25" x14ac:dyDescent="0.55000000000000004">
      <c r="A815" t="s">
        <v>94</v>
      </c>
      <c r="B815" t="s">
        <v>173</v>
      </c>
      <c r="C815" t="s">
        <v>96</v>
      </c>
      <c r="D815" t="s">
        <v>174</v>
      </c>
      <c r="E815" t="s">
        <v>241</v>
      </c>
      <c r="F815" t="s">
        <v>99</v>
      </c>
      <c r="G815">
        <v>25608</v>
      </c>
      <c r="H815" t="s">
        <v>242</v>
      </c>
      <c r="I815">
        <v>2</v>
      </c>
      <c r="J815" t="s">
        <v>105</v>
      </c>
      <c r="K815" s="19">
        <v>0.33333333333333331</v>
      </c>
      <c r="L815" s="19">
        <v>0.66666666666666663</v>
      </c>
      <c r="M815">
        <v>8</v>
      </c>
      <c r="N815">
        <v>0</v>
      </c>
      <c r="O815">
        <v>76</v>
      </c>
      <c r="P815">
        <v>76</v>
      </c>
      <c r="Q815" t="s">
        <v>99</v>
      </c>
      <c r="R815">
        <v>30</v>
      </c>
      <c r="S815" s="19">
        <v>0.54166666666666663</v>
      </c>
      <c r="T815">
        <v>0</v>
      </c>
      <c r="U815" s="19">
        <v>0.54166666666666663</v>
      </c>
      <c r="V815" t="s">
        <v>99</v>
      </c>
      <c r="W815">
        <v>7.5</v>
      </c>
      <c r="X815" t="s">
        <v>102</v>
      </c>
      <c r="Y815" t="b">
        <v>0</v>
      </c>
    </row>
    <row r="816" spans="1:25" x14ac:dyDescent="0.55000000000000004">
      <c r="A816" t="s">
        <v>94</v>
      </c>
      <c r="B816" t="s">
        <v>173</v>
      </c>
      <c r="C816" t="s">
        <v>96</v>
      </c>
      <c r="D816" t="s">
        <v>174</v>
      </c>
      <c r="E816" t="s">
        <v>243</v>
      </c>
      <c r="F816" t="s">
        <v>99</v>
      </c>
      <c r="G816">
        <v>20615</v>
      </c>
      <c r="H816" t="s">
        <v>244</v>
      </c>
      <c r="I816">
        <v>1</v>
      </c>
      <c r="J816" t="s">
        <v>107</v>
      </c>
      <c r="K816" s="19">
        <v>0.29166666666666669</v>
      </c>
      <c r="L816" s="19">
        <v>0.625</v>
      </c>
      <c r="M816">
        <v>8</v>
      </c>
      <c r="N816">
        <v>0</v>
      </c>
      <c r="O816">
        <v>76</v>
      </c>
      <c r="P816">
        <v>76</v>
      </c>
      <c r="Q816" t="s">
        <v>99</v>
      </c>
      <c r="R816">
        <v>30</v>
      </c>
      <c r="S816" s="19">
        <v>0.5</v>
      </c>
      <c r="T816">
        <v>0</v>
      </c>
      <c r="U816" s="19">
        <v>0.54166666666666663</v>
      </c>
      <c r="V816" t="s">
        <v>99</v>
      </c>
      <c r="W816">
        <v>7.5</v>
      </c>
      <c r="X816" t="s">
        <v>102</v>
      </c>
      <c r="Y816" t="b">
        <v>0</v>
      </c>
    </row>
    <row r="817" spans="1:25" x14ac:dyDescent="0.55000000000000004">
      <c r="A817" t="s">
        <v>94</v>
      </c>
      <c r="B817" t="s">
        <v>173</v>
      </c>
      <c r="C817" t="s">
        <v>96</v>
      </c>
      <c r="D817" t="s">
        <v>174</v>
      </c>
      <c r="E817" t="s">
        <v>243</v>
      </c>
      <c r="F817" t="s">
        <v>99</v>
      </c>
      <c r="G817">
        <v>20615</v>
      </c>
      <c r="H817" t="s">
        <v>244</v>
      </c>
      <c r="I817">
        <v>1</v>
      </c>
      <c r="J817" t="s">
        <v>101</v>
      </c>
      <c r="K817" s="19">
        <v>0.29166666666666669</v>
      </c>
      <c r="L817" s="19">
        <v>0.64583333333333337</v>
      </c>
      <c r="M817">
        <v>8.5</v>
      </c>
      <c r="N817">
        <v>0</v>
      </c>
      <c r="O817">
        <v>76</v>
      </c>
      <c r="P817">
        <v>76</v>
      </c>
      <c r="Q817" t="s">
        <v>99</v>
      </c>
      <c r="R817">
        <v>30</v>
      </c>
      <c r="S817" s="19">
        <v>0.5</v>
      </c>
      <c r="T817">
        <v>0</v>
      </c>
      <c r="U817" s="19">
        <v>0.54166666666666663</v>
      </c>
      <c r="V817" t="s">
        <v>99</v>
      </c>
      <c r="W817">
        <v>8</v>
      </c>
      <c r="X817" t="s">
        <v>102</v>
      </c>
      <c r="Y817" t="b">
        <v>0</v>
      </c>
    </row>
    <row r="818" spans="1:25" x14ac:dyDescent="0.55000000000000004">
      <c r="A818" t="s">
        <v>94</v>
      </c>
      <c r="B818" t="s">
        <v>173</v>
      </c>
      <c r="C818" t="s">
        <v>96</v>
      </c>
      <c r="D818" t="s">
        <v>174</v>
      </c>
      <c r="E818" t="s">
        <v>243</v>
      </c>
      <c r="F818" t="s">
        <v>99</v>
      </c>
      <c r="G818">
        <v>20615</v>
      </c>
      <c r="H818" t="s">
        <v>244</v>
      </c>
      <c r="I818">
        <v>1</v>
      </c>
      <c r="J818" t="s">
        <v>103</v>
      </c>
      <c r="K818" s="19">
        <v>0.29166666666666669</v>
      </c>
      <c r="L818" s="19">
        <v>0.625</v>
      </c>
      <c r="M818">
        <v>8</v>
      </c>
      <c r="N818">
        <v>0</v>
      </c>
      <c r="O818">
        <v>76</v>
      </c>
      <c r="P818">
        <v>76</v>
      </c>
      <c r="Q818" t="s">
        <v>99</v>
      </c>
      <c r="R818">
        <v>30</v>
      </c>
      <c r="S818" s="19">
        <v>0.5</v>
      </c>
      <c r="T818">
        <v>0</v>
      </c>
      <c r="U818" s="19">
        <v>0.54166666666666663</v>
      </c>
      <c r="V818" t="s">
        <v>99</v>
      </c>
      <c r="W818">
        <v>7.5</v>
      </c>
      <c r="X818" t="s">
        <v>102</v>
      </c>
      <c r="Y818" t="b">
        <v>0</v>
      </c>
    </row>
    <row r="819" spans="1:25" x14ac:dyDescent="0.55000000000000004">
      <c r="A819" t="s">
        <v>94</v>
      </c>
      <c r="B819" t="s">
        <v>173</v>
      </c>
      <c r="C819" t="s">
        <v>96</v>
      </c>
      <c r="D819" t="s">
        <v>174</v>
      </c>
      <c r="E819" t="s">
        <v>243</v>
      </c>
      <c r="F819" t="s">
        <v>99</v>
      </c>
      <c r="G819">
        <v>20615</v>
      </c>
      <c r="H819" t="s">
        <v>244</v>
      </c>
      <c r="I819">
        <v>1</v>
      </c>
      <c r="J819" t="s">
        <v>105</v>
      </c>
      <c r="K819" s="19">
        <v>0.29166666666666669</v>
      </c>
      <c r="L819" s="19">
        <v>0.625</v>
      </c>
      <c r="M819">
        <v>8</v>
      </c>
      <c r="N819">
        <v>0</v>
      </c>
      <c r="O819">
        <v>76</v>
      </c>
      <c r="P819">
        <v>76</v>
      </c>
      <c r="Q819" t="s">
        <v>99</v>
      </c>
      <c r="R819">
        <v>30</v>
      </c>
      <c r="S819" s="19">
        <v>0.5</v>
      </c>
      <c r="T819">
        <v>0</v>
      </c>
      <c r="U819" s="19">
        <v>0.54166666666666663</v>
      </c>
      <c r="V819" t="s">
        <v>99</v>
      </c>
      <c r="W819">
        <v>7.5</v>
      </c>
      <c r="X819" t="s">
        <v>102</v>
      </c>
      <c r="Y819" t="b">
        <v>0</v>
      </c>
    </row>
    <row r="820" spans="1:25" x14ac:dyDescent="0.55000000000000004">
      <c r="A820" t="s">
        <v>94</v>
      </c>
      <c r="B820" t="s">
        <v>173</v>
      </c>
      <c r="C820" t="s">
        <v>96</v>
      </c>
      <c r="D820" t="s">
        <v>174</v>
      </c>
      <c r="E820" t="s">
        <v>243</v>
      </c>
      <c r="F820" t="s">
        <v>99</v>
      </c>
      <c r="G820">
        <v>20615</v>
      </c>
      <c r="H820" t="s">
        <v>244</v>
      </c>
      <c r="I820">
        <v>2</v>
      </c>
      <c r="J820" t="s">
        <v>107</v>
      </c>
      <c r="K820" s="19">
        <v>0.29166666666666669</v>
      </c>
      <c r="L820" s="19">
        <v>0.625</v>
      </c>
      <c r="M820">
        <v>8</v>
      </c>
      <c r="N820">
        <v>0</v>
      </c>
      <c r="O820">
        <v>76</v>
      </c>
      <c r="P820">
        <v>76</v>
      </c>
      <c r="Q820" t="s">
        <v>99</v>
      </c>
      <c r="R820">
        <v>30</v>
      </c>
      <c r="S820" s="19">
        <v>0.5</v>
      </c>
      <c r="T820">
        <v>0</v>
      </c>
      <c r="U820" s="19">
        <v>0.54166666666666663</v>
      </c>
      <c r="V820" t="s">
        <v>99</v>
      </c>
      <c r="W820">
        <v>7.5</v>
      </c>
      <c r="X820" t="s">
        <v>102</v>
      </c>
      <c r="Y820" t="b">
        <v>0</v>
      </c>
    </row>
    <row r="821" spans="1:25" x14ac:dyDescent="0.55000000000000004">
      <c r="A821" t="s">
        <v>94</v>
      </c>
      <c r="B821" t="s">
        <v>173</v>
      </c>
      <c r="C821" t="s">
        <v>96</v>
      </c>
      <c r="D821" t="s">
        <v>174</v>
      </c>
      <c r="E821" t="s">
        <v>243</v>
      </c>
      <c r="F821" t="s">
        <v>99</v>
      </c>
      <c r="G821">
        <v>20615</v>
      </c>
      <c r="H821" t="s">
        <v>244</v>
      </c>
      <c r="I821">
        <v>2</v>
      </c>
      <c r="J821" t="s">
        <v>101</v>
      </c>
      <c r="K821" s="19">
        <v>0.29166666666666669</v>
      </c>
      <c r="L821" s="19">
        <v>0.64583333333333337</v>
      </c>
      <c r="M821">
        <v>8.5</v>
      </c>
      <c r="N821">
        <v>0</v>
      </c>
      <c r="O821">
        <v>76</v>
      </c>
      <c r="P821">
        <v>76</v>
      </c>
      <c r="Q821" t="s">
        <v>99</v>
      </c>
      <c r="R821">
        <v>30</v>
      </c>
      <c r="S821" s="19">
        <v>0.5</v>
      </c>
      <c r="T821">
        <v>0</v>
      </c>
      <c r="U821" s="19">
        <v>0.54166666666666663</v>
      </c>
      <c r="V821" t="s">
        <v>99</v>
      </c>
      <c r="W821">
        <v>8</v>
      </c>
      <c r="X821" t="s">
        <v>102</v>
      </c>
      <c r="Y821" t="b">
        <v>0</v>
      </c>
    </row>
    <row r="822" spans="1:25" x14ac:dyDescent="0.55000000000000004">
      <c r="A822" t="s">
        <v>94</v>
      </c>
      <c r="B822" t="s">
        <v>173</v>
      </c>
      <c r="C822" t="s">
        <v>96</v>
      </c>
      <c r="D822" t="s">
        <v>174</v>
      </c>
      <c r="E822" t="s">
        <v>243</v>
      </c>
      <c r="F822" t="s">
        <v>99</v>
      </c>
      <c r="G822">
        <v>20615</v>
      </c>
      <c r="H822" t="s">
        <v>244</v>
      </c>
      <c r="I822">
        <v>2</v>
      </c>
      <c r="J822" t="s">
        <v>115</v>
      </c>
      <c r="K822" s="19">
        <v>0.25</v>
      </c>
      <c r="L822" s="19">
        <v>0.58333333333333337</v>
      </c>
      <c r="M822">
        <v>8</v>
      </c>
      <c r="N822">
        <v>0</v>
      </c>
      <c r="O822">
        <v>76</v>
      </c>
      <c r="P822">
        <v>76</v>
      </c>
      <c r="Q822" t="s">
        <v>99</v>
      </c>
      <c r="R822">
        <v>30</v>
      </c>
      <c r="S822" s="19">
        <v>0.45833333333333331</v>
      </c>
      <c r="T822">
        <v>0</v>
      </c>
      <c r="U822" s="19">
        <v>0.54166666666666663</v>
      </c>
      <c r="V822" t="s">
        <v>99</v>
      </c>
      <c r="W822">
        <v>7.5</v>
      </c>
      <c r="X822" t="s">
        <v>102</v>
      </c>
      <c r="Y822" t="b">
        <v>0</v>
      </c>
    </row>
    <row r="823" spans="1:25" x14ac:dyDescent="0.55000000000000004">
      <c r="A823" t="s">
        <v>94</v>
      </c>
      <c r="B823" t="s">
        <v>173</v>
      </c>
      <c r="C823" t="s">
        <v>96</v>
      </c>
      <c r="D823" t="s">
        <v>174</v>
      </c>
      <c r="E823" t="s">
        <v>243</v>
      </c>
      <c r="F823" t="s">
        <v>99</v>
      </c>
      <c r="G823">
        <v>20615</v>
      </c>
      <c r="H823" t="s">
        <v>244</v>
      </c>
      <c r="I823">
        <v>2</v>
      </c>
      <c r="J823" t="s">
        <v>116</v>
      </c>
      <c r="K823" s="19">
        <v>0.25</v>
      </c>
      <c r="L823" s="19">
        <v>0.58333333333333337</v>
      </c>
      <c r="M823">
        <v>8</v>
      </c>
      <c r="N823">
        <v>0</v>
      </c>
      <c r="O823">
        <v>76</v>
      </c>
      <c r="P823">
        <v>76</v>
      </c>
      <c r="Q823" t="s">
        <v>99</v>
      </c>
      <c r="R823">
        <v>30</v>
      </c>
      <c r="S823" s="19">
        <v>0.45833333333333331</v>
      </c>
      <c r="T823">
        <v>0</v>
      </c>
      <c r="U823" s="19">
        <v>0.54166666666666663</v>
      </c>
      <c r="V823" t="s">
        <v>99</v>
      </c>
      <c r="W823">
        <v>7.5</v>
      </c>
      <c r="X823" t="s">
        <v>102</v>
      </c>
      <c r="Y823" t="b">
        <v>0</v>
      </c>
    </row>
    <row r="824" spans="1:25" x14ac:dyDescent="0.55000000000000004">
      <c r="A824" t="s">
        <v>94</v>
      </c>
      <c r="B824" t="s">
        <v>173</v>
      </c>
      <c r="C824" t="s">
        <v>96</v>
      </c>
      <c r="D824" t="s">
        <v>174</v>
      </c>
      <c r="E824" t="s">
        <v>243</v>
      </c>
      <c r="F824" t="s">
        <v>99</v>
      </c>
      <c r="G824">
        <v>20615</v>
      </c>
      <c r="H824" t="s">
        <v>244</v>
      </c>
      <c r="I824">
        <v>2</v>
      </c>
      <c r="J824" t="s">
        <v>103</v>
      </c>
      <c r="K824" s="19">
        <v>0.29166666666666669</v>
      </c>
      <c r="L824" s="19">
        <v>0.625</v>
      </c>
      <c r="M824">
        <v>8</v>
      </c>
      <c r="N824">
        <v>0</v>
      </c>
      <c r="O824">
        <v>76</v>
      </c>
      <c r="P824">
        <v>76</v>
      </c>
      <c r="Q824" t="s">
        <v>99</v>
      </c>
      <c r="R824">
        <v>30</v>
      </c>
      <c r="S824" s="19">
        <v>0.5</v>
      </c>
      <c r="T824">
        <v>0</v>
      </c>
      <c r="U824" s="19">
        <v>0.54166666666666663</v>
      </c>
      <c r="V824" t="s">
        <v>99</v>
      </c>
      <c r="W824">
        <v>7.5</v>
      </c>
      <c r="X824" t="s">
        <v>102</v>
      </c>
      <c r="Y824" t="b">
        <v>0</v>
      </c>
    </row>
    <row r="825" spans="1:25" x14ac:dyDescent="0.55000000000000004">
      <c r="A825" t="s">
        <v>94</v>
      </c>
      <c r="B825" t="s">
        <v>173</v>
      </c>
      <c r="C825" t="s">
        <v>96</v>
      </c>
      <c r="D825" t="s">
        <v>174</v>
      </c>
      <c r="E825" t="s">
        <v>243</v>
      </c>
      <c r="F825" t="s">
        <v>99</v>
      </c>
      <c r="G825">
        <v>20615</v>
      </c>
      <c r="H825" t="s">
        <v>244</v>
      </c>
      <c r="I825">
        <v>2</v>
      </c>
      <c r="J825" t="s">
        <v>104</v>
      </c>
      <c r="K825" s="19">
        <v>0.29166666666666669</v>
      </c>
      <c r="L825" s="19">
        <v>0.625</v>
      </c>
      <c r="M825">
        <v>8</v>
      </c>
      <c r="N825">
        <v>0</v>
      </c>
      <c r="O825">
        <v>76</v>
      </c>
      <c r="P825">
        <v>76</v>
      </c>
      <c r="Q825" t="s">
        <v>99</v>
      </c>
      <c r="R825">
        <v>30</v>
      </c>
      <c r="S825" s="19">
        <v>0.5</v>
      </c>
      <c r="T825">
        <v>0</v>
      </c>
      <c r="U825" s="19">
        <v>0.54166666666666663</v>
      </c>
      <c r="V825" t="s">
        <v>99</v>
      </c>
      <c r="W825">
        <v>7.5</v>
      </c>
      <c r="X825" t="s">
        <v>102</v>
      </c>
      <c r="Y825" t="b">
        <v>0</v>
      </c>
    </row>
    <row r="826" spans="1:25" x14ac:dyDescent="0.55000000000000004">
      <c r="A826" t="s">
        <v>94</v>
      </c>
      <c r="B826" t="s">
        <v>173</v>
      </c>
      <c r="C826" t="s">
        <v>96</v>
      </c>
      <c r="D826" t="s">
        <v>174</v>
      </c>
      <c r="E826" t="s">
        <v>245</v>
      </c>
      <c r="F826" t="s">
        <v>118</v>
      </c>
      <c r="H826" t="s">
        <v>99</v>
      </c>
      <c r="I826">
        <v>1</v>
      </c>
      <c r="J826" t="s">
        <v>115</v>
      </c>
      <c r="K826" s="19">
        <v>0.25</v>
      </c>
      <c r="L826" s="19">
        <v>0.60416666666666663</v>
      </c>
      <c r="M826">
        <v>8.5</v>
      </c>
      <c r="N826">
        <v>0</v>
      </c>
      <c r="O826">
        <v>0</v>
      </c>
      <c r="P826">
        <v>0</v>
      </c>
      <c r="Q826" t="s">
        <v>99</v>
      </c>
      <c r="R826">
        <v>30</v>
      </c>
      <c r="S826" s="19">
        <v>0.45833333333333331</v>
      </c>
      <c r="T826">
        <v>0</v>
      </c>
      <c r="U826" s="19">
        <v>0.54166666666666663</v>
      </c>
      <c r="V826" t="s">
        <v>99</v>
      </c>
      <c r="W826">
        <v>8</v>
      </c>
      <c r="X826" t="s">
        <v>102</v>
      </c>
      <c r="Y826" t="b">
        <v>0</v>
      </c>
    </row>
    <row r="827" spans="1:25" x14ac:dyDescent="0.55000000000000004">
      <c r="A827" t="s">
        <v>94</v>
      </c>
      <c r="B827" t="s">
        <v>173</v>
      </c>
      <c r="C827" t="s">
        <v>96</v>
      </c>
      <c r="D827" t="s">
        <v>174</v>
      </c>
      <c r="E827" t="s">
        <v>245</v>
      </c>
      <c r="F827" t="s">
        <v>118</v>
      </c>
      <c r="G827">
        <v>20784</v>
      </c>
      <c r="H827" t="s">
        <v>246</v>
      </c>
      <c r="I827">
        <v>1</v>
      </c>
      <c r="J827" t="s">
        <v>116</v>
      </c>
      <c r="K827" s="19">
        <v>0.25</v>
      </c>
      <c r="L827" s="19">
        <v>0.60416666666666663</v>
      </c>
      <c r="M827">
        <v>8.5</v>
      </c>
      <c r="N827">
        <v>541.79999999999995</v>
      </c>
      <c r="O827">
        <v>16</v>
      </c>
      <c r="P827">
        <v>76</v>
      </c>
      <c r="Q827" t="s">
        <v>99</v>
      </c>
      <c r="R827">
        <v>30</v>
      </c>
      <c r="S827" s="19">
        <v>0.45833333333333331</v>
      </c>
      <c r="T827">
        <v>0</v>
      </c>
      <c r="U827" s="19">
        <v>0.54166666666666663</v>
      </c>
      <c r="V827" t="s">
        <v>99</v>
      </c>
      <c r="W827">
        <v>8</v>
      </c>
      <c r="X827" t="s">
        <v>102</v>
      </c>
      <c r="Y827" t="b">
        <v>0</v>
      </c>
    </row>
    <row r="828" spans="1:25" x14ac:dyDescent="0.55000000000000004">
      <c r="A828" t="s">
        <v>94</v>
      </c>
      <c r="B828" t="s">
        <v>173</v>
      </c>
      <c r="C828" t="s">
        <v>96</v>
      </c>
      <c r="D828" t="s">
        <v>174</v>
      </c>
      <c r="E828" t="s">
        <v>245</v>
      </c>
      <c r="F828" t="s">
        <v>118</v>
      </c>
      <c r="G828">
        <v>20862</v>
      </c>
      <c r="H828" t="s">
        <v>247</v>
      </c>
      <c r="I828">
        <v>1</v>
      </c>
      <c r="J828" t="s">
        <v>107</v>
      </c>
      <c r="K828" s="19">
        <v>0.25</v>
      </c>
      <c r="L828" s="19">
        <v>0.60416666666666663</v>
      </c>
      <c r="M828">
        <v>8.5</v>
      </c>
      <c r="N828">
        <v>309.60000000000002</v>
      </c>
      <c r="O828">
        <v>70</v>
      </c>
      <c r="P828">
        <v>76</v>
      </c>
      <c r="Q828" t="s">
        <v>99</v>
      </c>
      <c r="R828">
        <v>30</v>
      </c>
      <c r="S828" s="19">
        <v>0.45833333333333331</v>
      </c>
      <c r="T828">
        <v>0</v>
      </c>
      <c r="U828" s="19">
        <v>0.54166666666666663</v>
      </c>
      <c r="V828" t="s">
        <v>99</v>
      </c>
      <c r="W828">
        <v>8</v>
      </c>
      <c r="X828" t="s">
        <v>102</v>
      </c>
      <c r="Y828" t="b">
        <v>0</v>
      </c>
    </row>
    <row r="829" spans="1:25" x14ac:dyDescent="0.55000000000000004">
      <c r="A829" t="s">
        <v>94</v>
      </c>
      <c r="B829" t="s">
        <v>173</v>
      </c>
      <c r="C829" t="s">
        <v>96</v>
      </c>
      <c r="D829" t="s">
        <v>174</v>
      </c>
      <c r="E829" t="s">
        <v>245</v>
      </c>
      <c r="F829" t="s">
        <v>118</v>
      </c>
      <c r="G829">
        <v>22769</v>
      </c>
      <c r="H829" t="s">
        <v>248</v>
      </c>
      <c r="I829">
        <v>1</v>
      </c>
      <c r="J829" t="s">
        <v>104</v>
      </c>
      <c r="K829" s="19">
        <v>0.25</v>
      </c>
      <c r="L829" s="19">
        <v>0.60416666666666663</v>
      </c>
      <c r="M829">
        <v>8.5</v>
      </c>
      <c r="N829">
        <v>309.60000000000002</v>
      </c>
      <c r="O829">
        <v>72</v>
      </c>
      <c r="P829">
        <v>76</v>
      </c>
      <c r="Q829" t="s">
        <v>99</v>
      </c>
      <c r="R829">
        <v>30</v>
      </c>
      <c r="S829" s="19">
        <v>0.45833333333333331</v>
      </c>
      <c r="T829">
        <v>0</v>
      </c>
      <c r="U829" s="19">
        <v>0</v>
      </c>
      <c r="V829" t="s">
        <v>99</v>
      </c>
      <c r="W829">
        <v>8</v>
      </c>
      <c r="X829" t="s">
        <v>102</v>
      </c>
      <c r="Y829" t="b">
        <v>0</v>
      </c>
    </row>
    <row r="830" spans="1:25" x14ac:dyDescent="0.55000000000000004">
      <c r="A830" t="s">
        <v>94</v>
      </c>
      <c r="B830" t="s">
        <v>173</v>
      </c>
      <c r="C830" t="s">
        <v>96</v>
      </c>
      <c r="D830" t="s">
        <v>174</v>
      </c>
      <c r="E830" t="s">
        <v>245</v>
      </c>
      <c r="F830" t="s">
        <v>118</v>
      </c>
      <c r="G830">
        <v>22914</v>
      </c>
      <c r="H830" t="s">
        <v>249</v>
      </c>
      <c r="I830">
        <v>2</v>
      </c>
      <c r="J830" t="s">
        <v>104</v>
      </c>
      <c r="K830" s="19">
        <v>0.25</v>
      </c>
      <c r="L830" s="19">
        <v>0.60416666666666663</v>
      </c>
      <c r="M830">
        <v>8.5</v>
      </c>
      <c r="N830">
        <v>309.60000000000002</v>
      </c>
      <c r="O830">
        <v>32</v>
      </c>
      <c r="P830">
        <v>76</v>
      </c>
      <c r="Q830" t="s">
        <v>99</v>
      </c>
      <c r="R830">
        <v>30</v>
      </c>
      <c r="S830" s="19">
        <v>0.45833333333333331</v>
      </c>
      <c r="T830">
        <v>0</v>
      </c>
      <c r="U830" s="19">
        <v>0.54166666666666663</v>
      </c>
      <c r="V830" t="s">
        <v>99</v>
      </c>
      <c r="W830">
        <v>8</v>
      </c>
      <c r="X830" t="s">
        <v>102</v>
      </c>
      <c r="Y830" t="b">
        <v>0</v>
      </c>
    </row>
    <row r="831" spans="1:25" x14ac:dyDescent="0.55000000000000004">
      <c r="A831" t="s">
        <v>94</v>
      </c>
      <c r="B831" t="s">
        <v>173</v>
      </c>
      <c r="C831" t="s">
        <v>96</v>
      </c>
      <c r="D831" t="s">
        <v>174</v>
      </c>
      <c r="E831" t="s">
        <v>245</v>
      </c>
      <c r="F831" t="s">
        <v>118</v>
      </c>
      <c r="G831">
        <v>23249</v>
      </c>
      <c r="H831" t="s">
        <v>250</v>
      </c>
      <c r="I831">
        <v>2</v>
      </c>
      <c r="J831" t="s">
        <v>107</v>
      </c>
      <c r="K831" s="19">
        <v>0.25</v>
      </c>
      <c r="L831" s="19">
        <v>0.60416666666666663</v>
      </c>
      <c r="M831">
        <v>8.5</v>
      </c>
      <c r="N831">
        <v>0</v>
      </c>
      <c r="O831">
        <v>48</v>
      </c>
      <c r="P831">
        <v>76</v>
      </c>
      <c r="Q831" t="s">
        <v>99</v>
      </c>
      <c r="R831">
        <v>30</v>
      </c>
      <c r="S831" s="19">
        <v>0.45833333333333331</v>
      </c>
      <c r="T831">
        <v>0</v>
      </c>
      <c r="U831" s="19">
        <v>0.54166666666666663</v>
      </c>
      <c r="V831" t="s">
        <v>99</v>
      </c>
      <c r="W831">
        <v>8</v>
      </c>
      <c r="X831" t="s">
        <v>102</v>
      </c>
      <c r="Y831" t="b">
        <v>0</v>
      </c>
    </row>
    <row r="832" spans="1:25" x14ac:dyDescent="0.55000000000000004">
      <c r="A832" t="s">
        <v>94</v>
      </c>
      <c r="B832" t="s">
        <v>173</v>
      </c>
      <c r="C832" t="s">
        <v>96</v>
      </c>
      <c r="D832" t="s">
        <v>174</v>
      </c>
      <c r="E832" t="s">
        <v>245</v>
      </c>
      <c r="F832" t="s">
        <v>118</v>
      </c>
      <c r="G832">
        <v>23249</v>
      </c>
      <c r="H832" t="s">
        <v>250</v>
      </c>
      <c r="I832">
        <v>2</v>
      </c>
      <c r="J832" t="s">
        <v>115</v>
      </c>
      <c r="K832" s="19">
        <v>0.25</v>
      </c>
      <c r="L832" s="19">
        <v>0.60416666666666663</v>
      </c>
      <c r="M832">
        <v>8.5</v>
      </c>
      <c r="N832">
        <v>0</v>
      </c>
      <c r="O832">
        <v>48</v>
      </c>
      <c r="P832">
        <v>76</v>
      </c>
      <c r="Q832" t="s">
        <v>99</v>
      </c>
      <c r="R832">
        <v>30</v>
      </c>
      <c r="S832" s="19">
        <v>0.45833333333333331</v>
      </c>
      <c r="T832">
        <v>0</v>
      </c>
      <c r="U832" s="19">
        <v>0.54166666666666663</v>
      </c>
      <c r="V832" t="s">
        <v>99</v>
      </c>
      <c r="W832">
        <v>8</v>
      </c>
      <c r="X832" t="s">
        <v>102</v>
      </c>
      <c r="Y832" t="b">
        <v>0</v>
      </c>
    </row>
    <row r="833" spans="1:25" x14ac:dyDescent="0.55000000000000004">
      <c r="A833" t="s">
        <v>94</v>
      </c>
      <c r="B833" t="s">
        <v>173</v>
      </c>
      <c r="C833" t="s">
        <v>96</v>
      </c>
      <c r="D833" t="s">
        <v>174</v>
      </c>
      <c r="E833" t="s">
        <v>245</v>
      </c>
      <c r="F833" t="s">
        <v>118</v>
      </c>
      <c r="G833">
        <v>23673</v>
      </c>
      <c r="H833" t="s">
        <v>251</v>
      </c>
      <c r="I833">
        <v>2</v>
      </c>
      <c r="J833" t="s">
        <v>103</v>
      </c>
      <c r="K833" s="19">
        <v>0.25</v>
      </c>
      <c r="L833" s="19">
        <v>0.60416666666666663</v>
      </c>
      <c r="M833">
        <v>8.5</v>
      </c>
      <c r="N833">
        <v>309.60000000000002</v>
      </c>
      <c r="O833">
        <v>54</v>
      </c>
      <c r="P833">
        <v>76</v>
      </c>
      <c r="Q833" t="s">
        <v>99</v>
      </c>
      <c r="R833">
        <v>30</v>
      </c>
      <c r="S833" s="19">
        <v>0.45833333333333331</v>
      </c>
      <c r="T833">
        <v>0</v>
      </c>
      <c r="U833" s="19">
        <v>0.54166666666666663</v>
      </c>
      <c r="V833" t="s">
        <v>99</v>
      </c>
      <c r="W833">
        <v>8</v>
      </c>
      <c r="X833" t="s">
        <v>102</v>
      </c>
      <c r="Y833" t="b">
        <v>0</v>
      </c>
    </row>
    <row r="834" spans="1:25" x14ac:dyDescent="0.55000000000000004">
      <c r="A834" t="s">
        <v>94</v>
      </c>
      <c r="B834" t="s">
        <v>173</v>
      </c>
      <c r="C834" t="s">
        <v>96</v>
      </c>
      <c r="D834" t="s">
        <v>174</v>
      </c>
      <c r="E834" t="s">
        <v>245</v>
      </c>
      <c r="F834" t="s">
        <v>118</v>
      </c>
      <c r="G834">
        <v>23673</v>
      </c>
      <c r="H834" t="s">
        <v>251</v>
      </c>
      <c r="I834">
        <v>2</v>
      </c>
      <c r="J834" t="s">
        <v>105</v>
      </c>
      <c r="K834" s="19">
        <v>0.25</v>
      </c>
      <c r="L834" s="19">
        <v>0.60416666666666663</v>
      </c>
      <c r="M834">
        <v>8.5</v>
      </c>
      <c r="N834">
        <v>309.60000000000002</v>
      </c>
      <c r="O834">
        <v>54</v>
      </c>
      <c r="P834">
        <v>76</v>
      </c>
      <c r="Q834" t="s">
        <v>99</v>
      </c>
      <c r="R834">
        <v>30</v>
      </c>
      <c r="S834" s="19">
        <v>0.45833333333333331</v>
      </c>
      <c r="T834">
        <v>0</v>
      </c>
      <c r="U834" s="19">
        <v>0.54166666666666663</v>
      </c>
      <c r="V834" t="s">
        <v>99</v>
      </c>
      <c r="W834">
        <v>8</v>
      </c>
      <c r="X834" t="s">
        <v>102</v>
      </c>
      <c r="Y834" t="b">
        <v>0</v>
      </c>
    </row>
    <row r="835" spans="1:25" x14ac:dyDescent="0.55000000000000004">
      <c r="A835" t="s">
        <v>94</v>
      </c>
      <c r="B835" t="s">
        <v>173</v>
      </c>
      <c r="C835" t="s">
        <v>96</v>
      </c>
      <c r="D835" t="s">
        <v>174</v>
      </c>
      <c r="E835" t="s">
        <v>245</v>
      </c>
      <c r="F835" t="s">
        <v>118</v>
      </c>
      <c r="G835">
        <v>24635</v>
      </c>
      <c r="H835" t="s">
        <v>252</v>
      </c>
      <c r="I835">
        <v>1</v>
      </c>
      <c r="J835" t="s">
        <v>105</v>
      </c>
      <c r="K835" s="19">
        <v>0.25</v>
      </c>
      <c r="L835" s="19">
        <v>0.60416666666666663</v>
      </c>
      <c r="M835">
        <v>8.5</v>
      </c>
      <c r="N835">
        <v>309.60000000000002</v>
      </c>
      <c r="O835">
        <v>47.5</v>
      </c>
      <c r="P835">
        <v>76</v>
      </c>
      <c r="Q835" t="s">
        <v>99</v>
      </c>
      <c r="R835">
        <v>30</v>
      </c>
      <c r="S835" s="19">
        <v>0.45833333333333331</v>
      </c>
      <c r="T835">
        <v>0</v>
      </c>
      <c r="U835" s="19">
        <v>0.54166666666666663</v>
      </c>
      <c r="V835" t="s">
        <v>99</v>
      </c>
      <c r="W835">
        <v>8</v>
      </c>
      <c r="X835" t="s">
        <v>102</v>
      </c>
      <c r="Y835" t="b">
        <v>0</v>
      </c>
    </row>
    <row r="836" spans="1:25" x14ac:dyDescent="0.55000000000000004">
      <c r="A836" t="s">
        <v>94</v>
      </c>
      <c r="B836" t="s">
        <v>173</v>
      </c>
      <c r="C836" t="s">
        <v>96</v>
      </c>
      <c r="D836" t="s">
        <v>174</v>
      </c>
      <c r="E836" t="s">
        <v>245</v>
      </c>
      <c r="F836" t="s">
        <v>118</v>
      </c>
      <c r="G836">
        <v>24635</v>
      </c>
      <c r="H836" t="s">
        <v>252</v>
      </c>
      <c r="I836">
        <v>2</v>
      </c>
      <c r="J836" t="s">
        <v>101</v>
      </c>
      <c r="K836" s="19">
        <v>0.25</v>
      </c>
      <c r="L836" s="19">
        <v>0.60416666666666663</v>
      </c>
      <c r="M836">
        <v>8.5</v>
      </c>
      <c r="N836">
        <v>309.60000000000002</v>
      </c>
      <c r="O836">
        <v>47.5</v>
      </c>
      <c r="P836">
        <v>76</v>
      </c>
      <c r="Q836" t="s">
        <v>99</v>
      </c>
      <c r="R836">
        <v>30</v>
      </c>
      <c r="S836" s="19">
        <v>0.45833333333333331</v>
      </c>
      <c r="T836">
        <v>0</v>
      </c>
      <c r="U836" s="19">
        <v>0</v>
      </c>
      <c r="V836" t="s">
        <v>99</v>
      </c>
      <c r="W836">
        <v>8</v>
      </c>
      <c r="X836" t="s">
        <v>102</v>
      </c>
      <c r="Y836" t="b">
        <v>0</v>
      </c>
    </row>
    <row r="837" spans="1:25" x14ac:dyDescent="0.55000000000000004">
      <c r="A837" t="s">
        <v>94</v>
      </c>
      <c r="B837" t="s">
        <v>173</v>
      </c>
      <c r="C837" t="s">
        <v>96</v>
      </c>
      <c r="D837" t="s">
        <v>174</v>
      </c>
      <c r="E837" t="s">
        <v>245</v>
      </c>
      <c r="F837" t="s">
        <v>118</v>
      </c>
      <c r="G837">
        <v>26243</v>
      </c>
      <c r="H837" t="s">
        <v>253</v>
      </c>
      <c r="I837">
        <v>1</v>
      </c>
      <c r="J837" t="s">
        <v>101</v>
      </c>
      <c r="K837" s="19">
        <v>0.25</v>
      </c>
      <c r="L837" s="19">
        <v>0.60416666666666663</v>
      </c>
      <c r="M837">
        <v>8.5</v>
      </c>
      <c r="N837">
        <v>309.60000000000002</v>
      </c>
      <c r="O837">
        <v>39.5</v>
      </c>
      <c r="P837">
        <v>76</v>
      </c>
      <c r="Q837" t="s">
        <v>99</v>
      </c>
      <c r="R837">
        <v>30</v>
      </c>
      <c r="S837" s="19">
        <v>0.45833333333333331</v>
      </c>
      <c r="T837">
        <v>0</v>
      </c>
      <c r="U837" s="19">
        <v>0.54166666666666663</v>
      </c>
      <c r="V837" t="s">
        <v>99</v>
      </c>
      <c r="W837">
        <v>8</v>
      </c>
      <c r="X837" t="s">
        <v>102</v>
      </c>
      <c r="Y837" t="b">
        <v>0</v>
      </c>
    </row>
    <row r="838" spans="1:25" x14ac:dyDescent="0.55000000000000004">
      <c r="A838" t="s">
        <v>94</v>
      </c>
      <c r="B838" t="s">
        <v>173</v>
      </c>
      <c r="C838" t="s">
        <v>96</v>
      </c>
      <c r="D838" t="s">
        <v>174</v>
      </c>
      <c r="E838" t="s">
        <v>245</v>
      </c>
      <c r="F838" t="s">
        <v>118</v>
      </c>
      <c r="G838">
        <v>26319</v>
      </c>
      <c r="H838" t="s">
        <v>254</v>
      </c>
      <c r="I838">
        <v>1</v>
      </c>
      <c r="J838" t="s">
        <v>103</v>
      </c>
      <c r="K838" s="19">
        <v>0.25</v>
      </c>
      <c r="L838" s="19">
        <v>0.60416666666666663</v>
      </c>
      <c r="M838">
        <v>8.5</v>
      </c>
      <c r="N838">
        <v>309.60000000000002</v>
      </c>
      <c r="O838">
        <v>48</v>
      </c>
      <c r="P838">
        <v>76</v>
      </c>
      <c r="Q838" t="s">
        <v>99</v>
      </c>
      <c r="R838">
        <v>30</v>
      </c>
      <c r="S838" s="19">
        <v>0.45833333333333331</v>
      </c>
      <c r="T838">
        <v>0</v>
      </c>
      <c r="U838" s="19">
        <v>0.54166666666666663</v>
      </c>
      <c r="V838" t="s">
        <v>99</v>
      </c>
      <c r="W838">
        <v>8</v>
      </c>
      <c r="X838" t="s">
        <v>102</v>
      </c>
      <c r="Y838" t="b">
        <v>0</v>
      </c>
    </row>
    <row r="839" spans="1:25" x14ac:dyDescent="0.55000000000000004">
      <c r="A839" t="s">
        <v>94</v>
      </c>
      <c r="B839" t="s">
        <v>173</v>
      </c>
      <c r="C839" t="s">
        <v>96</v>
      </c>
      <c r="D839" t="s">
        <v>174</v>
      </c>
      <c r="E839" t="s">
        <v>245</v>
      </c>
      <c r="F839" t="s">
        <v>118</v>
      </c>
      <c r="G839">
        <v>26319</v>
      </c>
      <c r="H839" t="s">
        <v>254</v>
      </c>
      <c r="I839">
        <v>2</v>
      </c>
      <c r="J839" t="s">
        <v>116</v>
      </c>
      <c r="K839" s="19">
        <v>0.25</v>
      </c>
      <c r="L839" s="19">
        <v>0.60416666666666663</v>
      </c>
      <c r="M839">
        <v>8.5</v>
      </c>
      <c r="N839">
        <v>541.79999999999995</v>
      </c>
      <c r="O839">
        <v>48</v>
      </c>
      <c r="P839">
        <v>76</v>
      </c>
      <c r="Q839" t="s">
        <v>99</v>
      </c>
      <c r="R839">
        <v>30</v>
      </c>
      <c r="S839" s="19">
        <v>0.45833333333333331</v>
      </c>
      <c r="T839">
        <v>0</v>
      </c>
      <c r="U839" s="19">
        <v>0.54166666666666663</v>
      </c>
      <c r="V839" t="s">
        <v>99</v>
      </c>
      <c r="W839">
        <v>8</v>
      </c>
      <c r="X839" t="s">
        <v>102</v>
      </c>
      <c r="Y839" t="b">
        <v>0</v>
      </c>
    </row>
    <row r="840" spans="1:25" x14ac:dyDescent="0.55000000000000004">
      <c r="A840" t="s">
        <v>94</v>
      </c>
      <c r="B840" t="s">
        <v>173</v>
      </c>
      <c r="C840" t="s">
        <v>96</v>
      </c>
      <c r="D840" t="s">
        <v>174</v>
      </c>
      <c r="E840" t="s">
        <v>245</v>
      </c>
      <c r="F840" t="s">
        <v>135</v>
      </c>
      <c r="G840">
        <v>20862</v>
      </c>
      <c r="H840" t="s">
        <v>247</v>
      </c>
      <c r="I840">
        <v>1</v>
      </c>
      <c r="J840" t="s">
        <v>103</v>
      </c>
      <c r="K840" s="19">
        <v>0.25</v>
      </c>
      <c r="L840" s="19">
        <v>0.60416666666666663</v>
      </c>
      <c r="M840">
        <v>8.5</v>
      </c>
      <c r="N840">
        <v>309.60000000000002</v>
      </c>
      <c r="O840">
        <v>70</v>
      </c>
      <c r="P840">
        <v>76</v>
      </c>
      <c r="Q840" t="s">
        <v>99</v>
      </c>
      <c r="R840">
        <v>30</v>
      </c>
      <c r="S840" s="19">
        <v>0.45833333333333331</v>
      </c>
      <c r="T840">
        <v>0</v>
      </c>
      <c r="U840" s="19">
        <v>0</v>
      </c>
      <c r="V840" t="s">
        <v>99</v>
      </c>
      <c r="W840">
        <v>8</v>
      </c>
      <c r="X840" t="s">
        <v>102</v>
      </c>
      <c r="Y840" t="b">
        <v>0</v>
      </c>
    </row>
    <row r="841" spans="1:25" x14ac:dyDescent="0.55000000000000004">
      <c r="A841" t="s">
        <v>94</v>
      </c>
      <c r="B841" t="s">
        <v>173</v>
      </c>
      <c r="C841" t="s">
        <v>96</v>
      </c>
      <c r="D841" t="s">
        <v>174</v>
      </c>
      <c r="E841" t="s">
        <v>245</v>
      </c>
      <c r="F841" t="s">
        <v>135</v>
      </c>
      <c r="G841">
        <v>22769</v>
      </c>
      <c r="H841" t="s">
        <v>248</v>
      </c>
      <c r="I841">
        <v>1</v>
      </c>
      <c r="J841" t="s">
        <v>115</v>
      </c>
      <c r="K841" s="19">
        <v>0.25</v>
      </c>
      <c r="L841" s="19">
        <v>0.60416666666666663</v>
      </c>
      <c r="M841">
        <v>8.5</v>
      </c>
      <c r="N841">
        <v>464.4</v>
      </c>
      <c r="O841">
        <v>72</v>
      </c>
      <c r="P841">
        <v>76</v>
      </c>
      <c r="Q841" t="s">
        <v>99</v>
      </c>
      <c r="R841">
        <v>30</v>
      </c>
      <c r="S841" s="19">
        <v>0.45833333333333331</v>
      </c>
      <c r="T841">
        <v>0</v>
      </c>
      <c r="U841" s="19">
        <v>0</v>
      </c>
      <c r="V841" t="s">
        <v>99</v>
      </c>
      <c r="W841">
        <v>8</v>
      </c>
      <c r="X841" t="s">
        <v>102</v>
      </c>
      <c r="Y841" t="b">
        <v>0</v>
      </c>
    </row>
    <row r="842" spans="1:25" x14ac:dyDescent="0.55000000000000004">
      <c r="A842" t="s">
        <v>94</v>
      </c>
      <c r="B842" t="s">
        <v>173</v>
      </c>
      <c r="C842" t="s">
        <v>96</v>
      </c>
      <c r="D842" t="s">
        <v>174</v>
      </c>
      <c r="E842" t="s">
        <v>245</v>
      </c>
      <c r="F842" t="s">
        <v>135</v>
      </c>
      <c r="G842">
        <v>22769</v>
      </c>
      <c r="H842" t="s">
        <v>248</v>
      </c>
      <c r="I842">
        <v>1</v>
      </c>
      <c r="J842" t="s">
        <v>116</v>
      </c>
      <c r="K842" s="19">
        <v>0.25</v>
      </c>
      <c r="L842" s="19">
        <v>0.60416666666666663</v>
      </c>
      <c r="M842">
        <v>8.5</v>
      </c>
      <c r="N842">
        <v>541.79999999999995</v>
      </c>
      <c r="O842">
        <v>72</v>
      </c>
      <c r="P842">
        <v>76</v>
      </c>
      <c r="Q842" t="s">
        <v>99</v>
      </c>
      <c r="R842">
        <v>30</v>
      </c>
      <c r="S842" s="19">
        <v>0.45833333333333331</v>
      </c>
      <c r="T842">
        <v>0</v>
      </c>
      <c r="U842" s="19">
        <v>0</v>
      </c>
      <c r="V842" t="s">
        <v>99</v>
      </c>
      <c r="W842">
        <v>8</v>
      </c>
      <c r="X842" t="s">
        <v>102</v>
      </c>
      <c r="Y842" t="b">
        <v>0</v>
      </c>
    </row>
    <row r="843" spans="1:25" x14ac:dyDescent="0.55000000000000004">
      <c r="A843" t="s">
        <v>94</v>
      </c>
      <c r="B843" t="s">
        <v>173</v>
      </c>
      <c r="C843" t="s">
        <v>96</v>
      </c>
      <c r="D843" t="s">
        <v>174</v>
      </c>
      <c r="E843" t="s">
        <v>245</v>
      </c>
      <c r="F843" t="s">
        <v>135</v>
      </c>
      <c r="G843">
        <v>22769</v>
      </c>
      <c r="H843" t="s">
        <v>248</v>
      </c>
      <c r="I843">
        <v>1</v>
      </c>
      <c r="J843" t="s">
        <v>105</v>
      </c>
      <c r="K843" s="19">
        <v>0.25</v>
      </c>
      <c r="L843" s="19">
        <v>0.60416666666666663</v>
      </c>
      <c r="M843">
        <v>8.5</v>
      </c>
      <c r="N843">
        <v>309.60000000000002</v>
      </c>
      <c r="O843">
        <v>72</v>
      </c>
      <c r="P843">
        <v>76</v>
      </c>
      <c r="Q843" t="s">
        <v>99</v>
      </c>
      <c r="R843">
        <v>30</v>
      </c>
      <c r="S843" s="19">
        <v>0.45833333333333331</v>
      </c>
      <c r="T843">
        <v>0</v>
      </c>
      <c r="U843" s="19">
        <v>0</v>
      </c>
      <c r="V843" t="s">
        <v>99</v>
      </c>
      <c r="W843">
        <v>8</v>
      </c>
      <c r="X843" t="s">
        <v>102</v>
      </c>
      <c r="Y843" t="b">
        <v>0</v>
      </c>
    </row>
    <row r="844" spans="1:25" x14ac:dyDescent="0.55000000000000004">
      <c r="A844" t="s">
        <v>94</v>
      </c>
      <c r="B844" t="s">
        <v>173</v>
      </c>
      <c r="C844" t="s">
        <v>96</v>
      </c>
      <c r="D844" t="s">
        <v>174</v>
      </c>
      <c r="E844" t="s">
        <v>245</v>
      </c>
      <c r="F844" t="s">
        <v>135</v>
      </c>
      <c r="G844">
        <v>22769</v>
      </c>
      <c r="H844" t="s">
        <v>248</v>
      </c>
      <c r="I844">
        <v>2</v>
      </c>
      <c r="J844" t="s">
        <v>101</v>
      </c>
      <c r="K844" s="19">
        <v>0.25</v>
      </c>
      <c r="L844" s="19">
        <v>0.60416666666666663</v>
      </c>
      <c r="M844">
        <v>8.5</v>
      </c>
      <c r="N844">
        <v>309.60000000000002</v>
      </c>
      <c r="O844">
        <v>72</v>
      </c>
      <c r="P844">
        <v>76</v>
      </c>
      <c r="Q844" t="s">
        <v>99</v>
      </c>
      <c r="R844">
        <v>30</v>
      </c>
      <c r="S844" s="19">
        <v>0.45833333333333331</v>
      </c>
      <c r="T844">
        <v>0</v>
      </c>
      <c r="U844" s="19">
        <v>0</v>
      </c>
      <c r="V844" t="s">
        <v>99</v>
      </c>
      <c r="W844">
        <v>8</v>
      </c>
      <c r="X844" t="s">
        <v>102</v>
      </c>
      <c r="Y844" t="b">
        <v>0</v>
      </c>
    </row>
    <row r="845" spans="1:25" x14ac:dyDescent="0.55000000000000004">
      <c r="A845" t="s">
        <v>94</v>
      </c>
      <c r="B845" t="s">
        <v>173</v>
      </c>
      <c r="C845" t="s">
        <v>96</v>
      </c>
      <c r="D845" t="s">
        <v>174</v>
      </c>
      <c r="E845" t="s">
        <v>245</v>
      </c>
      <c r="F845" t="s">
        <v>135</v>
      </c>
      <c r="G845">
        <v>22769</v>
      </c>
      <c r="H845" t="s">
        <v>248</v>
      </c>
      <c r="I845">
        <v>2</v>
      </c>
      <c r="J845" t="s">
        <v>115</v>
      </c>
      <c r="K845" s="19">
        <v>0.25</v>
      </c>
      <c r="L845" s="19">
        <v>0.60416666666666663</v>
      </c>
      <c r="M845">
        <v>8.5</v>
      </c>
      <c r="N845">
        <v>464.4</v>
      </c>
      <c r="O845">
        <v>72</v>
      </c>
      <c r="P845">
        <v>76</v>
      </c>
      <c r="Q845" t="s">
        <v>99</v>
      </c>
      <c r="R845">
        <v>30</v>
      </c>
      <c r="S845" s="19">
        <v>0.45833333333333331</v>
      </c>
      <c r="T845">
        <v>0</v>
      </c>
      <c r="U845" s="19">
        <v>0</v>
      </c>
      <c r="V845" t="s">
        <v>99</v>
      </c>
      <c r="W845">
        <v>8</v>
      </c>
      <c r="X845" t="s">
        <v>102</v>
      </c>
      <c r="Y845" t="b">
        <v>0</v>
      </c>
    </row>
    <row r="846" spans="1:25" x14ac:dyDescent="0.55000000000000004">
      <c r="A846" t="s">
        <v>94</v>
      </c>
      <c r="B846" t="s">
        <v>173</v>
      </c>
      <c r="C846" t="s">
        <v>96</v>
      </c>
      <c r="D846" t="s">
        <v>174</v>
      </c>
      <c r="E846" t="s">
        <v>245</v>
      </c>
      <c r="F846" t="s">
        <v>135</v>
      </c>
      <c r="G846">
        <v>22769</v>
      </c>
      <c r="H846" t="s">
        <v>248</v>
      </c>
      <c r="I846">
        <v>2</v>
      </c>
      <c r="J846" t="s">
        <v>116</v>
      </c>
      <c r="K846" s="19">
        <v>0.25</v>
      </c>
      <c r="L846" s="19">
        <v>0.60416666666666663</v>
      </c>
      <c r="M846">
        <v>8.5</v>
      </c>
      <c r="N846">
        <v>541.79999999999995</v>
      </c>
      <c r="O846">
        <v>72</v>
      </c>
      <c r="P846">
        <v>76</v>
      </c>
      <c r="Q846" t="s">
        <v>99</v>
      </c>
      <c r="R846">
        <v>30</v>
      </c>
      <c r="S846" s="19">
        <v>0.45833333333333331</v>
      </c>
      <c r="T846">
        <v>0</v>
      </c>
      <c r="U846" s="19">
        <v>0</v>
      </c>
      <c r="V846" t="s">
        <v>99</v>
      </c>
      <c r="W846">
        <v>8</v>
      </c>
      <c r="X846" t="s">
        <v>102</v>
      </c>
      <c r="Y846" t="b">
        <v>0</v>
      </c>
    </row>
    <row r="847" spans="1:25" x14ac:dyDescent="0.55000000000000004">
      <c r="A847" t="s">
        <v>94</v>
      </c>
      <c r="B847" t="s">
        <v>173</v>
      </c>
      <c r="C847" t="s">
        <v>96</v>
      </c>
      <c r="D847" t="s">
        <v>174</v>
      </c>
      <c r="E847" t="s">
        <v>245</v>
      </c>
      <c r="F847" t="s">
        <v>135</v>
      </c>
      <c r="G847">
        <v>22769</v>
      </c>
      <c r="H847" t="s">
        <v>248</v>
      </c>
      <c r="I847">
        <v>2</v>
      </c>
      <c r="J847" t="s">
        <v>104</v>
      </c>
      <c r="K847" s="19">
        <v>0.25</v>
      </c>
      <c r="L847" s="19">
        <v>0.60416666666666663</v>
      </c>
      <c r="M847">
        <v>8.5</v>
      </c>
      <c r="N847">
        <v>309.60000000000002</v>
      </c>
      <c r="O847">
        <v>72</v>
      </c>
      <c r="P847">
        <v>76</v>
      </c>
      <c r="Q847" t="s">
        <v>99</v>
      </c>
      <c r="R847">
        <v>30</v>
      </c>
      <c r="S847" s="19">
        <v>0.45833333333333331</v>
      </c>
      <c r="T847">
        <v>0</v>
      </c>
      <c r="U847" s="19">
        <v>0</v>
      </c>
      <c r="V847" t="s">
        <v>99</v>
      </c>
      <c r="W847">
        <v>8</v>
      </c>
      <c r="X847" t="s">
        <v>102</v>
      </c>
      <c r="Y847" t="b">
        <v>0</v>
      </c>
    </row>
    <row r="848" spans="1:25" x14ac:dyDescent="0.55000000000000004">
      <c r="A848" t="s">
        <v>94</v>
      </c>
      <c r="B848" t="s">
        <v>173</v>
      </c>
      <c r="C848" t="s">
        <v>96</v>
      </c>
      <c r="D848" t="s">
        <v>174</v>
      </c>
      <c r="E848" t="s">
        <v>245</v>
      </c>
      <c r="F848" t="s">
        <v>135</v>
      </c>
      <c r="G848">
        <v>24635</v>
      </c>
      <c r="H848" t="s">
        <v>252</v>
      </c>
      <c r="I848">
        <v>2</v>
      </c>
      <c r="J848" t="s">
        <v>107</v>
      </c>
      <c r="K848" s="19">
        <v>0.25</v>
      </c>
      <c r="L848" s="19">
        <v>0.60416666666666663</v>
      </c>
      <c r="M848">
        <v>8.5</v>
      </c>
      <c r="N848">
        <v>309.60000000000002</v>
      </c>
      <c r="O848">
        <v>47.5</v>
      </c>
      <c r="P848">
        <v>76</v>
      </c>
      <c r="Q848" t="s">
        <v>99</v>
      </c>
      <c r="R848">
        <v>30</v>
      </c>
      <c r="S848" s="19">
        <v>0.45833333333333331</v>
      </c>
      <c r="T848">
        <v>0</v>
      </c>
      <c r="U848" s="19">
        <v>0</v>
      </c>
      <c r="V848" t="s">
        <v>99</v>
      </c>
      <c r="W848">
        <v>8</v>
      </c>
      <c r="X848" t="s">
        <v>102</v>
      </c>
      <c r="Y848" t="b">
        <v>0</v>
      </c>
    </row>
    <row r="849" spans="1:25" x14ac:dyDescent="0.55000000000000004">
      <c r="A849" t="s">
        <v>94</v>
      </c>
      <c r="B849" t="s">
        <v>173</v>
      </c>
      <c r="C849" t="s">
        <v>96</v>
      </c>
      <c r="D849" t="s">
        <v>174</v>
      </c>
      <c r="E849" t="s">
        <v>245</v>
      </c>
      <c r="F849" t="s">
        <v>135</v>
      </c>
      <c r="G849">
        <v>25003</v>
      </c>
      <c r="H849" t="s">
        <v>255</v>
      </c>
      <c r="I849">
        <v>1</v>
      </c>
      <c r="J849" t="s">
        <v>101</v>
      </c>
      <c r="K849" s="19">
        <v>0.25</v>
      </c>
      <c r="L849" s="19">
        <v>0.60416666666666663</v>
      </c>
      <c r="M849">
        <v>8.5</v>
      </c>
      <c r="N849">
        <v>387</v>
      </c>
      <c r="O849">
        <v>32</v>
      </c>
      <c r="P849">
        <v>76</v>
      </c>
      <c r="Q849" t="s">
        <v>99</v>
      </c>
      <c r="R849">
        <v>30</v>
      </c>
      <c r="S849" s="19">
        <v>0.45833333333333331</v>
      </c>
      <c r="T849">
        <v>0</v>
      </c>
      <c r="U849" s="19">
        <v>0</v>
      </c>
      <c r="V849" t="s">
        <v>99</v>
      </c>
      <c r="W849">
        <v>8</v>
      </c>
      <c r="X849" t="s">
        <v>102</v>
      </c>
      <c r="Y849" t="b">
        <v>0</v>
      </c>
    </row>
    <row r="850" spans="1:25" x14ac:dyDescent="0.55000000000000004">
      <c r="A850" t="s">
        <v>94</v>
      </c>
      <c r="B850" t="s">
        <v>173</v>
      </c>
      <c r="C850" t="s">
        <v>96</v>
      </c>
      <c r="D850" t="s">
        <v>174</v>
      </c>
      <c r="E850" t="s">
        <v>245</v>
      </c>
      <c r="F850" t="s">
        <v>135</v>
      </c>
      <c r="G850">
        <v>25003</v>
      </c>
      <c r="H850" t="s">
        <v>255</v>
      </c>
      <c r="I850">
        <v>1</v>
      </c>
      <c r="J850" t="s">
        <v>104</v>
      </c>
      <c r="K850" s="19">
        <v>0.25</v>
      </c>
      <c r="L850" s="19">
        <v>0.60416666666666663</v>
      </c>
      <c r="M850">
        <v>8.5</v>
      </c>
      <c r="N850">
        <v>387</v>
      </c>
      <c r="O850">
        <v>32</v>
      </c>
      <c r="P850">
        <v>76</v>
      </c>
      <c r="Q850" t="s">
        <v>99</v>
      </c>
      <c r="R850">
        <v>30</v>
      </c>
      <c r="S850" s="19">
        <v>0.45833333333333331</v>
      </c>
      <c r="T850">
        <v>0</v>
      </c>
      <c r="U850" s="19">
        <v>0.54166666666666663</v>
      </c>
      <c r="V850" t="s">
        <v>99</v>
      </c>
      <c r="W850">
        <v>8</v>
      </c>
      <c r="X850" t="s">
        <v>102</v>
      </c>
      <c r="Y850" t="b">
        <v>0</v>
      </c>
    </row>
    <row r="851" spans="1:25" x14ac:dyDescent="0.55000000000000004">
      <c r="A851" t="s">
        <v>94</v>
      </c>
      <c r="B851" t="s">
        <v>173</v>
      </c>
      <c r="C851" t="s">
        <v>96</v>
      </c>
      <c r="D851" t="s">
        <v>174</v>
      </c>
      <c r="E851" t="s">
        <v>245</v>
      </c>
      <c r="F851" t="s">
        <v>135</v>
      </c>
      <c r="G851">
        <v>25003</v>
      </c>
      <c r="H851" t="s">
        <v>255</v>
      </c>
      <c r="I851">
        <v>2</v>
      </c>
      <c r="J851" t="s">
        <v>103</v>
      </c>
      <c r="K851" s="19">
        <v>0.25</v>
      </c>
      <c r="L851" s="19">
        <v>0.60416666666666663</v>
      </c>
      <c r="M851">
        <v>8.5</v>
      </c>
      <c r="N851">
        <v>387</v>
      </c>
      <c r="O851">
        <v>32</v>
      </c>
      <c r="P851">
        <v>76</v>
      </c>
      <c r="Q851" t="s">
        <v>99</v>
      </c>
      <c r="R851">
        <v>30</v>
      </c>
      <c r="S851" s="19">
        <v>0.45833333333333331</v>
      </c>
      <c r="T851">
        <v>0</v>
      </c>
      <c r="U851" s="19">
        <v>0.54166666666666663</v>
      </c>
      <c r="V851" t="s">
        <v>99</v>
      </c>
      <c r="W851">
        <v>8</v>
      </c>
      <c r="X851" t="s">
        <v>102</v>
      </c>
      <c r="Y851" t="b">
        <v>0</v>
      </c>
    </row>
    <row r="852" spans="1:25" x14ac:dyDescent="0.55000000000000004">
      <c r="A852" t="s">
        <v>94</v>
      </c>
      <c r="B852" t="s">
        <v>173</v>
      </c>
      <c r="C852" t="s">
        <v>96</v>
      </c>
      <c r="D852" t="s">
        <v>174</v>
      </c>
      <c r="E852" t="s">
        <v>245</v>
      </c>
      <c r="F852" t="s">
        <v>135</v>
      </c>
      <c r="G852">
        <v>25003</v>
      </c>
      <c r="H852" t="s">
        <v>255</v>
      </c>
      <c r="I852">
        <v>2</v>
      </c>
      <c r="J852" t="s">
        <v>105</v>
      </c>
      <c r="K852" s="19">
        <v>0.25</v>
      </c>
      <c r="L852" s="19">
        <v>0.60416666666666663</v>
      </c>
      <c r="M852">
        <v>8.5</v>
      </c>
      <c r="N852">
        <v>387</v>
      </c>
      <c r="O852">
        <v>32</v>
      </c>
      <c r="P852">
        <v>76</v>
      </c>
      <c r="Q852" t="s">
        <v>99</v>
      </c>
      <c r="R852">
        <v>30</v>
      </c>
      <c r="S852" s="19">
        <v>0.45833333333333331</v>
      </c>
      <c r="T852">
        <v>0</v>
      </c>
      <c r="U852" s="19">
        <v>0.54166666666666663</v>
      </c>
      <c r="V852" t="s">
        <v>99</v>
      </c>
      <c r="W852">
        <v>8</v>
      </c>
      <c r="X852" t="s">
        <v>102</v>
      </c>
      <c r="Y852" t="b">
        <v>0</v>
      </c>
    </row>
    <row r="853" spans="1:25" x14ac:dyDescent="0.55000000000000004">
      <c r="A853" t="s">
        <v>94</v>
      </c>
      <c r="B853" t="s">
        <v>173</v>
      </c>
      <c r="C853" t="s">
        <v>96</v>
      </c>
      <c r="D853" t="s">
        <v>174</v>
      </c>
      <c r="E853" t="s">
        <v>245</v>
      </c>
      <c r="F853" t="s">
        <v>135</v>
      </c>
      <c r="G853">
        <v>26243</v>
      </c>
      <c r="H853" t="s">
        <v>253</v>
      </c>
      <c r="I853">
        <v>1</v>
      </c>
      <c r="J853" t="s">
        <v>107</v>
      </c>
      <c r="K853" s="19">
        <v>0.25</v>
      </c>
      <c r="L853" s="19">
        <v>0.60416666666666663</v>
      </c>
      <c r="M853">
        <v>8.5</v>
      </c>
      <c r="N853">
        <v>309.60000000000002</v>
      </c>
      <c r="O853">
        <v>39.5</v>
      </c>
      <c r="P853">
        <v>76</v>
      </c>
      <c r="Q853" t="s">
        <v>99</v>
      </c>
      <c r="R853">
        <v>30</v>
      </c>
      <c r="S853" s="19">
        <v>0.45833333333333331</v>
      </c>
      <c r="T853">
        <v>0</v>
      </c>
      <c r="U853" s="19">
        <v>0.54166666666666663</v>
      </c>
      <c r="V853" t="s">
        <v>99</v>
      </c>
      <c r="W853">
        <v>8</v>
      </c>
      <c r="X853" t="s">
        <v>102</v>
      </c>
      <c r="Y853" t="b">
        <v>0</v>
      </c>
    </row>
    <row r="854" spans="1:25" x14ac:dyDescent="0.55000000000000004">
      <c r="A854" t="s">
        <v>94</v>
      </c>
      <c r="B854" t="s">
        <v>173</v>
      </c>
      <c r="C854" t="s">
        <v>96</v>
      </c>
      <c r="D854" t="s">
        <v>174</v>
      </c>
      <c r="E854" t="s">
        <v>245</v>
      </c>
      <c r="F854" t="s">
        <v>139</v>
      </c>
      <c r="G854">
        <v>20862</v>
      </c>
      <c r="H854" t="s">
        <v>247</v>
      </c>
      <c r="I854">
        <v>2</v>
      </c>
      <c r="J854" t="s">
        <v>115</v>
      </c>
      <c r="K854" s="19">
        <v>0.25</v>
      </c>
      <c r="L854" s="19">
        <v>0.60416666666666663</v>
      </c>
      <c r="M854">
        <v>8.5</v>
      </c>
      <c r="N854">
        <v>464.4</v>
      </c>
      <c r="O854">
        <v>70</v>
      </c>
      <c r="P854">
        <v>76</v>
      </c>
      <c r="Q854" t="s">
        <v>99</v>
      </c>
      <c r="R854">
        <v>30</v>
      </c>
      <c r="S854" s="19">
        <v>0.45833333333333331</v>
      </c>
      <c r="T854">
        <v>0</v>
      </c>
      <c r="U854" s="19">
        <v>0</v>
      </c>
      <c r="V854" t="s">
        <v>99</v>
      </c>
      <c r="W854">
        <v>8</v>
      </c>
      <c r="X854" t="s">
        <v>102</v>
      </c>
      <c r="Y854" t="b">
        <v>0</v>
      </c>
    </row>
    <row r="855" spans="1:25" x14ac:dyDescent="0.55000000000000004">
      <c r="A855" t="s">
        <v>94</v>
      </c>
      <c r="B855" t="s">
        <v>173</v>
      </c>
      <c r="C855" t="s">
        <v>96</v>
      </c>
      <c r="D855" t="s">
        <v>174</v>
      </c>
      <c r="E855" t="s">
        <v>245</v>
      </c>
      <c r="F855" t="s">
        <v>139</v>
      </c>
      <c r="G855">
        <v>20862</v>
      </c>
      <c r="H855" t="s">
        <v>247</v>
      </c>
      <c r="I855">
        <v>2</v>
      </c>
      <c r="J855" t="s">
        <v>116</v>
      </c>
      <c r="K855" s="19">
        <v>0.25</v>
      </c>
      <c r="L855" s="19">
        <v>0.60416666666666663</v>
      </c>
      <c r="M855">
        <v>8.5</v>
      </c>
      <c r="N855">
        <v>541.79999999999995</v>
      </c>
      <c r="O855">
        <v>70</v>
      </c>
      <c r="P855">
        <v>76</v>
      </c>
      <c r="Q855" t="s">
        <v>99</v>
      </c>
      <c r="R855">
        <v>30</v>
      </c>
      <c r="S855" s="19">
        <v>0.45833333333333331</v>
      </c>
      <c r="T855">
        <v>0</v>
      </c>
      <c r="U855" s="19">
        <v>0</v>
      </c>
      <c r="V855" t="s">
        <v>99</v>
      </c>
      <c r="W855">
        <v>8</v>
      </c>
      <c r="X855" t="s">
        <v>102</v>
      </c>
      <c r="Y855" t="b">
        <v>0</v>
      </c>
    </row>
    <row r="856" spans="1:25" x14ac:dyDescent="0.55000000000000004">
      <c r="A856" t="s">
        <v>94</v>
      </c>
      <c r="B856" t="s">
        <v>173</v>
      </c>
      <c r="C856" t="s">
        <v>96</v>
      </c>
      <c r="D856" t="s">
        <v>174</v>
      </c>
      <c r="E856" t="s">
        <v>245</v>
      </c>
      <c r="F856" t="s">
        <v>139</v>
      </c>
      <c r="G856">
        <v>22769</v>
      </c>
      <c r="H856" t="s">
        <v>248</v>
      </c>
      <c r="I856">
        <v>1</v>
      </c>
      <c r="J856" t="s">
        <v>101</v>
      </c>
      <c r="K856" s="19">
        <v>0.25</v>
      </c>
      <c r="L856" s="19">
        <v>0.60416666666666663</v>
      </c>
      <c r="M856">
        <v>8.5</v>
      </c>
      <c r="N856">
        <v>309.60000000000002</v>
      </c>
      <c r="O856">
        <v>72</v>
      </c>
      <c r="P856">
        <v>76</v>
      </c>
      <c r="Q856" t="s">
        <v>99</v>
      </c>
      <c r="R856">
        <v>30</v>
      </c>
      <c r="S856" s="19">
        <v>0.45833333333333331</v>
      </c>
      <c r="T856">
        <v>0</v>
      </c>
      <c r="U856" s="19">
        <v>0</v>
      </c>
      <c r="V856" t="s">
        <v>99</v>
      </c>
      <c r="W856">
        <v>8</v>
      </c>
      <c r="X856" t="s">
        <v>102</v>
      </c>
      <c r="Y856" t="b">
        <v>0</v>
      </c>
    </row>
    <row r="857" spans="1:25" x14ac:dyDescent="0.55000000000000004">
      <c r="A857" t="s">
        <v>94</v>
      </c>
      <c r="B857" t="s">
        <v>173</v>
      </c>
      <c r="C857" t="s">
        <v>96</v>
      </c>
      <c r="D857" t="s">
        <v>174</v>
      </c>
      <c r="E857" t="s">
        <v>245</v>
      </c>
      <c r="F857" t="s">
        <v>139</v>
      </c>
      <c r="G857">
        <v>22914</v>
      </c>
      <c r="H857" t="s">
        <v>249</v>
      </c>
      <c r="I857">
        <v>1</v>
      </c>
      <c r="J857" t="s">
        <v>104</v>
      </c>
      <c r="K857" s="19">
        <v>0.25</v>
      </c>
      <c r="L857" s="19">
        <v>0.60416666666666663</v>
      </c>
      <c r="M857">
        <v>8.5</v>
      </c>
      <c r="N857">
        <v>309.60000000000002</v>
      </c>
      <c r="O857">
        <v>32</v>
      </c>
      <c r="P857">
        <v>76</v>
      </c>
      <c r="Q857" t="s">
        <v>99</v>
      </c>
      <c r="R857">
        <v>30</v>
      </c>
      <c r="S857" s="19">
        <v>0.45833333333333331</v>
      </c>
      <c r="T857">
        <v>0</v>
      </c>
      <c r="U857" s="19">
        <v>0</v>
      </c>
      <c r="V857" t="s">
        <v>99</v>
      </c>
      <c r="W857">
        <v>8</v>
      </c>
      <c r="X857" t="s">
        <v>102</v>
      </c>
      <c r="Y857" t="b">
        <v>0</v>
      </c>
    </row>
    <row r="858" spans="1:25" x14ac:dyDescent="0.55000000000000004">
      <c r="A858" t="s">
        <v>94</v>
      </c>
      <c r="B858" t="s">
        <v>173</v>
      </c>
      <c r="C858" t="s">
        <v>96</v>
      </c>
      <c r="D858" t="s">
        <v>174</v>
      </c>
      <c r="E858" t="s">
        <v>245</v>
      </c>
      <c r="F858" t="s">
        <v>139</v>
      </c>
      <c r="G858">
        <v>22914</v>
      </c>
      <c r="H858" t="s">
        <v>249</v>
      </c>
      <c r="I858">
        <v>1</v>
      </c>
      <c r="J858" t="s">
        <v>105</v>
      </c>
      <c r="K858" s="19">
        <v>0.25</v>
      </c>
      <c r="L858" s="19">
        <v>0.60416666666666663</v>
      </c>
      <c r="M858">
        <v>8.5</v>
      </c>
      <c r="N858">
        <v>309.60000000000002</v>
      </c>
      <c r="O858">
        <v>32</v>
      </c>
      <c r="P858">
        <v>76</v>
      </c>
      <c r="Q858" t="s">
        <v>99</v>
      </c>
      <c r="R858">
        <v>30</v>
      </c>
      <c r="S858" s="19">
        <v>0.45833333333333331</v>
      </c>
      <c r="T858">
        <v>0</v>
      </c>
      <c r="U858" s="19">
        <v>0</v>
      </c>
      <c r="V858" t="s">
        <v>99</v>
      </c>
      <c r="W858">
        <v>8</v>
      </c>
      <c r="X858" t="s">
        <v>102</v>
      </c>
      <c r="Y858" t="b">
        <v>0</v>
      </c>
    </row>
    <row r="859" spans="1:25" x14ac:dyDescent="0.55000000000000004">
      <c r="A859" t="s">
        <v>94</v>
      </c>
      <c r="B859" t="s">
        <v>173</v>
      </c>
      <c r="C859" t="s">
        <v>96</v>
      </c>
      <c r="D859" t="s">
        <v>174</v>
      </c>
      <c r="E859" t="s">
        <v>245</v>
      </c>
      <c r="F859" t="s">
        <v>139</v>
      </c>
      <c r="G859">
        <v>22914</v>
      </c>
      <c r="H859" t="s">
        <v>249</v>
      </c>
      <c r="I859">
        <v>2</v>
      </c>
      <c r="J859" t="s">
        <v>105</v>
      </c>
      <c r="K859" s="19">
        <v>0.25</v>
      </c>
      <c r="L859" s="19">
        <v>0.60416666666666663</v>
      </c>
      <c r="M859">
        <v>8.5</v>
      </c>
      <c r="N859">
        <v>309.60000000000002</v>
      </c>
      <c r="O859">
        <v>32</v>
      </c>
      <c r="P859">
        <v>76</v>
      </c>
      <c r="Q859" t="s">
        <v>99</v>
      </c>
      <c r="R859">
        <v>30</v>
      </c>
      <c r="S859" s="19">
        <v>0.45833333333333331</v>
      </c>
      <c r="T859">
        <v>0</v>
      </c>
      <c r="U859" s="19">
        <v>0</v>
      </c>
      <c r="V859" t="s">
        <v>99</v>
      </c>
      <c r="W859">
        <v>8</v>
      </c>
      <c r="X859" t="s">
        <v>102</v>
      </c>
      <c r="Y859" t="b">
        <v>0</v>
      </c>
    </row>
    <row r="860" spans="1:25" x14ac:dyDescent="0.55000000000000004">
      <c r="A860" t="s">
        <v>94</v>
      </c>
      <c r="B860" t="s">
        <v>173</v>
      </c>
      <c r="C860" t="s">
        <v>96</v>
      </c>
      <c r="D860" t="s">
        <v>174</v>
      </c>
      <c r="E860" t="s">
        <v>245</v>
      </c>
      <c r="F860" t="s">
        <v>139</v>
      </c>
      <c r="G860">
        <v>23249</v>
      </c>
      <c r="H860" t="s">
        <v>250</v>
      </c>
      <c r="I860">
        <v>1</v>
      </c>
      <c r="J860" t="s">
        <v>115</v>
      </c>
      <c r="K860" s="19">
        <v>0.25</v>
      </c>
      <c r="L860" s="19">
        <v>0.60416666666666663</v>
      </c>
      <c r="M860">
        <v>8.5</v>
      </c>
      <c r="N860">
        <v>0</v>
      </c>
      <c r="O860">
        <v>48</v>
      </c>
      <c r="P860">
        <v>76</v>
      </c>
      <c r="Q860" t="s">
        <v>99</v>
      </c>
      <c r="R860">
        <v>30</v>
      </c>
      <c r="S860" s="19">
        <v>0.45833333333333331</v>
      </c>
      <c r="T860">
        <v>0</v>
      </c>
      <c r="U860" s="19">
        <v>0.54166666666666663</v>
      </c>
      <c r="V860" t="s">
        <v>99</v>
      </c>
      <c r="W860">
        <v>8</v>
      </c>
      <c r="X860" t="s">
        <v>102</v>
      </c>
      <c r="Y860" t="b">
        <v>0</v>
      </c>
    </row>
    <row r="861" spans="1:25" x14ac:dyDescent="0.55000000000000004">
      <c r="A861" t="s">
        <v>94</v>
      </c>
      <c r="B861" t="s">
        <v>173</v>
      </c>
      <c r="C861" t="s">
        <v>96</v>
      </c>
      <c r="D861" t="s">
        <v>174</v>
      </c>
      <c r="E861" t="s">
        <v>245</v>
      </c>
      <c r="F861" t="s">
        <v>139</v>
      </c>
      <c r="G861">
        <v>23249</v>
      </c>
      <c r="H861" t="s">
        <v>250</v>
      </c>
      <c r="I861">
        <v>1</v>
      </c>
      <c r="J861" t="s">
        <v>103</v>
      </c>
      <c r="K861" s="19">
        <v>0.25</v>
      </c>
      <c r="L861" s="19">
        <v>0.60416666666666663</v>
      </c>
      <c r="M861">
        <v>8.5</v>
      </c>
      <c r="N861">
        <v>0</v>
      </c>
      <c r="O861">
        <v>48</v>
      </c>
      <c r="P861">
        <v>76</v>
      </c>
      <c r="Q861" t="s">
        <v>99</v>
      </c>
      <c r="R861">
        <v>30</v>
      </c>
      <c r="S861" s="19">
        <v>0.45833333333333331</v>
      </c>
      <c r="T861">
        <v>0</v>
      </c>
      <c r="U861" s="19">
        <v>0.54166666666666663</v>
      </c>
      <c r="V861" t="s">
        <v>99</v>
      </c>
      <c r="W861">
        <v>8</v>
      </c>
      <c r="X861" t="s">
        <v>102</v>
      </c>
      <c r="Y861" t="b">
        <v>0</v>
      </c>
    </row>
    <row r="862" spans="1:25" x14ac:dyDescent="0.55000000000000004">
      <c r="A862" t="s">
        <v>94</v>
      </c>
      <c r="B862" t="s">
        <v>173</v>
      </c>
      <c r="C862" t="s">
        <v>96</v>
      </c>
      <c r="D862" t="s">
        <v>174</v>
      </c>
      <c r="E862" t="s">
        <v>245</v>
      </c>
      <c r="F862" t="s">
        <v>139</v>
      </c>
      <c r="G862">
        <v>23249</v>
      </c>
      <c r="H862" t="s">
        <v>250</v>
      </c>
      <c r="I862">
        <v>2</v>
      </c>
      <c r="J862" t="s">
        <v>103</v>
      </c>
      <c r="K862" s="19">
        <v>0.25</v>
      </c>
      <c r="L862" s="19">
        <v>0.60416666666666663</v>
      </c>
      <c r="M862">
        <v>8.5</v>
      </c>
      <c r="N862">
        <v>0</v>
      </c>
      <c r="O862">
        <v>48</v>
      </c>
      <c r="P862">
        <v>76</v>
      </c>
      <c r="Q862" t="s">
        <v>99</v>
      </c>
      <c r="R862">
        <v>30</v>
      </c>
      <c r="S862" s="19">
        <v>0.45833333333333331</v>
      </c>
      <c r="T862">
        <v>0</v>
      </c>
      <c r="U862" s="19">
        <v>0.54166666666666663</v>
      </c>
      <c r="V862" t="s">
        <v>99</v>
      </c>
      <c r="W862">
        <v>8</v>
      </c>
      <c r="X862" t="s">
        <v>102</v>
      </c>
      <c r="Y862" t="b">
        <v>0</v>
      </c>
    </row>
    <row r="863" spans="1:25" x14ac:dyDescent="0.55000000000000004">
      <c r="A863" t="s">
        <v>94</v>
      </c>
      <c r="B863" t="s">
        <v>173</v>
      </c>
      <c r="C863" t="s">
        <v>96</v>
      </c>
      <c r="D863" t="s">
        <v>174</v>
      </c>
      <c r="E863" t="s">
        <v>245</v>
      </c>
      <c r="F863" t="s">
        <v>139</v>
      </c>
      <c r="G863">
        <v>26243</v>
      </c>
      <c r="H863" t="s">
        <v>253</v>
      </c>
      <c r="I863">
        <v>2</v>
      </c>
      <c r="J863" t="s">
        <v>101</v>
      </c>
      <c r="K863" s="19">
        <v>0.25</v>
      </c>
      <c r="L863" s="19">
        <v>0.60416666666666663</v>
      </c>
      <c r="M863">
        <v>8.5</v>
      </c>
      <c r="N863">
        <v>309.60000000000002</v>
      </c>
      <c r="O863">
        <v>39.5</v>
      </c>
      <c r="P863">
        <v>76</v>
      </c>
      <c r="Q863" t="s">
        <v>99</v>
      </c>
      <c r="R863">
        <v>30</v>
      </c>
      <c r="S863" s="19">
        <v>0.45833333333333331</v>
      </c>
      <c r="T863">
        <v>0</v>
      </c>
      <c r="U863" s="19">
        <v>0.54166666666666663</v>
      </c>
      <c r="V863" t="s">
        <v>99</v>
      </c>
      <c r="W863">
        <v>8</v>
      </c>
      <c r="X863" t="s">
        <v>102</v>
      </c>
      <c r="Y863" t="b">
        <v>0</v>
      </c>
    </row>
    <row r="864" spans="1:25" x14ac:dyDescent="0.55000000000000004">
      <c r="A864" t="s">
        <v>94</v>
      </c>
      <c r="B864" t="s">
        <v>173</v>
      </c>
      <c r="C864" t="s">
        <v>96</v>
      </c>
      <c r="D864" t="s">
        <v>174</v>
      </c>
      <c r="E864" t="s">
        <v>245</v>
      </c>
      <c r="F864" t="s">
        <v>139</v>
      </c>
      <c r="G864">
        <v>26243</v>
      </c>
      <c r="H864" t="s">
        <v>253</v>
      </c>
      <c r="I864">
        <v>2</v>
      </c>
      <c r="J864" t="s">
        <v>104</v>
      </c>
      <c r="K864" s="19">
        <v>0.25</v>
      </c>
      <c r="L864" s="19">
        <v>0.60416666666666663</v>
      </c>
      <c r="M864">
        <v>8.5</v>
      </c>
      <c r="N864">
        <v>309.60000000000002</v>
      </c>
      <c r="O864">
        <v>39.5</v>
      </c>
      <c r="P864">
        <v>76</v>
      </c>
      <c r="Q864" t="s">
        <v>99</v>
      </c>
      <c r="R864">
        <v>30</v>
      </c>
      <c r="S864" s="19">
        <v>0.45833333333333331</v>
      </c>
      <c r="T864">
        <v>0</v>
      </c>
      <c r="U864" s="19">
        <v>0.54166666666666663</v>
      </c>
      <c r="V864" t="s">
        <v>99</v>
      </c>
      <c r="W864">
        <v>8</v>
      </c>
      <c r="X864" t="s">
        <v>102</v>
      </c>
      <c r="Y864" t="b">
        <v>0</v>
      </c>
    </row>
    <row r="865" spans="1:25" x14ac:dyDescent="0.55000000000000004">
      <c r="A865" t="s">
        <v>94</v>
      </c>
      <c r="B865" t="s">
        <v>173</v>
      </c>
      <c r="C865" t="s">
        <v>96</v>
      </c>
      <c r="D865" t="s">
        <v>174</v>
      </c>
      <c r="E865" t="s">
        <v>245</v>
      </c>
      <c r="F865" t="s">
        <v>139</v>
      </c>
      <c r="G865">
        <v>26319</v>
      </c>
      <c r="H865" t="s">
        <v>254</v>
      </c>
      <c r="I865">
        <v>1</v>
      </c>
      <c r="J865" t="s">
        <v>107</v>
      </c>
      <c r="K865" s="19">
        <v>0.25</v>
      </c>
      <c r="L865" s="19">
        <v>0.60416666666666663</v>
      </c>
      <c r="M865">
        <v>8.5</v>
      </c>
      <c r="N865">
        <v>309.60000000000002</v>
      </c>
      <c r="O865">
        <v>48</v>
      </c>
      <c r="P865">
        <v>76</v>
      </c>
      <c r="Q865" t="s">
        <v>99</v>
      </c>
      <c r="R865">
        <v>30</v>
      </c>
      <c r="S865" s="19">
        <v>0.45833333333333331</v>
      </c>
      <c r="T865">
        <v>0</v>
      </c>
      <c r="U865" s="19">
        <v>0.54166666666666663</v>
      </c>
      <c r="V865" t="s">
        <v>99</v>
      </c>
      <c r="W865">
        <v>8</v>
      </c>
      <c r="X865" t="s">
        <v>102</v>
      </c>
      <c r="Y865" t="b">
        <v>0</v>
      </c>
    </row>
    <row r="866" spans="1:25" x14ac:dyDescent="0.55000000000000004">
      <c r="A866" t="s">
        <v>94</v>
      </c>
      <c r="B866" t="s">
        <v>173</v>
      </c>
      <c r="C866" t="s">
        <v>96</v>
      </c>
      <c r="D866" t="s">
        <v>174</v>
      </c>
      <c r="E866" t="s">
        <v>245</v>
      </c>
      <c r="F866" t="s">
        <v>139</v>
      </c>
      <c r="G866">
        <v>26319</v>
      </c>
      <c r="H866" t="s">
        <v>254</v>
      </c>
      <c r="I866">
        <v>1</v>
      </c>
      <c r="J866" t="s">
        <v>116</v>
      </c>
      <c r="K866" s="19">
        <v>0.25</v>
      </c>
      <c r="L866" s="19">
        <v>0.60416666666666663</v>
      </c>
      <c r="M866">
        <v>8.5</v>
      </c>
      <c r="N866">
        <v>541.79999999999995</v>
      </c>
      <c r="O866">
        <v>48</v>
      </c>
      <c r="P866">
        <v>76</v>
      </c>
      <c r="Q866" t="s">
        <v>99</v>
      </c>
      <c r="R866">
        <v>30</v>
      </c>
      <c r="S866" s="19">
        <v>0.45833333333333331</v>
      </c>
      <c r="T866">
        <v>0</v>
      </c>
      <c r="U866" s="19">
        <v>0.54166666666666663</v>
      </c>
      <c r="V866" t="s">
        <v>99</v>
      </c>
      <c r="W866">
        <v>8</v>
      </c>
      <c r="X866" t="s">
        <v>102</v>
      </c>
      <c r="Y866" t="b">
        <v>0</v>
      </c>
    </row>
    <row r="867" spans="1:25" x14ac:dyDescent="0.55000000000000004">
      <c r="A867" t="s">
        <v>94</v>
      </c>
      <c r="B867" t="s">
        <v>173</v>
      </c>
      <c r="C867" t="s">
        <v>96</v>
      </c>
      <c r="D867" t="s">
        <v>174</v>
      </c>
      <c r="E867" t="s">
        <v>245</v>
      </c>
      <c r="F867" t="s">
        <v>139</v>
      </c>
      <c r="G867">
        <v>26319</v>
      </c>
      <c r="H867" t="s">
        <v>254</v>
      </c>
      <c r="I867">
        <v>2</v>
      </c>
      <c r="J867" t="s">
        <v>107</v>
      </c>
      <c r="K867" s="19">
        <v>0.25</v>
      </c>
      <c r="L867" s="19">
        <v>0.60416666666666663</v>
      </c>
      <c r="M867">
        <v>8.5</v>
      </c>
      <c r="N867">
        <v>309.60000000000002</v>
      </c>
      <c r="O867">
        <v>48</v>
      </c>
      <c r="P867">
        <v>76</v>
      </c>
      <c r="Q867" t="s">
        <v>99</v>
      </c>
      <c r="R867">
        <v>30</v>
      </c>
      <c r="S867" s="19">
        <v>0.45833333333333331</v>
      </c>
      <c r="T867">
        <v>0</v>
      </c>
      <c r="U867" s="19">
        <v>0.54166666666666663</v>
      </c>
      <c r="V867" t="s">
        <v>99</v>
      </c>
      <c r="W867">
        <v>8</v>
      </c>
      <c r="X867" t="s">
        <v>102</v>
      </c>
      <c r="Y867" t="b">
        <v>0</v>
      </c>
    </row>
    <row r="868" spans="1:25" x14ac:dyDescent="0.55000000000000004">
      <c r="A868" t="s">
        <v>94</v>
      </c>
      <c r="B868" t="s">
        <v>173</v>
      </c>
      <c r="C868" t="s">
        <v>96</v>
      </c>
      <c r="D868" t="s">
        <v>174</v>
      </c>
      <c r="E868" t="s">
        <v>245</v>
      </c>
      <c r="F868" t="s">
        <v>141</v>
      </c>
      <c r="G868">
        <v>19843</v>
      </c>
      <c r="H868" t="s">
        <v>256</v>
      </c>
      <c r="I868">
        <v>1</v>
      </c>
      <c r="J868" t="s">
        <v>101</v>
      </c>
      <c r="K868" s="19">
        <v>0.25</v>
      </c>
      <c r="L868" s="19">
        <v>0.60416666666666663</v>
      </c>
      <c r="M868">
        <v>8.5</v>
      </c>
      <c r="N868">
        <v>0</v>
      </c>
      <c r="O868">
        <v>70</v>
      </c>
      <c r="P868">
        <v>76</v>
      </c>
      <c r="Q868" t="s">
        <v>99</v>
      </c>
      <c r="R868">
        <v>30</v>
      </c>
      <c r="S868" s="19">
        <v>0.45833333333333331</v>
      </c>
      <c r="T868">
        <v>0</v>
      </c>
      <c r="U868" s="19">
        <v>0</v>
      </c>
      <c r="V868" t="s">
        <v>99</v>
      </c>
      <c r="W868">
        <v>8</v>
      </c>
      <c r="X868" t="s">
        <v>102</v>
      </c>
      <c r="Y868" t="b">
        <v>0</v>
      </c>
    </row>
    <row r="869" spans="1:25" x14ac:dyDescent="0.55000000000000004">
      <c r="A869" t="s">
        <v>94</v>
      </c>
      <c r="B869" t="s">
        <v>173</v>
      </c>
      <c r="C869" t="s">
        <v>96</v>
      </c>
      <c r="D869" t="s">
        <v>174</v>
      </c>
      <c r="E869" t="s">
        <v>245</v>
      </c>
      <c r="F869" t="s">
        <v>141</v>
      </c>
      <c r="G869">
        <v>19843</v>
      </c>
      <c r="H869" t="s">
        <v>256</v>
      </c>
      <c r="I869">
        <v>1</v>
      </c>
      <c r="J869" t="s">
        <v>115</v>
      </c>
      <c r="K869" s="19">
        <v>0.25</v>
      </c>
      <c r="L869" s="19">
        <v>0.60416666666666663</v>
      </c>
      <c r="M869">
        <v>8.5</v>
      </c>
      <c r="N869">
        <v>0</v>
      </c>
      <c r="O869">
        <v>70</v>
      </c>
      <c r="P869">
        <v>76</v>
      </c>
      <c r="Q869" t="s">
        <v>99</v>
      </c>
      <c r="R869">
        <v>30</v>
      </c>
      <c r="S869" s="19">
        <v>0.45833333333333331</v>
      </c>
      <c r="T869">
        <v>0</v>
      </c>
      <c r="U869" s="19">
        <v>0.54166666666666663</v>
      </c>
      <c r="V869" t="s">
        <v>99</v>
      </c>
      <c r="W869">
        <v>8</v>
      </c>
      <c r="X869" t="s">
        <v>102</v>
      </c>
      <c r="Y869" t="b">
        <v>0</v>
      </c>
    </row>
    <row r="870" spans="1:25" x14ac:dyDescent="0.55000000000000004">
      <c r="A870" t="s">
        <v>94</v>
      </c>
      <c r="B870" t="s">
        <v>173</v>
      </c>
      <c r="C870" t="s">
        <v>96</v>
      </c>
      <c r="D870" t="s">
        <v>174</v>
      </c>
      <c r="E870" t="s">
        <v>245</v>
      </c>
      <c r="F870" t="s">
        <v>141</v>
      </c>
      <c r="G870">
        <v>19843</v>
      </c>
      <c r="H870" t="s">
        <v>256</v>
      </c>
      <c r="I870">
        <v>1</v>
      </c>
      <c r="J870" t="s">
        <v>116</v>
      </c>
      <c r="K870" s="19">
        <v>0.25</v>
      </c>
      <c r="L870" s="19">
        <v>0.60416666666666663</v>
      </c>
      <c r="M870">
        <v>8.5</v>
      </c>
      <c r="N870">
        <v>0</v>
      </c>
      <c r="O870">
        <v>70</v>
      </c>
      <c r="P870">
        <v>76</v>
      </c>
      <c r="Q870" t="s">
        <v>99</v>
      </c>
      <c r="R870">
        <v>30</v>
      </c>
      <c r="S870" s="19">
        <v>0.45833333333333331</v>
      </c>
      <c r="T870">
        <v>0</v>
      </c>
      <c r="U870" s="19">
        <v>0.54166666666666663</v>
      </c>
      <c r="V870" t="s">
        <v>99</v>
      </c>
      <c r="W870">
        <v>8</v>
      </c>
      <c r="X870" t="s">
        <v>102</v>
      </c>
      <c r="Y870" t="b">
        <v>0</v>
      </c>
    </row>
    <row r="871" spans="1:25" x14ac:dyDescent="0.55000000000000004">
      <c r="A871" t="s">
        <v>94</v>
      </c>
      <c r="B871" t="s">
        <v>173</v>
      </c>
      <c r="C871" t="s">
        <v>96</v>
      </c>
      <c r="D871" t="s">
        <v>174</v>
      </c>
      <c r="E871" t="s">
        <v>245</v>
      </c>
      <c r="F871" t="s">
        <v>141</v>
      </c>
      <c r="G871">
        <v>19843</v>
      </c>
      <c r="H871" t="s">
        <v>256</v>
      </c>
      <c r="I871">
        <v>2</v>
      </c>
      <c r="J871" t="s">
        <v>115</v>
      </c>
      <c r="K871" s="19">
        <v>0.25</v>
      </c>
      <c r="L871" s="19">
        <v>0.60416666666666663</v>
      </c>
      <c r="M871">
        <v>8.5</v>
      </c>
      <c r="N871">
        <v>0</v>
      </c>
      <c r="O871">
        <v>70</v>
      </c>
      <c r="P871">
        <v>76</v>
      </c>
      <c r="Q871" t="s">
        <v>99</v>
      </c>
      <c r="R871">
        <v>30</v>
      </c>
      <c r="S871" s="19">
        <v>0.45833333333333331</v>
      </c>
      <c r="T871">
        <v>0</v>
      </c>
      <c r="U871" s="19">
        <v>0.54166666666666663</v>
      </c>
      <c r="V871" t="s">
        <v>99</v>
      </c>
      <c r="W871">
        <v>8</v>
      </c>
      <c r="X871" t="s">
        <v>102</v>
      </c>
      <c r="Y871" t="b">
        <v>0</v>
      </c>
    </row>
    <row r="872" spans="1:25" x14ac:dyDescent="0.55000000000000004">
      <c r="A872" t="s">
        <v>94</v>
      </c>
      <c r="B872" t="s">
        <v>173</v>
      </c>
      <c r="C872" t="s">
        <v>96</v>
      </c>
      <c r="D872" t="s">
        <v>174</v>
      </c>
      <c r="E872" t="s">
        <v>245</v>
      </c>
      <c r="F872" t="s">
        <v>141</v>
      </c>
      <c r="G872">
        <v>19843</v>
      </c>
      <c r="H872" t="s">
        <v>256</v>
      </c>
      <c r="I872">
        <v>2</v>
      </c>
      <c r="J872" t="s">
        <v>116</v>
      </c>
      <c r="K872" s="19">
        <v>0.25</v>
      </c>
      <c r="L872" s="19">
        <v>0.60416666666666663</v>
      </c>
      <c r="M872">
        <v>8.5</v>
      </c>
      <c r="N872">
        <v>0</v>
      </c>
      <c r="O872">
        <v>70</v>
      </c>
      <c r="P872">
        <v>76</v>
      </c>
      <c r="Q872" t="s">
        <v>99</v>
      </c>
      <c r="R872">
        <v>30</v>
      </c>
      <c r="S872" s="19">
        <v>0.45833333333333331</v>
      </c>
      <c r="T872">
        <v>0</v>
      </c>
      <c r="U872" s="19">
        <v>0.54166666666666663</v>
      </c>
      <c r="V872" t="s">
        <v>99</v>
      </c>
      <c r="W872">
        <v>8</v>
      </c>
      <c r="X872" t="s">
        <v>102</v>
      </c>
      <c r="Y872" t="b">
        <v>0</v>
      </c>
    </row>
    <row r="873" spans="1:25" x14ac:dyDescent="0.55000000000000004">
      <c r="A873" t="s">
        <v>94</v>
      </c>
      <c r="B873" t="s">
        <v>173</v>
      </c>
      <c r="C873" t="s">
        <v>96</v>
      </c>
      <c r="D873" t="s">
        <v>174</v>
      </c>
      <c r="E873" t="s">
        <v>245</v>
      </c>
      <c r="F873" t="s">
        <v>141</v>
      </c>
      <c r="G873">
        <v>20862</v>
      </c>
      <c r="H873" t="s">
        <v>247</v>
      </c>
      <c r="I873">
        <v>2</v>
      </c>
      <c r="J873" t="s">
        <v>107</v>
      </c>
      <c r="K873" s="19">
        <v>0.25</v>
      </c>
      <c r="L873" s="19">
        <v>0.60416666666666663</v>
      </c>
      <c r="M873">
        <v>8.5</v>
      </c>
      <c r="N873">
        <v>309.60000000000002</v>
      </c>
      <c r="O873">
        <v>70</v>
      </c>
      <c r="P873">
        <v>76</v>
      </c>
      <c r="Q873" t="s">
        <v>99</v>
      </c>
      <c r="R873">
        <v>30</v>
      </c>
      <c r="S873" s="19">
        <v>0.45833333333333331</v>
      </c>
      <c r="T873">
        <v>0</v>
      </c>
      <c r="U873" s="19">
        <v>0.54166666666666663</v>
      </c>
      <c r="V873" t="s">
        <v>99</v>
      </c>
      <c r="W873">
        <v>8</v>
      </c>
      <c r="X873" t="s">
        <v>102</v>
      </c>
      <c r="Y873" t="b">
        <v>0</v>
      </c>
    </row>
    <row r="874" spans="1:25" x14ac:dyDescent="0.55000000000000004">
      <c r="A874" t="s">
        <v>94</v>
      </c>
      <c r="B874" t="s">
        <v>173</v>
      </c>
      <c r="C874" t="s">
        <v>96</v>
      </c>
      <c r="D874" t="s">
        <v>174</v>
      </c>
      <c r="E874" t="s">
        <v>245</v>
      </c>
      <c r="F874" t="s">
        <v>141</v>
      </c>
      <c r="G874">
        <v>23091</v>
      </c>
      <c r="H874" t="s">
        <v>257</v>
      </c>
      <c r="I874">
        <v>1</v>
      </c>
      <c r="J874" t="s">
        <v>104</v>
      </c>
      <c r="K874" s="19">
        <v>0.25</v>
      </c>
      <c r="L874" s="19">
        <v>0.60416666666666663</v>
      </c>
      <c r="M874">
        <v>8.5</v>
      </c>
      <c r="N874">
        <v>0</v>
      </c>
      <c r="O874">
        <v>31.5</v>
      </c>
      <c r="P874">
        <v>76</v>
      </c>
      <c r="Q874" t="s">
        <v>99</v>
      </c>
      <c r="R874">
        <v>30</v>
      </c>
      <c r="S874" s="19">
        <v>0.45833333333333331</v>
      </c>
      <c r="T874">
        <v>0</v>
      </c>
      <c r="U874" s="19">
        <v>0</v>
      </c>
      <c r="V874" t="s">
        <v>99</v>
      </c>
      <c r="W874">
        <v>8</v>
      </c>
      <c r="X874" t="s">
        <v>102</v>
      </c>
      <c r="Y874" t="b">
        <v>0</v>
      </c>
    </row>
    <row r="875" spans="1:25" x14ac:dyDescent="0.55000000000000004">
      <c r="A875" t="s">
        <v>94</v>
      </c>
      <c r="B875" t="s">
        <v>173</v>
      </c>
      <c r="C875" t="s">
        <v>96</v>
      </c>
      <c r="D875" t="s">
        <v>174</v>
      </c>
      <c r="E875" t="s">
        <v>245</v>
      </c>
      <c r="F875" t="s">
        <v>141</v>
      </c>
      <c r="G875">
        <v>23091</v>
      </c>
      <c r="H875" t="s">
        <v>257</v>
      </c>
      <c r="I875">
        <v>2</v>
      </c>
      <c r="J875" t="s">
        <v>104</v>
      </c>
      <c r="K875" s="19">
        <v>0.25</v>
      </c>
      <c r="L875" s="19">
        <v>0.60416666666666663</v>
      </c>
      <c r="M875">
        <v>8.5</v>
      </c>
      <c r="N875">
        <v>0</v>
      </c>
      <c r="O875">
        <v>31.5</v>
      </c>
      <c r="P875">
        <v>76</v>
      </c>
      <c r="Q875" t="s">
        <v>99</v>
      </c>
      <c r="R875">
        <v>30</v>
      </c>
      <c r="S875" s="19">
        <v>0.45833333333333331</v>
      </c>
      <c r="T875">
        <v>0</v>
      </c>
      <c r="U875" s="19">
        <v>0</v>
      </c>
      <c r="V875" t="s">
        <v>99</v>
      </c>
      <c r="W875">
        <v>8</v>
      </c>
      <c r="X875" t="s">
        <v>102</v>
      </c>
      <c r="Y875" t="b">
        <v>0</v>
      </c>
    </row>
    <row r="876" spans="1:25" x14ac:dyDescent="0.55000000000000004">
      <c r="A876" t="s">
        <v>94</v>
      </c>
      <c r="B876" t="s">
        <v>173</v>
      </c>
      <c r="C876" t="s">
        <v>96</v>
      </c>
      <c r="D876" t="s">
        <v>174</v>
      </c>
      <c r="E876" t="s">
        <v>245</v>
      </c>
      <c r="F876" t="s">
        <v>141</v>
      </c>
      <c r="G876">
        <v>23091</v>
      </c>
      <c r="H876" t="s">
        <v>257</v>
      </c>
      <c r="I876">
        <v>2</v>
      </c>
      <c r="J876" t="s">
        <v>105</v>
      </c>
      <c r="K876" s="19">
        <v>0.25</v>
      </c>
      <c r="L876" s="19">
        <v>0.60416666666666663</v>
      </c>
      <c r="M876">
        <v>8.5</v>
      </c>
      <c r="N876">
        <v>0</v>
      </c>
      <c r="O876">
        <v>31.5</v>
      </c>
      <c r="P876">
        <v>76</v>
      </c>
      <c r="Q876" t="s">
        <v>99</v>
      </c>
      <c r="R876">
        <v>30</v>
      </c>
      <c r="S876" s="19">
        <v>0.45833333333333331</v>
      </c>
      <c r="T876">
        <v>0</v>
      </c>
      <c r="U876" s="19">
        <v>0</v>
      </c>
      <c r="V876" t="s">
        <v>99</v>
      </c>
      <c r="W876">
        <v>8</v>
      </c>
      <c r="X876" t="s">
        <v>102</v>
      </c>
      <c r="Y876" t="b">
        <v>0</v>
      </c>
    </row>
    <row r="877" spans="1:25" x14ac:dyDescent="0.55000000000000004">
      <c r="A877" t="s">
        <v>94</v>
      </c>
      <c r="B877" t="s">
        <v>173</v>
      </c>
      <c r="C877" t="s">
        <v>96</v>
      </c>
      <c r="D877" t="s">
        <v>174</v>
      </c>
      <c r="E877" t="s">
        <v>245</v>
      </c>
      <c r="F877" t="s">
        <v>141</v>
      </c>
      <c r="G877">
        <v>23249</v>
      </c>
      <c r="H877" t="s">
        <v>250</v>
      </c>
      <c r="I877">
        <v>1</v>
      </c>
      <c r="J877" t="s">
        <v>105</v>
      </c>
      <c r="K877" s="19">
        <v>0.25</v>
      </c>
      <c r="L877" s="19">
        <v>0.60416666666666663</v>
      </c>
      <c r="M877">
        <v>8.5</v>
      </c>
      <c r="N877">
        <v>0</v>
      </c>
      <c r="O877">
        <v>48</v>
      </c>
      <c r="P877">
        <v>76</v>
      </c>
      <c r="Q877" t="s">
        <v>99</v>
      </c>
      <c r="R877">
        <v>30</v>
      </c>
      <c r="S877" s="19">
        <v>0.45833333333333331</v>
      </c>
      <c r="T877">
        <v>0</v>
      </c>
      <c r="U877" s="19">
        <v>0.54166666666666663</v>
      </c>
      <c r="V877" t="s">
        <v>99</v>
      </c>
      <c r="W877">
        <v>8</v>
      </c>
      <c r="X877" t="s">
        <v>102</v>
      </c>
      <c r="Y877" t="b">
        <v>0</v>
      </c>
    </row>
    <row r="878" spans="1:25" x14ac:dyDescent="0.55000000000000004">
      <c r="A878" t="s">
        <v>94</v>
      </c>
      <c r="B878" t="s">
        <v>173</v>
      </c>
      <c r="C878" t="s">
        <v>96</v>
      </c>
      <c r="D878" t="s">
        <v>174</v>
      </c>
      <c r="E878" t="s">
        <v>245</v>
      </c>
      <c r="F878" t="s">
        <v>141</v>
      </c>
      <c r="G878">
        <v>23673</v>
      </c>
      <c r="H878" t="s">
        <v>251</v>
      </c>
      <c r="I878">
        <v>2</v>
      </c>
      <c r="J878" t="s">
        <v>101</v>
      </c>
      <c r="K878" s="19">
        <v>0.25</v>
      </c>
      <c r="L878" s="19">
        <v>0.60416666666666663</v>
      </c>
      <c r="M878">
        <v>8.5</v>
      </c>
      <c r="N878">
        <v>309.60000000000002</v>
      </c>
      <c r="O878">
        <v>54</v>
      </c>
      <c r="P878">
        <v>76</v>
      </c>
      <c r="Q878" t="s">
        <v>99</v>
      </c>
      <c r="R878">
        <v>30</v>
      </c>
      <c r="S878" s="19">
        <v>0.45833333333333331</v>
      </c>
      <c r="T878">
        <v>0</v>
      </c>
      <c r="U878" s="19">
        <v>0</v>
      </c>
      <c r="V878" t="s">
        <v>99</v>
      </c>
      <c r="W878">
        <v>8</v>
      </c>
      <c r="X878" t="s">
        <v>102</v>
      </c>
      <c r="Y878" t="b">
        <v>0</v>
      </c>
    </row>
    <row r="879" spans="1:25" x14ac:dyDescent="0.55000000000000004">
      <c r="A879" t="s">
        <v>94</v>
      </c>
      <c r="B879" t="s">
        <v>173</v>
      </c>
      <c r="C879" t="s">
        <v>96</v>
      </c>
      <c r="D879" t="s">
        <v>174</v>
      </c>
      <c r="E879" t="s">
        <v>245</v>
      </c>
      <c r="F879" t="s">
        <v>141</v>
      </c>
      <c r="G879">
        <v>24635</v>
      </c>
      <c r="H879" t="s">
        <v>252</v>
      </c>
      <c r="I879">
        <v>1</v>
      </c>
      <c r="J879" t="s">
        <v>107</v>
      </c>
      <c r="K879" s="19">
        <v>0.25</v>
      </c>
      <c r="L879" s="19">
        <v>0.60416666666666663</v>
      </c>
      <c r="M879">
        <v>8.5</v>
      </c>
      <c r="N879">
        <v>309.60000000000002</v>
      </c>
      <c r="O879">
        <v>47.5</v>
      </c>
      <c r="P879">
        <v>76</v>
      </c>
      <c r="Q879" t="s">
        <v>99</v>
      </c>
      <c r="R879">
        <v>30</v>
      </c>
      <c r="S879" s="19">
        <v>0.45833333333333331</v>
      </c>
      <c r="T879">
        <v>0</v>
      </c>
      <c r="U879" s="19">
        <v>0.54166666666666663</v>
      </c>
      <c r="V879" t="s">
        <v>99</v>
      </c>
      <c r="W879">
        <v>8</v>
      </c>
      <c r="X879" t="s">
        <v>102</v>
      </c>
      <c r="Y879" t="b">
        <v>0</v>
      </c>
    </row>
    <row r="880" spans="1:25" x14ac:dyDescent="0.55000000000000004">
      <c r="A880" t="s">
        <v>94</v>
      </c>
      <c r="B880" t="s">
        <v>173</v>
      </c>
      <c r="C880" t="s">
        <v>96</v>
      </c>
      <c r="D880" t="s">
        <v>174</v>
      </c>
      <c r="E880" t="s">
        <v>245</v>
      </c>
      <c r="F880" t="s">
        <v>141</v>
      </c>
      <c r="G880">
        <v>24635</v>
      </c>
      <c r="H880" t="s">
        <v>252</v>
      </c>
      <c r="I880">
        <v>1</v>
      </c>
      <c r="J880" t="s">
        <v>103</v>
      </c>
      <c r="K880" s="19">
        <v>0.25</v>
      </c>
      <c r="L880" s="19">
        <v>0.60416666666666663</v>
      </c>
      <c r="M880">
        <v>8.5</v>
      </c>
      <c r="N880">
        <v>309.60000000000002</v>
      </c>
      <c r="O880">
        <v>47.5</v>
      </c>
      <c r="P880">
        <v>76</v>
      </c>
      <c r="Q880" t="s">
        <v>99</v>
      </c>
      <c r="R880">
        <v>30</v>
      </c>
      <c r="S880" s="19">
        <v>0.45833333333333331</v>
      </c>
      <c r="T880">
        <v>0</v>
      </c>
      <c r="U880" s="19">
        <v>0.54166666666666663</v>
      </c>
      <c r="V880" t="s">
        <v>99</v>
      </c>
      <c r="W880">
        <v>8</v>
      </c>
      <c r="X880" t="s">
        <v>102</v>
      </c>
      <c r="Y880" t="b">
        <v>0</v>
      </c>
    </row>
    <row r="881" spans="1:25" x14ac:dyDescent="0.55000000000000004">
      <c r="A881" t="s">
        <v>94</v>
      </c>
      <c r="B881" t="s">
        <v>173</v>
      </c>
      <c r="C881" t="s">
        <v>96</v>
      </c>
      <c r="D881" t="s">
        <v>174</v>
      </c>
      <c r="E881" t="s">
        <v>245</v>
      </c>
      <c r="F881" t="s">
        <v>141</v>
      </c>
      <c r="G881">
        <v>26319</v>
      </c>
      <c r="H881" t="s">
        <v>254</v>
      </c>
      <c r="I881">
        <v>2</v>
      </c>
      <c r="J881" t="s">
        <v>103</v>
      </c>
      <c r="K881" s="19">
        <v>0.25</v>
      </c>
      <c r="L881" s="19">
        <v>0.60416666666666663</v>
      </c>
      <c r="M881">
        <v>8.5</v>
      </c>
      <c r="N881">
        <v>309.60000000000002</v>
      </c>
      <c r="O881">
        <v>48</v>
      </c>
      <c r="P881">
        <v>76</v>
      </c>
      <c r="Q881" t="s">
        <v>99</v>
      </c>
      <c r="R881">
        <v>30</v>
      </c>
      <c r="S881" s="19">
        <v>0.45833333333333331</v>
      </c>
      <c r="T881">
        <v>0</v>
      </c>
      <c r="U881" s="19">
        <v>0.54166666666666663</v>
      </c>
      <c r="V881" t="s">
        <v>99</v>
      </c>
      <c r="W881">
        <v>8</v>
      </c>
      <c r="X881" t="s">
        <v>102</v>
      </c>
      <c r="Y881" t="b">
        <v>0</v>
      </c>
    </row>
    <row r="882" spans="1:25" x14ac:dyDescent="0.55000000000000004">
      <c r="A882" t="s">
        <v>94</v>
      </c>
      <c r="B882" t="s">
        <v>173</v>
      </c>
      <c r="C882" t="s">
        <v>96</v>
      </c>
      <c r="D882" t="s">
        <v>174</v>
      </c>
      <c r="E882" t="s">
        <v>258</v>
      </c>
      <c r="F882" t="s">
        <v>118</v>
      </c>
      <c r="G882">
        <v>19843</v>
      </c>
      <c r="H882" t="s">
        <v>256</v>
      </c>
      <c r="I882">
        <v>2</v>
      </c>
      <c r="J882" t="s">
        <v>107</v>
      </c>
      <c r="K882" s="19">
        <v>0.58333333333333337</v>
      </c>
      <c r="L882" s="19">
        <v>0.91666666666666663</v>
      </c>
      <c r="M882">
        <v>8</v>
      </c>
      <c r="N882">
        <v>0</v>
      </c>
      <c r="O882">
        <v>70</v>
      </c>
      <c r="P882">
        <v>76</v>
      </c>
      <c r="Q882" t="s">
        <v>99</v>
      </c>
      <c r="R882">
        <v>30</v>
      </c>
      <c r="S882" s="19">
        <v>0.79166666666666663</v>
      </c>
      <c r="T882">
        <v>0</v>
      </c>
      <c r="U882" s="19">
        <v>0.54166666666666663</v>
      </c>
      <c r="V882" t="s">
        <v>99</v>
      </c>
      <c r="W882">
        <v>7.5</v>
      </c>
      <c r="X882" t="s">
        <v>102</v>
      </c>
      <c r="Y882" t="b">
        <v>0</v>
      </c>
    </row>
    <row r="883" spans="1:25" x14ac:dyDescent="0.55000000000000004">
      <c r="A883" t="s">
        <v>94</v>
      </c>
      <c r="B883" t="s">
        <v>173</v>
      </c>
      <c r="C883" t="s">
        <v>96</v>
      </c>
      <c r="D883" t="s">
        <v>174</v>
      </c>
      <c r="E883" t="s">
        <v>258</v>
      </c>
      <c r="F883" t="s">
        <v>118</v>
      </c>
      <c r="G883">
        <v>19843</v>
      </c>
      <c r="H883" t="s">
        <v>256</v>
      </c>
      <c r="I883">
        <v>2</v>
      </c>
      <c r="J883" t="s">
        <v>101</v>
      </c>
      <c r="K883" s="19">
        <v>0.58333333333333337</v>
      </c>
      <c r="L883" s="19">
        <v>0.91666666666666663</v>
      </c>
      <c r="M883">
        <v>8</v>
      </c>
      <c r="N883">
        <v>0</v>
      </c>
      <c r="O883">
        <v>70</v>
      </c>
      <c r="P883">
        <v>76</v>
      </c>
      <c r="Q883" t="s">
        <v>99</v>
      </c>
      <c r="R883">
        <v>30</v>
      </c>
      <c r="S883" s="19">
        <v>0.79166666666666663</v>
      </c>
      <c r="T883">
        <v>0</v>
      </c>
      <c r="U883" s="19">
        <v>0.54166666666666663</v>
      </c>
      <c r="V883" t="s">
        <v>99</v>
      </c>
      <c r="W883">
        <v>7.5</v>
      </c>
      <c r="X883" t="s">
        <v>102</v>
      </c>
      <c r="Y883" t="b">
        <v>0</v>
      </c>
    </row>
    <row r="884" spans="1:25" x14ac:dyDescent="0.55000000000000004">
      <c r="A884" t="s">
        <v>94</v>
      </c>
      <c r="B884" t="s">
        <v>173</v>
      </c>
      <c r="C884" t="s">
        <v>96</v>
      </c>
      <c r="D884" t="s">
        <v>174</v>
      </c>
      <c r="E884" t="s">
        <v>258</v>
      </c>
      <c r="F884" t="s">
        <v>118</v>
      </c>
      <c r="G884">
        <v>20950</v>
      </c>
      <c r="H884" t="s">
        <v>259</v>
      </c>
      <c r="I884">
        <v>1</v>
      </c>
      <c r="J884" t="s">
        <v>101</v>
      </c>
      <c r="K884" s="19">
        <v>0.58333333333333337</v>
      </c>
      <c r="L884" s="19">
        <v>0.91666666666666663</v>
      </c>
      <c r="M884">
        <v>8</v>
      </c>
      <c r="N884">
        <v>0</v>
      </c>
      <c r="O884">
        <v>52.5</v>
      </c>
      <c r="P884">
        <v>76</v>
      </c>
      <c r="Q884" t="s">
        <v>99</v>
      </c>
      <c r="R884">
        <v>30</v>
      </c>
      <c r="S884" s="19">
        <v>0.79166666666666663</v>
      </c>
      <c r="T884">
        <v>0</v>
      </c>
      <c r="U884" s="19">
        <v>0.54166666666666663</v>
      </c>
      <c r="V884" t="s">
        <v>99</v>
      </c>
      <c r="W884">
        <v>7.5</v>
      </c>
      <c r="X884" t="s">
        <v>102</v>
      </c>
      <c r="Y884" t="b">
        <v>0</v>
      </c>
    </row>
    <row r="885" spans="1:25" x14ac:dyDescent="0.55000000000000004">
      <c r="A885" t="s">
        <v>94</v>
      </c>
      <c r="B885" t="s">
        <v>173</v>
      </c>
      <c r="C885" t="s">
        <v>96</v>
      </c>
      <c r="D885" t="s">
        <v>174</v>
      </c>
      <c r="E885" t="s">
        <v>258</v>
      </c>
      <c r="F885" t="s">
        <v>118</v>
      </c>
      <c r="G885">
        <v>20950</v>
      </c>
      <c r="H885" t="s">
        <v>259</v>
      </c>
      <c r="I885">
        <v>1</v>
      </c>
      <c r="J885" t="s">
        <v>104</v>
      </c>
      <c r="K885" s="19">
        <v>0.58333333333333337</v>
      </c>
      <c r="L885" s="19">
        <v>0.91666666666666663</v>
      </c>
      <c r="M885">
        <v>8</v>
      </c>
      <c r="N885">
        <v>0</v>
      </c>
      <c r="O885">
        <v>52.5</v>
      </c>
      <c r="P885">
        <v>76</v>
      </c>
      <c r="Q885" t="s">
        <v>99</v>
      </c>
      <c r="R885">
        <v>30</v>
      </c>
      <c r="S885" s="19">
        <v>0.79166666666666663</v>
      </c>
      <c r="T885">
        <v>0</v>
      </c>
      <c r="U885" s="19">
        <v>0.54166666666666663</v>
      </c>
      <c r="V885" t="s">
        <v>99</v>
      </c>
      <c r="W885">
        <v>7.5</v>
      </c>
      <c r="X885" t="s">
        <v>102</v>
      </c>
      <c r="Y885" t="b">
        <v>0</v>
      </c>
    </row>
    <row r="886" spans="1:25" x14ac:dyDescent="0.55000000000000004">
      <c r="A886" t="s">
        <v>94</v>
      </c>
      <c r="B886" t="s">
        <v>173</v>
      </c>
      <c r="C886" t="s">
        <v>96</v>
      </c>
      <c r="D886" t="s">
        <v>174</v>
      </c>
      <c r="E886" t="s">
        <v>258</v>
      </c>
      <c r="F886" t="s">
        <v>118</v>
      </c>
      <c r="G886">
        <v>20950</v>
      </c>
      <c r="H886" t="s">
        <v>259</v>
      </c>
      <c r="I886">
        <v>1</v>
      </c>
      <c r="J886" t="s">
        <v>105</v>
      </c>
      <c r="K886" s="19">
        <v>0.58333333333333337</v>
      </c>
      <c r="L886" s="19">
        <v>0.91666666666666663</v>
      </c>
      <c r="M886">
        <v>8</v>
      </c>
      <c r="N886">
        <v>0</v>
      </c>
      <c r="O886">
        <v>52.5</v>
      </c>
      <c r="P886">
        <v>76</v>
      </c>
      <c r="Q886" t="s">
        <v>99</v>
      </c>
      <c r="R886">
        <v>30</v>
      </c>
      <c r="S886" s="19">
        <v>0.79166666666666663</v>
      </c>
      <c r="T886">
        <v>0</v>
      </c>
      <c r="U886" s="19">
        <v>0.54166666666666663</v>
      </c>
      <c r="V886" t="s">
        <v>99</v>
      </c>
      <c r="W886">
        <v>7.5</v>
      </c>
      <c r="X886" t="s">
        <v>102</v>
      </c>
      <c r="Y886" t="b">
        <v>0</v>
      </c>
    </row>
    <row r="887" spans="1:25" x14ac:dyDescent="0.55000000000000004">
      <c r="A887" t="s">
        <v>94</v>
      </c>
      <c r="B887" t="s">
        <v>173</v>
      </c>
      <c r="C887" t="s">
        <v>96</v>
      </c>
      <c r="D887" t="s">
        <v>174</v>
      </c>
      <c r="E887" t="s">
        <v>258</v>
      </c>
      <c r="F887" t="s">
        <v>118</v>
      </c>
      <c r="G887">
        <v>21327</v>
      </c>
      <c r="H887" t="s">
        <v>260</v>
      </c>
      <c r="I887">
        <v>1</v>
      </c>
      <c r="J887" t="s">
        <v>115</v>
      </c>
      <c r="K887" s="19">
        <v>0.58333333333333337</v>
      </c>
      <c r="L887" s="19">
        <v>0.91666666666666663</v>
      </c>
      <c r="M887">
        <v>8</v>
      </c>
      <c r="N887">
        <v>435.38</v>
      </c>
      <c r="O887">
        <v>60</v>
      </c>
      <c r="P887">
        <v>76</v>
      </c>
      <c r="Q887" t="s">
        <v>99</v>
      </c>
      <c r="R887">
        <v>30</v>
      </c>
      <c r="S887" s="19">
        <v>0.79166666666666663</v>
      </c>
      <c r="T887">
        <v>0</v>
      </c>
      <c r="U887" s="19">
        <v>0.54166666666666663</v>
      </c>
      <c r="V887" t="s">
        <v>99</v>
      </c>
      <c r="W887">
        <v>7.5</v>
      </c>
      <c r="X887" t="s">
        <v>102</v>
      </c>
      <c r="Y887" t="b">
        <v>0</v>
      </c>
    </row>
    <row r="888" spans="1:25" x14ac:dyDescent="0.55000000000000004">
      <c r="A888" t="s">
        <v>94</v>
      </c>
      <c r="B888" t="s">
        <v>173</v>
      </c>
      <c r="C888" t="s">
        <v>96</v>
      </c>
      <c r="D888" t="s">
        <v>174</v>
      </c>
      <c r="E888" t="s">
        <v>258</v>
      </c>
      <c r="F888" t="s">
        <v>118</v>
      </c>
      <c r="G888">
        <v>21327</v>
      </c>
      <c r="H888" t="s">
        <v>260</v>
      </c>
      <c r="I888">
        <v>1</v>
      </c>
      <c r="J888" t="s">
        <v>116</v>
      </c>
      <c r="K888" s="19">
        <v>0.58333333333333337</v>
      </c>
      <c r="L888" s="19">
        <v>0.91666666666666663</v>
      </c>
      <c r="M888">
        <v>8</v>
      </c>
      <c r="N888">
        <v>507.94</v>
      </c>
      <c r="O888">
        <v>60</v>
      </c>
      <c r="P888">
        <v>76</v>
      </c>
      <c r="Q888" t="s">
        <v>99</v>
      </c>
      <c r="R888">
        <v>30</v>
      </c>
      <c r="S888" s="19">
        <v>0.79166666666666663</v>
      </c>
      <c r="T888">
        <v>0</v>
      </c>
      <c r="U888" s="19">
        <v>0.54166666666666663</v>
      </c>
      <c r="V888" t="s">
        <v>99</v>
      </c>
      <c r="W888">
        <v>7.5</v>
      </c>
      <c r="X888" t="s">
        <v>102</v>
      </c>
      <c r="Y888" t="b">
        <v>0</v>
      </c>
    </row>
    <row r="889" spans="1:25" x14ac:dyDescent="0.55000000000000004">
      <c r="A889" t="s">
        <v>94</v>
      </c>
      <c r="B889" t="s">
        <v>173</v>
      </c>
      <c r="C889" t="s">
        <v>96</v>
      </c>
      <c r="D889" t="s">
        <v>174</v>
      </c>
      <c r="E889" t="s">
        <v>258</v>
      </c>
      <c r="F889" t="s">
        <v>118</v>
      </c>
      <c r="G889">
        <v>23673</v>
      </c>
      <c r="H889" t="s">
        <v>251</v>
      </c>
      <c r="I889">
        <v>2</v>
      </c>
      <c r="J889" t="s">
        <v>116</v>
      </c>
      <c r="K889" s="19">
        <v>0.58333333333333337</v>
      </c>
      <c r="L889" s="19">
        <v>0.91666666666666663</v>
      </c>
      <c r="M889">
        <v>8</v>
      </c>
      <c r="N889">
        <v>507.94</v>
      </c>
      <c r="O889">
        <v>54</v>
      </c>
      <c r="P889">
        <v>76</v>
      </c>
      <c r="Q889" t="s">
        <v>99</v>
      </c>
      <c r="R889">
        <v>30</v>
      </c>
      <c r="S889" s="19">
        <v>0.79166666666666663</v>
      </c>
      <c r="T889">
        <v>0</v>
      </c>
      <c r="U889" s="19">
        <v>0.54166666666666663</v>
      </c>
      <c r="V889" t="s">
        <v>99</v>
      </c>
      <c r="W889">
        <v>7.5</v>
      </c>
      <c r="X889" t="s">
        <v>102</v>
      </c>
      <c r="Y889" t="b">
        <v>0</v>
      </c>
    </row>
    <row r="890" spans="1:25" x14ac:dyDescent="0.55000000000000004">
      <c r="A890" t="s">
        <v>94</v>
      </c>
      <c r="B890" t="s">
        <v>173</v>
      </c>
      <c r="C890" t="s">
        <v>96</v>
      </c>
      <c r="D890" t="s">
        <v>174</v>
      </c>
      <c r="E890" t="s">
        <v>258</v>
      </c>
      <c r="F890" t="s">
        <v>118</v>
      </c>
      <c r="G890">
        <v>23973</v>
      </c>
      <c r="H890" t="s">
        <v>261</v>
      </c>
      <c r="I890">
        <v>1</v>
      </c>
      <c r="J890" t="s">
        <v>107</v>
      </c>
      <c r="K890" s="19">
        <v>0.58333333333333337</v>
      </c>
      <c r="L890" s="19">
        <v>0.91666666666666663</v>
      </c>
      <c r="M890">
        <v>8</v>
      </c>
      <c r="N890">
        <v>0</v>
      </c>
      <c r="O890">
        <v>52.5</v>
      </c>
      <c r="P890">
        <v>76</v>
      </c>
      <c r="Q890" t="s">
        <v>99</v>
      </c>
      <c r="R890">
        <v>30</v>
      </c>
      <c r="S890" s="19">
        <v>0.79166666666666663</v>
      </c>
      <c r="T890">
        <v>0</v>
      </c>
      <c r="U890" s="19">
        <v>0.54166666666666663</v>
      </c>
      <c r="V890" t="s">
        <v>99</v>
      </c>
      <c r="W890">
        <v>7.5</v>
      </c>
      <c r="X890" t="s">
        <v>102</v>
      </c>
      <c r="Y890" t="b">
        <v>0</v>
      </c>
    </row>
    <row r="891" spans="1:25" x14ac:dyDescent="0.55000000000000004">
      <c r="A891" t="s">
        <v>94</v>
      </c>
      <c r="B891" t="s">
        <v>173</v>
      </c>
      <c r="C891" t="s">
        <v>96</v>
      </c>
      <c r="D891" t="s">
        <v>174</v>
      </c>
      <c r="E891" t="s">
        <v>258</v>
      </c>
      <c r="F891" t="s">
        <v>118</v>
      </c>
      <c r="G891">
        <v>23973</v>
      </c>
      <c r="H891" t="s">
        <v>261</v>
      </c>
      <c r="I891">
        <v>1</v>
      </c>
      <c r="J891" t="s">
        <v>103</v>
      </c>
      <c r="K891" s="19">
        <v>0.58333333333333337</v>
      </c>
      <c r="L891" s="19">
        <v>0.91666666666666663</v>
      </c>
      <c r="M891">
        <v>8</v>
      </c>
      <c r="N891">
        <v>0</v>
      </c>
      <c r="O891">
        <v>52.5</v>
      </c>
      <c r="P891">
        <v>76</v>
      </c>
      <c r="Q891" t="s">
        <v>99</v>
      </c>
      <c r="R891">
        <v>30</v>
      </c>
      <c r="S891" s="19">
        <v>0.79166666666666663</v>
      </c>
      <c r="T891">
        <v>0</v>
      </c>
      <c r="U891" s="19">
        <v>0.54166666666666663</v>
      </c>
      <c r="V891" t="s">
        <v>99</v>
      </c>
      <c r="W891">
        <v>7.5</v>
      </c>
      <c r="X891" t="s">
        <v>102</v>
      </c>
      <c r="Y891" t="b">
        <v>0</v>
      </c>
    </row>
    <row r="892" spans="1:25" x14ac:dyDescent="0.55000000000000004">
      <c r="A892" t="s">
        <v>94</v>
      </c>
      <c r="B892" t="s">
        <v>173</v>
      </c>
      <c r="C892" t="s">
        <v>96</v>
      </c>
      <c r="D892" t="s">
        <v>174</v>
      </c>
      <c r="E892" t="s">
        <v>258</v>
      </c>
      <c r="F892" t="s">
        <v>118</v>
      </c>
      <c r="G892">
        <v>23973</v>
      </c>
      <c r="H892" t="s">
        <v>261</v>
      </c>
      <c r="I892">
        <v>2</v>
      </c>
      <c r="J892" t="s">
        <v>103</v>
      </c>
      <c r="K892" s="19">
        <v>0.58333333333333337</v>
      </c>
      <c r="L892" s="19">
        <v>0.91666666666666663</v>
      </c>
      <c r="M892">
        <v>8</v>
      </c>
      <c r="N892">
        <v>0</v>
      </c>
      <c r="O892">
        <v>52.5</v>
      </c>
      <c r="P892">
        <v>76</v>
      </c>
      <c r="Q892" t="s">
        <v>99</v>
      </c>
      <c r="R892">
        <v>30</v>
      </c>
      <c r="S892" s="19">
        <v>0.79166666666666663</v>
      </c>
      <c r="T892">
        <v>0</v>
      </c>
      <c r="U892" s="19">
        <v>0.54166666666666663</v>
      </c>
      <c r="V892" t="s">
        <v>99</v>
      </c>
      <c r="W892">
        <v>7.5</v>
      </c>
      <c r="X892" t="s">
        <v>102</v>
      </c>
      <c r="Y892" t="b">
        <v>0</v>
      </c>
    </row>
    <row r="893" spans="1:25" x14ac:dyDescent="0.55000000000000004">
      <c r="A893" t="s">
        <v>94</v>
      </c>
      <c r="B893" t="s">
        <v>173</v>
      </c>
      <c r="C893" t="s">
        <v>96</v>
      </c>
      <c r="D893" t="s">
        <v>174</v>
      </c>
      <c r="E893" t="s">
        <v>258</v>
      </c>
      <c r="F893" t="s">
        <v>118</v>
      </c>
      <c r="G893">
        <v>23975</v>
      </c>
      <c r="H893" t="s">
        <v>262</v>
      </c>
      <c r="I893">
        <v>2</v>
      </c>
      <c r="J893" t="s">
        <v>115</v>
      </c>
      <c r="K893" s="19">
        <v>0.58333333333333337</v>
      </c>
      <c r="L893" s="19">
        <v>0.91666666666666663</v>
      </c>
      <c r="M893">
        <v>8</v>
      </c>
      <c r="N893">
        <v>410.51</v>
      </c>
      <c r="O893">
        <v>45</v>
      </c>
      <c r="P893">
        <v>76</v>
      </c>
      <c r="Q893" t="s">
        <v>99</v>
      </c>
      <c r="R893">
        <v>30</v>
      </c>
      <c r="S893" s="19">
        <v>0.79166666666666663</v>
      </c>
      <c r="T893">
        <v>0</v>
      </c>
      <c r="U893" s="19">
        <v>0.54166666666666663</v>
      </c>
      <c r="V893" t="s">
        <v>99</v>
      </c>
      <c r="W893">
        <v>7.5</v>
      </c>
      <c r="X893" t="s">
        <v>102</v>
      </c>
      <c r="Y893" t="b">
        <v>0</v>
      </c>
    </row>
    <row r="894" spans="1:25" x14ac:dyDescent="0.55000000000000004">
      <c r="A894" t="s">
        <v>94</v>
      </c>
      <c r="B894" t="s">
        <v>173</v>
      </c>
      <c r="C894" t="s">
        <v>96</v>
      </c>
      <c r="D894" t="s">
        <v>174</v>
      </c>
      <c r="E894" t="s">
        <v>258</v>
      </c>
      <c r="F894" t="s">
        <v>118</v>
      </c>
      <c r="G894">
        <v>23975</v>
      </c>
      <c r="H894" t="s">
        <v>262</v>
      </c>
      <c r="I894">
        <v>2</v>
      </c>
      <c r="J894" t="s">
        <v>104</v>
      </c>
      <c r="K894" s="19">
        <v>0.58333333333333337</v>
      </c>
      <c r="L894" s="19">
        <v>0.91666666666666663</v>
      </c>
      <c r="M894">
        <v>8</v>
      </c>
      <c r="N894">
        <v>0</v>
      </c>
      <c r="O894">
        <v>45</v>
      </c>
      <c r="P894">
        <v>76</v>
      </c>
      <c r="Q894" t="s">
        <v>99</v>
      </c>
      <c r="R894">
        <v>30</v>
      </c>
      <c r="S894" s="19">
        <v>0.79166666666666663</v>
      </c>
      <c r="T894">
        <v>0</v>
      </c>
      <c r="U894" s="19">
        <v>0.54166666666666663</v>
      </c>
      <c r="V894" t="s">
        <v>99</v>
      </c>
      <c r="W894">
        <v>7.5</v>
      </c>
      <c r="X894" t="s">
        <v>102</v>
      </c>
      <c r="Y894" t="b">
        <v>0</v>
      </c>
    </row>
    <row r="895" spans="1:25" x14ac:dyDescent="0.55000000000000004">
      <c r="A895" t="s">
        <v>94</v>
      </c>
      <c r="B895" t="s">
        <v>173</v>
      </c>
      <c r="C895" t="s">
        <v>96</v>
      </c>
      <c r="D895" t="s">
        <v>174</v>
      </c>
      <c r="E895" t="s">
        <v>258</v>
      </c>
      <c r="F895" t="s">
        <v>118</v>
      </c>
      <c r="G895">
        <v>26243</v>
      </c>
      <c r="H895" t="s">
        <v>253</v>
      </c>
      <c r="I895">
        <v>2</v>
      </c>
      <c r="J895" t="s">
        <v>105</v>
      </c>
      <c r="K895" s="19">
        <v>0.58333333333333337</v>
      </c>
      <c r="L895" s="19">
        <v>0.91666666666666663</v>
      </c>
      <c r="M895">
        <v>8</v>
      </c>
      <c r="N895">
        <v>326.52999999999997</v>
      </c>
      <c r="O895">
        <v>39.5</v>
      </c>
      <c r="P895">
        <v>76</v>
      </c>
      <c r="Q895" t="s">
        <v>99</v>
      </c>
      <c r="R895">
        <v>30</v>
      </c>
      <c r="S895" s="19">
        <v>0.79166666666666663</v>
      </c>
      <c r="T895">
        <v>0</v>
      </c>
      <c r="U895" s="19">
        <v>0.54166666666666663</v>
      </c>
      <c r="V895" t="s">
        <v>99</v>
      </c>
      <c r="W895">
        <v>7.5</v>
      </c>
      <c r="X895" t="s">
        <v>102</v>
      </c>
      <c r="Y895" t="b">
        <v>0</v>
      </c>
    </row>
    <row r="896" spans="1:25" x14ac:dyDescent="0.55000000000000004">
      <c r="A896" t="s">
        <v>94</v>
      </c>
      <c r="B896" t="s">
        <v>173</v>
      </c>
      <c r="C896" t="s">
        <v>96</v>
      </c>
      <c r="D896" t="s">
        <v>174</v>
      </c>
      <c r="E896" t="s">
        <v>258</v>
      </c>
      <c r="F896" t="s">
        <v>135</v>
      </c>
      <c r="G896">
        <v>19843</v>
      </c>
      <c r="H896" t="s">
        <v>256</v>
      </c>
      <c r="I896">
        <v>1</v>
      </c>
      <c r="J896" t="s">
        <v>107</v>
      </c>
      <c r="K896" s="19">
        <v>0.58333333333333337</v>
      </c>
      <c r="L896" s="19">
        <v>0.91666666666666663</v>
      </c>
      <c r="M896">
        <v>8</v>
      </c>
      <c r="N896">
        <v>0</v>
      </c>
      <c r="O896">
        <v>70</v>
      </c>
      <c r="P896">
        <v>76</v>
      </c>
      <c r="Q896" t="s">
        <v>99</v>
      </c>
      <c r="R896">
        <v>30</v>
      </c>
      <c r="S896" s="19">
        <v>0.79166666666666663</v>
      </c>
      <c r="T896">
        <v>0</v>
      </c>
      <c r="U896" s="19">
        <v>0.54166666666666663</v>
      </c>
      <c r="V896" t="s">
        <v>99</v>
      </c>
      <c r="W896">
        <v>7.5</v>
      </c>
      <c r="X896" t="s">
        <v>102</v>
      </c>
      <c r="Y896" t="b">
        <v>0</v>
      </c>
    </row>
    <row r="897" spans="1:25" x14ac:dyDescent="0.55000000000000004">
      <c r="A897" t="s">
        <v>94</v>
      </c>
      <c r="B897" t="s">
        <v>173</v>
      </c>
      <c r="C897" t="s">
        <v>96</v>
      </c>
      <c r="D897" t="s">
        <v>174</v>
      </c>
      <c r="E897" t="s">
        <v>258</v>
      </c>
      <c r="F897" t="s">
        <v>135</v>
      </c>
      <c r="G897">
        <v>20862</v>
      </c>
      <c r="H897" t="s">
        <v>247</v>
      </c>
      <c r="I897">
        <v>1</v>
      </c>
      <c r="J897" t="s">
        <v>104</v>
      </c>
      <c r="K897" s="19">
        <v>0.58333333333333337</v>
      </c>
      <c r="L897" s="19">
        <v>0.91666666666666663</v>
      </c>
      <c r="M897">
        <v>8</v>
      </c>
      <c r="N897">
        <v>326.52999999999997</v>
      </c>
      <c r="O897">
        <v>70</v>
      </c>
      <c r="P897">
        <v>76</v>
      </c>
      <c r="Q897" t="s">
        <v>99</v>
      </c>
      <c r="R897">
        <v>30</v>
      </c>
      <c r="S897" s="19">
        <v>0.79166666666666663</v>
      </c>
      <c r="T897">
        <v>0</v>
      </c>
      <c r="U897" s="19">
        <v>0</v>
      </c>
      <c r="V897" t="s">
        <v>99</v>
      </c>
      <c r="W897">
        <v>7.5</v>
      </c>
      <c r="X897" t="s">
        <v>102</v>
      </c>
      <c r="Y897" t="b">
        <v>0</v>
      </c>
    </row>
    <row r="898" spans="1:25" x14ac:dyDescent="0.55000000000000004">
      <c r="A898" t="s">
        <v>94</v>
      </c>
      <c r="B898" t="s">
        <v>173</v>
      </c>
      <c r="C898" t="s">
        <v>96</v>
      </c>
      <c r="D898" t="s">
        <v>174</v>
      </c>
      <c r="E898" t="s">
        <v>258</v>
      </c>
      <c r="F898" t="s">
        <v>135</v>
      </c>
      <c r="G898">
        <v>20862</v>
      </c>
      <c r="H898" t="s">
        <v>247</v>
      </c>
      <c r="I898">
        <v>2</v>
      </c>
      <c r="J898" t="s">
        <v>104</v>
      </c>
      <c r="K898" s="19">
        <v>0.58333333333333337</v>
      </c>
      <c r="L898" s="19">
        <v>0.91666666666666663</v>
      </c>
      <c r="M898">
        <v>8</v>
      </c>
      <c r="N898">
        <v>326.52999999999997</v>
      </c>
      <c r="O898">
        <v>70</v>
      </c>
      <c r="P898">
        <v>76</v>
      </c>
      <c r="Q898" t="s">
        <v>99</v>
      </c>
      <c r="R898">
        <v>30</v>
      </c>
      <c r="S898" s="19">
        <v>0.79166666666666663</v>
      </c>
      <c r="T898">
        <v>0</v>
      </c>
      <c r="U898" s="19">
        <v>0</v>
      </c>
      <c r="V898" t="s">
        <v>99</v>
      </c>
      <c r="W898">
        <v>7.5</v>
      </c>
      <c r="X898" t="s">
        <v>102</v>
      </c>
      <c r="Y898" t="b">
        <v>0</v>
      </c>
    </row>
    <row r="899" spans="1:25" x14ac:dyDescent="0.55000000000000004">
      <c r="A899" t="s">
        <v>94</v>
      </c>
      <c r="B899" t="s">
        <v>173</v>
      </c>
      <c r="C899" t="s">
        <v>96</v>
      </c>
      <c r="D899" t="s">
        <v>174</v>
      </c>
      <c r="E899" t="s">
        <v>258</v>
      </c>
      <c r="F899" t="s">
        <v>135</v>
      </c>
      <c r="G899">
        <v>23673</v>
      </c>
      <c r="H899" t="s">
        <v>251</v>
      </c>
      <c r="I899">
        <v>1</v>
      </c>
      <c r="J899" t="s">
        <v>115</v>
      </c>
      <c r="K899" s="19">
        <v>0.58333333333333337</v>
      </c>
      <c r="L899" s="19">
        <v>0.91666666666666663</v>
      </c>
      <c r="M899">
        <v>8</v>
      </c>
      <c r="N899">
        <v>435.38</v>
      </c>
      <c r="O899">
        <v>54</v>
      </c>
      <c r="P899">
        <v>76</v>
      </c>
      <c r="Q899" t="s">
        <v>99</v>
      </c>
      <c r="R899">
        <v>30</v>
      </c>
      <c r="S899" s="19">
        <v>0.79166666666666663</v>
      </c>
      <c r="T899">
        <v>0</v>
      </c>
      <c r="U899" s="19">
        <v>0</v>
      </c>
      <c r="V899" t="s">
        <v>99</v>
      </c>
      <c r="W899">
        <v>7.5</v>
      </c>
      <c r="X899" t="s">
        <v>102</v>
      </c>
      <c r="Y899" t="b">
        <v>0</v>
      </c>
    </row>
    <row r="900" spans="1:25" x14ac:dyDescent="0.55000000000000004">
      <c r="A900" t="s">
        <v>94</v>
      </c>
      <c r="B900" t="s">
        <v>173</v>
      </c>
      <c r="C900" t="s">
        <v>96</v>
      </c>
      <c r="D900" t="s">
        <v>174</v>
      </c>
      <c r="E900" t="s">
        <v>258</v>
      </c>
      <c r="F900" t="s">
        <v>135</v>
      </c>
      <c r="G900">
        <v>23673</v>
      </c>
      <c r="H900" t="s">
        <v>251</v>
      </c>
      <c r="I900">
        <v>1</v>
      </c>
      <c r="J900" t="s">
        <v>103</v>
      </c>
      <c r="K900" s="19">
        <v>0.58333333333333337</v>
      </c>
      <c r="L900" s="19">
        <v>0.91666666666666663</v>
      </c>
      <c r="M900">
        <v>8</v>
      </c>
      <c r="N900">
        <v>326.52999999999997</v>
      </c>
      <c r="O900">
        <v>54</v>
      </c>
      <c r="P900">
        <v>76</v>
      </c>
      <c r="Q900" t="s">
        <v>99</v>
      </c>
      <c r="R900">
        <v>30</v>
      </c>
      <c r="S900" s="19">
        <v>0.79166666666666663</v>
      </c>
      <c r="T900">
        <v>0</v>
      </c>
      <c r="U900" s="19">
        <v>0.54166666666666663</v>
      </c>
      <c r="V900" t="s">
        <v>99</v>
      </c>
      <c r="W900">
        <v>7.5</v>
      </c>
      <c r="X900" t="s">
        <v>102</v>
      </c>
      <c r="Y900" t="b">
        <v>0</v>
      </c>
    </row>
    <row r="901" spans="1:25" x14ac:dyDescent="0.55000000000000004">
      <c r="A901" t="s">
        <v>94</v>
      </c>
      <c r="B901" t="s">
        <v>173</v>
      </c>
      <c r="C901" t="s">
        <v>96</v>
      </c>
      <c r="D901" t="s">
        <v>174</v>
      </c>
      <c r="E901" t="s">
        <v>258</v>
      </c>
      <c r="F901" t="s">
        <v>135</v>
      </c>
      <c r="G901">
        <v>23673</v>
      </c>
      <c r="H901" t="s">
        <v>251</v>
      </c>
      <c r="I901">
        <v>1</v>
      </c>
      <c r="J901" t="s">
        <v>105</v>
      </c>
      <c r="K901" s="19">
        <v>0.58333333333333337</v>
      </c>
      <c r="L901" s="19">
        <v>0.91666666666666663</v>
      </c>
      <c r="M901">
        <v>8</v>
      </c>
      <c r="N901">
        <v>326.52999999999997</v>
      </c>
      <c r="O901">
        <v>54</v>
      </c>
      <c r="P901">
        <v>76</v>
      </c>
      <c r="Q901" t="s">
        <v>99</v>
      </c>
      <c r="R901">
        <v>30</v>
      </c>
      <c r="S901" s="19">
        <v>0.79166666666666663</v>
      </c>
      <c r="T901">
        <v>0</v>
      </c>
      <c r="U901" s="19">
        <v>0.54166666666666663</v>
      </c>
      <c r="V901" t="s">
        <v>99</v>
      </c>
      <c r="W901">
        <v>7.5</v>
      </c>
      <c r="X901" t="s">
        <v>102</v>
      </c>
      <c r="Y901" t="b">
        <v>0</v>
      </c>
    </row>
    <row r="902" spans="1:25" x14ac:dyDescent="0.55000000000000004">
      <c r="A902" t="s">
        <v>94</v>
      </c>
      <c r="B902" t="s">
        <v>173</v>
      </c>
      <c r="C902" t="s">
        <v>96</v>
      </c>
      <c r="D902" t="s">
        <v>174</v>
      </c>
      <c r="E902" t="s">
        <v>258</v>
      </c>
      <c r="F902" t="s">
        <v>135</v>
      </c>
      <c r="G902">
        <v>23973</v>
      </c>
      <c r="H902" t="s">
        <v>261</v>
      </c>
      <c r="I902">
        <v>1</v>
      </c>
      <c r="J902" t="s">
        <v>101</v>
      </c>
      <c r="K902" s="19">
        <v>0.58333333333333337</v>
      </c>
      <c r="L902" s="19">
        <v>0.91666666666666663</v>
      </c>
      <c r="M902">
        <v>8</v>
      </c>
      <c r="N902">
        <v>0</v>
      </c>
      <c r="O902">
        <v>52.5</v>
      </c>
      <c r="P902">
        <v>76</v>
      </c>
      <c r="Q902" t="s">
        <v>99</v>
      </c>
      <c r="R902">
        <v>30</v>
      </c>
      <c r="S902" s="19">
        <v>0.77083333333333337</v>
      </c>
      <c r="T902">
        <v>0</v>
      </c>
      <c r="U902" s="19">
        <v>0.54166666666666663</v>
      </c>
      <c r="V902" t="s">
        <v>99</v>
      </c>
      <c r="W902">
        <v>7.5</v>
      </c>
      <c r="X902" t="s">
        <v>102</v>
      </c>
      <c r="Y902" t="b">
        <v>0</v>
      </c>
    </row>
    <row r="903" spans="1:25" x14ac:dyDescent="0.55000000000000004">
      <c r="A903" t="s">
        <v>94</v>
      </c>
      <c r="B903" t="s">
        <v>173</v>
      </c>
      <c r="C903" t="s">
        <v>96</v>
      </c>
      <c r="D903" t="s">
        <v>174</v>
      </c>
      <c r="E903" t="s">
        <v>258</v>
      </c>
      <c r="F903" t="s">
        <v>135</v>
      </c>
      <c r="G903">
        <v>23973</v>
      </c>
      <c r="H903" t="s">
        <v>261</v>
      </c>
      <c r="I903">
        <v>2</v>
      </c>
      <c r="J903" t="s">
        <v>101</v>
      </c>
      <c r="K903" s="19">
        <v>0.58333333333333337</v>
      </c>
      <c r="L903" s="19">
        <v>0.91666666666666663</v>
      </c>
      <c r="M903">
        <v>8</v>
      </c>
      <c r="N903">
        <v>0</v>
      </c>
      <c r="O903">
        <v>52.5</v>
      </c>
      <c r="P903">
        <v>76</v>
      </c>
      <c r="Q903" t="s">
        <v>99</v>
      </c>
      <c r="R903">
        <v>30</v>
      </c>
      <c r="S903" s="19">
        <v>0.77083333333333337</v>
      </c>
      <c r="T903">
        <v>0</v>
      </c>
      <c r="U903" s="19">
        <v>0.54166666666666663</v>
      </c>
      <c r="V903" t="s">
        <v>99</v>
      </c>
      <c r="W903">
        <v>7.5</v>
      </c>
      <c r="X903" t="s">
        <v>102</v>
      </c>
      <c r="Y903" t="b">
        <v>0</v>
      </c>
    </row>
    <row r="904" spans="1:25" x14ac:dyDescent="0.55000000000000004">
      <c r="A904" t="s">
        <v>94</v>
      </c>
      <c r="B904" t="s">
        <v>173</v>
      </c>
      <c r="C904" t="s">
        <v>96</v>
      </c>
      <c r="D904" t="s">
        <v>174</v>
      </c>
      <c r="E904" t="s">
        <v>258</v>
      </c>
      <c r="F904" t="s">
        <v>135</v>
      </c>
      <c r="G904">
        <v>23973</v>
      </c>
      <c r="H904" t="s">
        <v>261</v>
      </c>
      <c r="I904">
        <v>2</v>
      </c>
      <c r="J904" t="s">
        <v>116</v>
      </c>
      <c r="K904" s="19">
        <v>0.58333333333333337</v>
      </c>
      <c r="L904" s="19">
        <v>0.91666666666666663</v>
      </c>
      <c r="M904">
        <v>8</v>
      </c>
      <c r="N904">
        <v>0</v>
      </c>
      <c r="O904">
        <v>52.5</v>
      </c>
      <c r="P904">
        <v>76</v>
      </c>
      <c r="Q904" t="s">
        <v>99</v>
      </c>
      <c r="R904">
        <v>30</v>
      </c>
      <c r="S904" s="19">
        <v>0.77083333333333337</v>
      </c>
      <c r="T904">
        <v>0</v>
      </c>
      <c r="U904" s="19">
        <v>0.54166666666666663</v>
      </c>
      <c r="V904" t="s">
        <v>99</v>
      </c>
      <c r="W904">
        <v>7.5</v>
      </c>
      <c r="X904" t="s">
        <v>102</v>
      </c>
      <c r="Y904" t="b">
        <v>0</v>
      </c>
    </row>
    <row r="905" spans="1:25" x14ac:dyDescent="0.55000000000000004">
      <c r="A905" t="s">
        <v>94</v>
      </c>
      <c r="B905" t="s">
        <v>173</v>
      </c>
      <c r="C905" t="s">
        <v>96</v>
      </c>
      <c r="D905" t="s">
        <v>174</v>
      </c>
      <c r="E905" t="s">
        <v>258</v>
      </c>
      <c r="F905" t="s">
        <v>135</v>
      </c>
      <c r="G905">
        <v>23975</v>
      </c>
      <c r="H905" t="s">
        <v>262</v>
      </c>
      <c r="I905">
        <v>1</v>
      </c>
      <c r="J905" t="s">
        <v>116</v>
      </c>
      <c r="K905" s="19">
        <v>0.58333333333333337</v>
      </c>
      <c r="L905" s="19">
        <v>0.91666666666666663</v>
      </c>
      <c r="M905">
        <v>8</v>
      </c>
      <c r="N905">
        <v>478.93</v>
      </c>
      <c r="O905">
        <v>45</v>
      </c>
      <c r="P905">
        <v>76</v>
      </c>
      <c r="Q905" t="s">
        <v>99</v>
      </c>
      <c r="R905">
        <v>30</v>
      </c>
      <c r="S905" s="19">
        <v>0.77083333333333337</v>
      </c>
      <c r="T905">
        <v>0</v>
      </c>
      <c r="U905" s="19">
        <v>0.54166666666666663</v>
      </c>
      <c r="V905" t="s">
        <v>99</v>
      </c>
      <c r="W905">
        <v>7.5</v>
      </c>
      <c r="X905" t="s">
        <v>102</v>
      </c>
      <c r="Y905" t="b">
        <v>0</v>
      </c>
    </row>
    <row r="906" spans="1:25" x14ac:dyDescent="0.55000000000000004">
      <c r="A906" t="s">
        <v>94</v>
      </c>
      <c r="B906" t="s">
        <v>173</v>
      </c>
      <c r="C906" t="s">
        <v>96</v>
      </c>
      <c r="D906" t="s">
        <v>174</v>
      </c>
      <c r="E906" t="s">
        <v>258</v>
      </c>
      <c r="F906" t="s">
        <v>135</v>
      </c>
      <c r="G906">
        <v>23975</v>
      </c>
      <c r="H906" t="s">
        <v>262</v>
      </c>
      <c r="I906">
        <v>2</v>
      </c>
      <c r="J906" t="s">
        <v>107</v>
      </c>
      <c r="K906" s="19">
        <v>0.58333333333333337</v>
      </c>
      <c r="L906" s="19">
        <v>0.91666666666666663</v>
      </c>
      <c r="M906">
        <v>8</v>
      </c>
      <c r="N906">
        <v>0</v>
      </c>
      <c r="O906">
        <v>45</v>
      </c>
      <c r="P906">
        <v>76</v>
      </c>
      <c r="Q906" t="s">
        <v>99</v>
      </c>
      <c r="R906">
        <v>30</v>
      </c>
      <c r="S906" s="19">
        <v>0.79166666666666663</v>
      </c>
      <c r="T906">
        <v>0</v>
      </c>
      <c r="U906" s="19">
        <v>0.54166666666666663</v>
      </c>
      <c r="V906" t="s">
        <v>99</v>
      </c>
      <c r="W906">
        <v>7.5</v>
      </c>
      <c r="X906" t="s">
        <v>102</v>
      </c>
      <c r="Y906" t="b">
        <v>0</v>
      </c>
    </row>
    <row r="907" spans="1:25" x14ac:dyDescent="0.55000000000000004">
      <c r="A907" t="s">
        <v>94</v>
      </c>
      <c r="B907" t="s">
        <v>173</v>
      </c>
      <c r="C907" t="s">
        <v>96</v>
      </c>
      <c r="D907" t="s">
        <v>174</v>
      </c>
      <c r="E907" t="s">
        <v>258</v>
      </c>
      <c r="F907" t="s">
        <v>135</v>
      </c>
      <c r="G907">
        <v>23975</v>
      </c>
      <c r="H907" t="s">
        <v>262</v>
      </c>
      <c r="I907">
        <v>2</v>
      </c>
      <c r="J907" t="s">
        <v>103</v>
      </c>
      <c r="K907" s="19">
        <v>0.58333333333333337</v>
      </c>
      <c r="L907" s="19">
        <v>0.91666666666666663</v>
      </c>
      <c r="M907">
        <v>8</v>
      </c>
      <c r="N907">
        <v>0</v>
      </c>
      <c r="O907">
        <v>45</v>
      </c>
      <c r="P907">
        <v>76</v>
      </c>
      <c r="Q907" t="s">
        <v>99</v>
      </c>
      <c r="R907">
        <v>30</v>
      </c>
      <c r="S907" s="19">
        <v>0.79166666666666663</v>
      </c>
      <c r="T907">
        <v>0</v>
      </c>
      <c r="U907" s="19">
        <v>0.54166666666666663</v>
      </c>
      <c r="V907" t="s">
        <v>99</v>
      </c>
      <c r="W907">
        <v>7.5</v>
      </c>
      <c r="X907" t="s">
        <v>102</v>
      </c>
      <c r="Y907" t="b">
        <v>0</v>
      </c>
    </row>
    <row r="908" spans="1:25" x14ac:dyDescent="0.55000000000000004">
      <c r="A908" t="s">
        <v>94</v>
      </c>
      <c r="B908" t="s">
        <v>173</v>
      </c>
      <c r="C908" t="s">
        <v>96</v>
      </c>
      <c r="D908" t="s">
        <v>174</v>
      </c>
      <c r="E908" t="s">
        <v>258</v>
      </c>
      <c r="F908" t="s">
        <v>135</v>
      </c>
      <c r="G908">
        <v>23975</v>
      </c>
      <c r="H908" t="s">
        <v>262</v>
      </c>
      <c r="I908">
        <v>2</v>
      </c>
      <c r="J908" t="s">
        <v>105</v>
      </c>
      <c r="K908" s="19">
        <v>0.58333333333333337</v>
      </c>
      <c r="L908" s="19">
        <v>0.91666666666666663</v>
      </c>
      <c r="M908">
        <v>8</v>
      </c>
      <c r="N908">
        <v>0</v>
      </c>
      <c r="O908">
        <v>45</v>
      </c>
      <c r="P908">
        <v>76</v>
      </c>
      <c r="Q908" t="s">
        <v>99</v>
      </c>
      <c r="R908">
        <v>30</v>
      </c>
      <c r="S908" s="19">
        <v>0.79166666666666663</v>
      </c>
      <c r="T908">
        <v>0</v>
      </c>
      <c r="U908" s="19">
        <v>0.54166666666666663</v>
      </c>
      <c r="V908" t="s">
        <v>99</v>
      </c>
      <c r="W908">
        <v>7.5</v>
      </c>
      <c r="X908" t="s">
        <v>102</v>
      </c>
      <c r="Y908" t="b">
        <v>0</v>
      </c>
    </row>
    <row r="909" spans="1:25" x14ac:dyDescent="0.55000000000000004">
      <c r="A909" t="s">
        <v>94</v>
      </c>
      <c r="B909" t="s">
        <v>173</v>
      </c>
      <c r="C909" t="s">
        <v>96</v>
      </c>
      <c r="D909" t="s">
        <v>174</v>
      </c>
      <c r="E909" t="s">
        <v>258</v>
      </c>
      <c r="F909" t="s">
        <v>135</v>
      </c>
      <c r="G909">
        <v>24136</v>
      </c>
      <c r="H909" t="s">
        <v>263</v>
      </c>
      <c r="I909">
        <v>2</v>
      </c>
      <c r="J909" t="s">
        <v>115</v>
      </c>
      <c r="K909" s="19">
        <v>0.58333333333333337</v>
      </c>
      <c r="L909" s="19">
        <v>0.91666666666666663</v>
      </c>
      <c r="M909">
        <v>8</v>
      </c>
      <c r="N909">
        <v>435.38</v>
      </c>
      <c r="O909">
        <v>46.5</v>
      </c>
      <c r="P909">
        <v>76</v>
      </c>
      <c r="Q909" t="s">
        <v>99</v>
      </c>
      <c r="R909">
        <v>30</v>
      </c>
      <c r="S909" s="19">
        <v>0.79166666666666663</v>
      </c>
      <c r="T909">
        <v>0</v>
      </c>
      <c r="U909" s="19">
        <v>0.54166666666666663</v>
      </c>
      <c r="V909" t="s">
        <v>99</v>
      </c>
      <c r="W909">
        <v>7.5</v>
      </c>
      <c r="X909" t="s">
        <v>102</v>
      </c>
      <c r="Y909" t="b">
        <v>0</v>
      </c>
    </row>
    <row r="910" spans="1:25" x14ac:dyDescent="0.55000000000000004">
      <c r="A910" t="s">
        <v>94</v>
      </c>
      <c r="B910" t="s">
        <v>173</v>
      </c>
      <c r="C910" t="s">
        <v>96</v>
      </c>
      <c r="D910" t="s">
        <v>174</v>
      </c>
      <c r="E910" t="s">
        <v>258</v>
      </c>
      <c r="F910" t="s">
        <v>139</v>
      </c>
      <c r="G910">
        <v>20784</v>
      </c>
      <c r="H910" t="s">
        <v>246</v>
      </c>
      <c r="I910">
        <v>2</v>
      </c>
      <c r="J910" t="s">
        <v>115</v>
      </c>
      <c r="K910" s="19">
        <v>0.5625</v>
      </c>
      <c r="L910" s="19">
        <v>0.91666666666666663</v>
      </c>
      <c r="M910">
        <v>8.5</v>
      </c>
      <c r="N910">
        <v>464.4</v>
      </c>
      <c r="O910">
        <v>16</v>
      </c>
      <c r="P910">
        <v>76</v>
      </c>
      <c r="Q910" t="s">
        <v>99</v>
      </c>
      <c r="R910">
        <v>30</v>
      </c>
      <c r="S910" s="19">
        <v>0.79166666666666663</v>
      </c>
      <c r="T910">
        <v>0</v>
      </c>
      <c r="U910" s="19">
        <v>0.54166666666666663</v>
      </c>
      <c r="V910" t="s">
        <v>99</v>
      </c>
      <c r="W910">
        <v>8</v>
      </c>
      <c r="X910" t="s">
        <v>102</v>
      </c>
      <c r="Y910" t="b">
        <v>0</v>
      </c>
    </row>
    <row r="911" spans="1:25" x14ac:dyDescent="0.55000000000000004">
      <c r="A911" t="s">
        <v>94</v>
      </c>
      <c r="B911" t="s">
        <v>173</v>
      </c>
      <c r="C911" t="s">
        <v>96</v>
      </c>
      <c r="D911" t="s">
        <v>174</v>
      </c>
      <c r="E911" t="s">
        <v>258</v>
      </c>
      <c r="F911" t="s">
        <v>139</v>
      </c>
      <c r="G911">
        <v>20862</v>
      </c>
      <c r="H911" t="s">
        <v>247</v>
      </c>
      <c r="I911">
        <v>2</v>
      </c>
      <c r="J911" t="s">
        <v>101</v>
      </c>
      <c r="K911" s="19">
        <v>0.58333333333333337</v>
      </c>
      <c r="L911" s="19">
        <v>0.91666666666666663</v>
      </c>
      <c r="M911">
        <v>8</v>
      </c>
      <c r="N911">
        <v>326.52999999999997</v>
      </c>
      <c r="O911">
        <v>70</v>
      </c>
      <c r="P911">
        <v>76</v>
      </c>
      <c r="Q911" t="s">
        <v>99</v>
      </c>
      <c r="R911">
        <v>30</v>
      </c>
      <c r="S911" s="19">
        <v>0.79166666666666663</v>
      </c>
      <c r="T911">
        <v>0</v>
      </c>
      <c r="U911" s="19">
        <v>0</v>
      </c>
      <c r="V911" t="s">
        <v>99</v>
      </c>
      <c r="W911">
        <v>7.5</v>
      </c>
      <c r="X911" t="s">
        <v>102</v>
      </c>
      <c r="Y911" t="b">
        <v>0</v>
      </c>
    </row>
    <row r="912" spans="1:25" x14ac:dyDescent="0.55000000000000004">
      <c r="A912" t="s">
        <v>94</v>
      </c>
      <c r="B912" t="s">
        <v>173</v>
      </c>
      <c r="C912" t="s">
        <v>96</v>
      </c>
      <c r="D912" t="s">
        <v>174</v>
      </c>
      <c r="E912" t="s">
        <v>258</v>
      </c>
      <c r="F912" t="s">
        <v>139</v>
      </c>
      <c r="G912">
        <v>20950</v>
      </c>
      <c r="H912" t="s">
        <v>259</v>
      </c>
      <c r="I912">
        <v>1</v>
      </c>
      <c r="J912" t="s">
        <v>115</v>
      </c>
      <c r="K912" s="19">
        <v>0.58333333333333337</v>
      </c>
      <c r="L912" s="19">
        <v>0.91666666666666663</v>
      </c>
      <c r="M912">
        <v>8</v>
      </c>
      <c r="N912">
        <v>0</v>
      </c>
      <c r="O912">
        <v>52.5</v>
      </c>
      <c r="P912">
        <v>76</v>
      </c>
      <c r="Q912" t="s">
        <v>99</v>
      </c>
      <c r="R912">
        <v>30</v>
      </c>
      <c r="S912" s="19">
        <v>0.79166666666666663</v>
      </c>
      <c r="T912">
        <v>0</v>
      </c>
      <c r="U912" s="19">
        <v>0.54166666666666663</v>
      </c>
      <c r="V912" t="s">
        <v>99</v>
      </c>
      <c r="W912">
        <v>7.5</v>
      </c>
      <c r="X912" t="s">
        <v>102</v>
      </c>
      <c r="Y912" t="b">
        <v>0</v>
      </c>
    </row>
    <row r="913" spans="1:25" x14ac:dyDescent="0.55000000000000004">
      <c r="A913" t="s">
        <v>94</v>
      </c>
      <c r="B913" t="s">
        <v>173</v>
      </c>
      <c r="C913" t="s">
        <v>96</v>
      </c>
      <c r="D913" t="s">
        <v>174</v>
      </c>
      <c r="E913" t="s">
        <v>258</v>
      </c>
      <c r="F913" t="s">
        <v>139</v>
      </c>
      <c r="G913">
        <v>20950</v>
      </c>
      <c r="H913" t="s">
        <v>259</v>
      </c>
      <c r="I913">
        <v>1</v>
      </c>
      <c r="J913" t="s">
        <v>116</v>
      </c>
      <c r="K913" s="19">
        <v>0.58333333333333337</v>
      </c>
      <c r="L913" s="19">
        <v>0.91666666666666663</v>
      </c>
      <c r="M913">
        <v>8</v>
      </c>
      <c r="N913">
        <v>0</v>
      </c>
      <c r="O913">
        <v>52.5</v>
      </c>
      <c r="P913">
        <v>76</v>
      </c>
      <c r="Q913" t="s">
        <v>99</v>
      </c>
      <c r="R913">
        <v>30</v>
      </c>
      <c r="S913" s="19">
        <v>0.79166666666666663</v>
      </c>
      <c r="T913">
        <v>0</v>
      </c>
      <c r="U913" s="19">
        <v>0.54166666666666663</v>
      </c>
      <c r="V913" t="s">
        <v>99</v>
      </c>
      <c r="W913">
        <v>7.5</v>
      </c>
      <c r="X913" t="s">
        <v>102</v>
      </c>
      <c r="Y913" t="b">
        <v>0</v>
      </c>
    </row>
    <row r="914" spans="1:25" x14ac:dyDescent="0.55000000000000004">
      <c r="A914" t="s">
        <v>94</v>
      </c>
      <c r="B914" t="s">
        <v>173</v>
      </c>
      <c r="C914" t="s">
        <v>96</v>
      </c>
      <c r="D914" t="s">
        <v>174</v>
      </c>
      <c r="E914" t="s">
        <v>258</v>
      </c>
      <c r="F914" t="s">
        <v>139</v>
      </c>
      <c r="G914">
        <v>21327</v>
      </c>
      <c r="H914" t="s">
        <v>260</v>
      </c>
      <c r="I914">
        <v>1</v>
      </c>
      <c r="J914" t="s">
        <v>107</v>
      </c>
      <c r="K914" s="19">
        <v>0.58333333333333337</v>
      </c>
      <c r="L914" s="19">
        <v>0.91666666666666663</v>
      </c>
      <c r="M914">
        <v>8</v>
      </c>
      <c r="N914">
        <v>326.52999999999997</v>
      </c>
      <c r="O914">
        <v>60</v>
      </c>
      <c r="P914">
        <v>76</v>
      </c>
      <c r="Q914" t="s">
        <v>99</v>
      </c>
      <c r="R914">
        <v>30</v>
      </c>
      <c r="S914" s="19">
        <v>0.79166666666666663</v>
      </c>
      <c r="T914">
        <v>0</v>
      </c>
      <c r="U914" s="19">
        <v>0.54166666666666663</v>
      </c>
      <c r="V914" t="s">
        <v>99</v>
      </c>
      <c r="W914">
        <v>7.5</v>
      </c>
      <c r="X914" t="s">
        <v>102</v>
      </c>
      <c r="Y914" t="b">
        <v>0</v>
      </c>
    </row>
    <row r="915" spans="1:25" x14ac:dyDescent="0.55000000000000004">
      <c r="A915" t="s">
        <v>94</v>
      </c>
      <c r="B915" t="s">
        <v>173</v>
      </c>
      <c r="C915" t="s">
        <v>96</v>
      </c>
      <c r="D915" t="s">
        <v>174</v>
      </c>
      <c r="E915" t="s">
        <v>258</v>
      </c>
      <c r="F915" t="s">
        <v>139</v>
      </c>
      <c r="G915">
        <v>21327</v>
      </c>
      <c r="H915" t="s">
        <v>260</v>
      </c>
      <c r="I915">
        <v>1</v>
      </c>
      <c r="J915" t="s">
        <v>103</v>
      </c>
      <c r="K915" s="19">
        <v>0.58333333333333337</v>
      </c>
      <c r="L915" s="19">
        <v>0.91666666666666663</v>
      </c>
      <c r="M915">
        <v>8</v>
      </c>
      <c r="N915">
        <v>326.52999999999997</v>
      </c>
      <c r="O915">
        <v>60</v>
      </c>
      <c r="P915">
        <v>76</v>
      </c>
      <c r="Q915" t="s">
        <v>99</v>
      </c>
      <c r="R915">
        <v>30</v>
      </c>
      <c r="S915" s="19">
        <v>0.79166666666666663</v>
      </c>
      <c r="T915">
        <v>0</v>
      </c>
      <c r="U915" s="19">
        <v>0.54166666666666663</v>
      </c>
      <c r="V915" t="s">
        <v>99</v>
      </c>
      <c r="W915">
        <v>7.5</v>
      </c>
      <c r="X915" t="s">
        <v>102</v>
      </c>
      <c r="Y915" t="b">
        <v>0</v>
      </c>
    </row>
    <row r="916" spans="1:25" x14ac:dyDescent="0.55000000000000004">
      <c r="A916" t="s">
        <v>94</v>
      </c>
      <c r="B916" t="s">
        <v>173</v>
      </c>
      <c r="C916" t="s">
        <v>96</v>
      </c>
      <c r="D916" t="s">
        <v>174</v>
      </c>
      <c r="E916" t="s">
        <v>258</v>
      </c>
      <c r="F916" t="s">
        <v>139</v>
      </c>
      <c r="G916">
        <v>21327</v>
      </c>
      <c r="H916" t="s">
        <v>260</v>
      </c>
      <c r="I916">
        <v>1</v>
      </c>
      <c r="J916" t="s">
        <v>105</v>
      </c>
      <c r="K916" s="19">
        <v>0.58333333333333337</v>
      </c>
      <c r="L916" s="19">
        <v>0.91666666666666663</v>
      </c>
      <c r="M916">
        <v>8</v>
      </c>
      <c r="N916">
        <v>326.52999999999997</v>
      </c>
      <c r="O916">
        <v>60</v>
      </c>
      <c r="P916">
        <v>76</v>
      </c>
      <c r="Q916" t="s">
        <v>99</v>
      </c>
      <c r="R916">
        <v>30</v>
      </c>
      <c r="S916" s="19">
        <v>0.79166666666666663</v>
      </c>
      <c r="T916">
        <v>0</v>
      </c>
      <c r="U916" s="19">
        <v>0</v>
      </c>
      <c r="V916" t="s">
        <v>99</v>
      </c>
      <c r="W916">
        <v>7.5</v>
      </c>
      <c r="X916" t="s">
        <v>102</v>
      </c>
      <c r="Y916" t="b">
        <v>0</v>
      </c>
    </row>
    <row r="917" spans="1:25" x14ac:dyDescent="0.55000000000000004">
      <c r="A917" t="s">
        <v>94</v>
      </c>
      <c r="B917" t="s">
        <v>173</v>
      </c>
      <c r="C917" t="s">
        <v>96</v>
      </c>
      <c r="D917" t="s">
        <v>174</v>
      </c>
      <c r="E917" t="s">
        <v>258</v>
      </c>
      <c r="F917" t="s">
        <v>139</v>
      </c>
      <c r="G917">
        <v>21327</v>
      </c>
      <c r="H917" t="s">
        <v>260</v>
      </c>
      <c r="I917">
        <v>2</v>
      </c>
      <c r="J917" t="s">
        <v>107</v>
      </c>
      <c r="K917" s="19">
        <v>0.58333333333333337</v>
      </c>
      <c r="L917" s="19">
        <v>0.91666666666666663</v>
      </c>
      <c r="M917">
        <v>8</v>
      </c>
      <c r="N917">
        <v>326.52999999999997</v>
      </c>
      <c r="O917">
        <v>60</v>
      </c>
      <c r="P917">
        <v>76</v>
      </c>
      <c r="Q917" t="s">
        <v>99</v>
      </c>
      <c r="R917">
        <v>30</v>
      </c>
      <c r="S917" s="19">
        <v>0.79166666666666663</v>
      </c>
      <c r="T917">
        <v>0</v>
      </c>
      <c r="U917" s="19">
        <v>0</v>
      </c>
      <c r="V917" t="s">
        <v>99</v>
      </c>
      <c r="W917">
        <v>7.5</v>
      </c>
      <c r="X917" t="s">
        <v>102</v>
      </c>
      <c r="Y917" t="b">
        <v>0</v>
      </c>
    </row>
    <row r="918" spans="1:25" x14ac:dyDescent="0.55000000000000004">
      <c r="A918" t="s">
        <v>94</v>
      </c>
      <c r="B918" t="s">
        <v>173</v>
      </c>
      <c r="C918" t="s">
        <v>96</v>
      </c>
      <c r="D918" t="s">
        <v>174</v>
      </c>
      <c r="E918" t="s">
        <v>258</v>
      </c>
      <c r="F918" t="s">
        <v>139</v>
      </c>
      <c r="G918">
        <v>21327</v>
      </c>
      <c r="H918" t="s">
        <v>260</v>
      </c>
      <c r="I918">
        <v>2</v>
      </c>
      <c r="J918" t="s">
        <v>103</v>
      </c>
      <c r="K918" s="19">
        <v>0.58333333333333337</v>
      </c>
      <c r="L918" s="19">
        <v>0.91666666666666663</v>
      </c>
      <c r="M918">
        <v>8</v>
      </c>
      <c r="N918">
        <v>326.52999999999997</v>
      </c>
      <c r="O918">
        <v>60</v>
      </c>
      <c r="P918">
        <v>76</v>
      </c>
      <c r="Q918" t="s">
        <v>99</v>
      </c>
      <c r="R918">
        <v>30</v>
      </c>
      <c r="S918" s="19">
        <v>0.79166666666666663</v>
      </c>
      <c r="T918">
        <v>0</v>
      </c>
      <c r="U918" s="19">
        <v>0.54166666666666663</v>
      </c>
      <c r="V918" t="s">
        <v>99</v>
      </c>
      <c r="W918">
        <v>7.5</v>
      </c>
      <c r="X918" t="s">
        <v>102</v>
      </c>
      <c r="Y918" t="b">
        <v>0</v>
      </c>
    </row>
    <row r="919" spans="1:25" x14ac:dyDescent="0.55000000000000004">
      <c r="A919" t="s">
        <v>94</v>
      </c>
      <c r="B919" t="s">
        <v>173</v>
      </c>
      <c r="C919" t="s">
        <v>96</v>
      </c>
      <c r="D919" t="s">
        <v>174</v>
      </c>
      <c r="E919" t="s">
        <v>258</v>
      </c>
      <c r="F919" t="s">
        <v>139</v>
      </c>
      <c r="G919">
        <v>21327</v>
      </c>
      <c r="H919" t="s">
        <v>260</v>
      </c>
      <c r="I919">
        <v>2</v>
      </c>
      <c r="J919" t="s">
        <v>105</v>
      </c>
      <c r="K919" s="19">
        <v>0.58333333333333337</v>
      </c>
      <c r="L919" s="19">
        <v>0.91666666666666663</v>
      </c>
      <c r="M919">
        <v>8</v>
      </c>
      <c r="N919">
        <v>326.52999999999997</v>
      </c>
      <c r="O919">
        <v>60</v>
      </c>
      <c r="P919">
        <v>76</v>
      </c>
      <c r="Q919" t="s">
        <v>99</v>
      </c>
      <c r="R919">
        <v>30</v>
      </c>
      <c r="S919" s="19">
        <v>0.79166666666666663</v>
      </c>
      <c r="T919">
        <v>0</v>
      </c>
      <c r="U919" s="19">
        <v>0.54166666666666663</v>
      </c>
      <c r="V919" t="s">
        <v>99</v>
      </c>
      <c r="W919">
        <v>7.5</v>
      </c>
      <c r="X919" t="s">
        <v>102</v>
      </c>
      <c r="Y919" t="b">
        <v>0</v>
      </c>
    </row>
    <row r="920" spans="1:25" x14ac:dyDescent="0.55000000000000004">
      <c r="A920" t="s">
        <v>94</v>
      </c>
      <c r="B920" t="s">
        <v>173</v>
      </c>
      <c r="C920" t="s">
        <v>96</v>
      </c>
      <c r="D920" t="s">
        <v>174</v>
      </c>
      <c r="E920" t="s">
        <v>258</v>
      </c>
      <c r="F920" t="s">
        <v>139</v>
      </c>
      <c r="G920">
        <v>24136</v>
      </c>
      <c r="H920" t="s">
        <v>263</v>
      </c>
      <c r="I920">
        <v>1</v>
      </c>
      <c r="J920" t="s">
        <v>101</v>
      </c>
      <c r="K920" s="19">
        <v>0.58333333333333337</v>
      </c>
      <c r="L920" s="19">
        <v>0.91666666666666663</v>
      </c>
      <c r="M920">
        <v>8</v>
      </c>
      <c r="N920">
        <v>326.52999999999997</v>
      </c>
      <c r="O920">
        <v>46.5</v>
      </c>
      <c r="P920">
        <v>76</v>
      </c>
      <c r="Q920" t="s">
        <v>99</v>
      </c>
      <c r="R920">
        <v>30</v>
      </c>
      <c r="S920" s="19">
        <v>0.79166666666666663</v>
      </c>
      <c r="T920">
        <v>0</v>
      </c>
      <c r="U920" s="19">
        <v>0.54166666666666663</v>
      </c>
      <c r="V920" t="s">
        <v>99</v>
      </c>
      <c r="W920">
        <v>7.5</v>
      </c>
      <c r="X920" t="s">
        <v>102</v>
      </c>
      <c r="Y920" t="b">
        <v>0</v>
      </c>
    </row>
    <row r="921" spans="1:25" x14ac:dyDescent="0.55000000000000004">
      <c r="A921" t="s">
        <v>94</v>
      </c>
      <c r="B921" t="s">
        <v>173</v>
      </c>
      <c r="C921" t="s">
        <v>96</v>
      </c>
      <c r="D921" t="s">
        <v>174</v>
      </c>
      <c r="E921" t="s">
        <v>258</v>
      </c>
      <c r="F921" t="s">
        <v>139</v>
      </c>
      <c r="G921">
        <v>24136</v>
      </c>
      <c r="H921" t="s">
        <v>263</v>
      </c>
      <c r="I921">
        <v>2</v>
      </c>
      <c r="J921" t="s">
        <v>116</v>
      </c>
      <c r="K921" s="19">
        <v>0.58333333333333337</v>
      </c>
      <c r="L921" s="19">
        <v>0.91666666666666663</v>
      </c>
      <c r="M921">
        <v>8</v>
      </c>
      <c r="N921">
        <v>507.94</v>
      </c>
      <c r="O921">
        <v>46.5</v>
      </c>
      <c r="P921">
        <v>76</v>
      </c>
      <c r="Q921" t="s">
        <v>99</v>
      </c>
      <c r="R921">
        <v>30</v>
      </c>
      <c r="S921" s="19">
        <v>0.79166666666666663</v>
      </c>
      <c r="T921">
        <v>0</v>
      </c>
      <c r="U921" s="19">
        <v>0.54166666666666663</v>
      </c>
      <c r="V921" t="s">
        <v>99</v>
      </c>
      <c r="W921">
        <v>7.5</v>
      </c>
      <c r="X921" t="s">
        <v>102</v>
      </c>
      <c r="Y921" t="b">
        <v>0</v>
      </c>
    </row>
    <row r="922" spans="1:25" x14ac:dyDescent="0.55000000000000004">
      <c r="A922" t="s">
        <v>94</v>
      </c>
      <c r="B922" t="s">
        <v>173</v>
      </c>
      <c r="C922" t="s">
        <v>96</v>
      </c>
      <c r="D922" t="s">
        <v>174</v>
      </c>
      <c r="E922" t="s">
        <v>258</v>
      </c>
      <c r="F922" t="s">
        <v>139</v>
      </c>
      <c r="G922">
        <v>24635</v>
      </c>
      <c r="H922" t="s">
        <v>252</v>
      </c>
      <c r="I922">
        <v>2</v>
      </c>
      <c r="J922" t="s">
        <v>104</v>
      </c>
      <c r="K922" s="19">
        <v>0.58333333333333337</v>
      </c>
      <c r="L922" s="19">
        <v>0.91666666666666663</v>
      </c>
      <c r="M922">
        <v>8</v>
      </c>
      <c r="N922">
        <v>326.52999999999997</v>
      </c>
      <c r="O922">
        <v>47.5</v>
      </c>
      <c r="P922">
        <v>76</v>
      </c>
      <c r="Q922" t="s">
        <v>99</v>
      </c>
      <c r="R922">
        <v>30</v>
      </c>
      <c r="S922" s="19">
        <v>0.79166666666666663</v>
      </c>
      <c r="T922">
        <v>0</v>
      </c>
      <c r="U922" s="19">
        <v>0.54166666666666663</v>
      </c>
      <c r="V922" t="s">
        <v>99</v>
      </c>
      <c r="W922">
        <v>7.5</v>
      </c>
      <c r="X922" t="s">
        <v>102</v>
      </c>
      <c r="Y922" t="b">
        <v>0</v>
      </c>
    </row>
    <row r="923" spans="1:25" x14ac:dyDescent="0.55000000000000004">
      <c r="A923" t="s">
        <v>94</v>
      </c>
      <c r="B923" t="s">
        <v>173</v>
      </c>
      <c r="C923" t="s">
        <v>96</v>
      </c>
      <c r="D923" t="s">
        <v>174</v>
      </c>
      <c r="E923" t="s">
        <v>258</v>
      </c>
      <c r="F923" t="s">
        <v>139</v>
      </c>
      <c r="G923">
        <v>26243</v>
      </c>
      <c r="H923" t="s">
        <v>253</v>
      </c>
      <c r="I923">
        <v>1</v>
      </c>
      <c r="J923" t="s">
        <v>104</v>
      </c>
      <c r="K923" s="19">
        <v>0.5625</v>
      </c>
      <c r="L923" s="19">
        <v>0.91666666666666663</v>
      </c>
      <c r="M923">
        <v>8.5</v>
      </c>
      <c r="N923">
        <v>348.3</v>
      </c>
      <c r="O923">
        <v>39.5</v>
      </c>
      <c r="P923">
        <v>76</v>
      </c>
      <c r="Q923" t="s">
        <v>99</v>
      </c>
      <c r="R923">
        <v>30</v>
      </c>
      <c r="S923" s="19">
        <v>0.79166666666666663</v>
      </c>
      <c r="T923">
        <v>0</v>
      </c>
      <c r="U923" s="19">
        <v>0.54166666666666663</v>
      </c>
      <c r="V923" t="s">
        <v>99</v>
      </c>
      <c r="W923">
        <v>8</v>
      </c>
      <c r="X923" t="s">
        <v>102</v>
      </c>
      <c r="Y923" t="b">
        <v>0</v>
      </c>
    </row>
    <row r="924" spans="1:25" x14ac:dyDescent="0.55000000000000004">
      <c r="A924" t="s">
        <v>94</v>
      </c>
      <c r="B924" t="s">
        <v>173</v>
      </c>
      <c r="C924" t="s">
        <v>96</v>
      </c>
      <c r="D924" t="s">
        <v>174</v>
      </c>
      <c r="E924" t="s">
        <v>258</v>
      </c>
      <c r="F924" t="s">
        <v>141</v>
      </c>
      <c r="G924">
        <v>19843</v>
      </c>
      <c r="H924" t="s">
        <v>256</v>
      </c>
      <c r="I924">
        <v>1</v>
      </c>
      <c r="J924" t="s">
        <v>104</v>
      </c>
      <c r="K924" s="19">
        <v>0.58333333333333337</v>
      </c>
      <c r="L924" s="19">
        <v>0.91666666666666663</v>
      </c>
      <c r="M924">
        <v>8</v>
      </c>
      <c r="N924">
        <v>0</v>
      </c>
      <c r="O924">
        <v>70</v>
      </c>
      <c r="P924">
        <v>76</v>
      </c>
      <c r="Q924" t="s">
        <v>99</v>
      </c>
      <c r="R924">
        <v>30</v>
      </c>
      <c r="S924" s="19">
        <v>0.79166666666666663</v>
      </c>
      <c r="T924">
        <v>0</v>
      </c>
      <c r="U924" s="19">
        <v>0.54166666666666663</v>
      </c>
      <c r="V924" t="s">
        <v>99</v>
      </c>
      <c r="W924">
        <v>7.5</v>
      </c>
      <c r="X924" t="s">
        <v>102</v>
      </c>
      <c r="Y924" t="b">
        <v>0</v>
      </c>
    </row>
    <row r="925" spans="1:25" x14ac:dyDescent="0.55000000000000004">
      <c r="A925" t="s">
        <v>94</v>
      </c>
      <c r="B925" t="s">
        <v>173</v>
      </c>
      <c r="C925" t="s">
        <v>96</v>
      </c>
      <c r="D925" t="s">
        <v>174</v>
      </c>
      <c r="E925" t="s">
        <v>258</v>
      </c>
      <c r="F925" t="s">
        <v>141</v>
      </c>
      <c r="G925">
        <v>20862</v>
      </c>
      <c r="H925" t="s">
        <v>247</v>
      </c>
      <c r="I925">
        <v>1</v>
      </c>
      <c r="J925" t="s">
        <v>101</v>
      </c>
      <c r="K925" s="19">
        <v>0.58333333333333337</v>
      </c>
      <c r="L925" s="19">
        <v>0.91666666666666663</v>
      </c>
      <c r="M925">
        <v>8</v>
      </c>
      <c r="N925">
        <v>326.52999999999997</v>
      </c>
      <c r="O925">
        <v>70</v>
      </c>
      <c r="P925">
        <v>76</v>
      </c>
      <c r="Q925" t="s">
        <v>99</v>
      </c>
      <c r="R925">
        <v>30</v>
      </c>
      <c r="S925" s="19">
        <v>0.79166666666666663</v>
      </c>
      <c r="T925">
        <v>0</v>
      </c>
      <c r="U925" s="19">
        <v>0</v>
      </c>
      <c r="V925" t="s">
        <v>99</v>
      </c>
      <c r="W925">
        <v>7.5</v>
      </c>
      <c r="X925" t="s">
        <v>102</v>
      </c>
      <c r="Y925" t="b">
        <v>0</v>
      </c>
    </row>
    <row r="926" spans="1:25" x14ac:dyDescent="0.55000000000000004">
      <c r="A926" t="s">
        <v>94</v>
      </c>
      <c r="B926" t="s">
        <v>173</v>
      </c>
      <c r="C926" t="s">
        <v>96</v>
      </c>
      <c r="D926" t="s">
        <v>174</v>
      </c>
      <c r="E926" t="s">
        <v>258</v>
      </c>
      <c r="F926" t="s">
        <v>141</v>
      </c>
      <c r="G926">
        <v>20950</v>
      </c>
      <c r="H926" t="s">
        <v>259</v>
      </c>
      <c r="I926">
        <v>2</v>
      </c>
      <c r="J926" t="s">
        <v>101</v>
      </c>
      <c r="K926" s="19">
        <v>0.58333333333333337</v>
      </c>
      <c r="L926" s="19">
        <v>0.91666666666666663</v>
      </c>
      <c r="M926">
        <v>8</v>
      </c>
      <c r="N926">
        <v>0</v>
      </c>
      <c r="O926">
        <v>52.5</v>
      </c>
      <c r="P926">
        <v>76</v>
      </c>
      <c r="Q926" t="s">
        <v>99</v>
      </c>
      <c r="R926">
        <v>30</v>
      </c>
      <c r="S926" s="19">
        <v>0.79166666666666663</v>
      </c>
      <c r="T926">
        <v>0</v>
      </c>
      <c r="U926" s="19">
        <v>0.54166666666666663</v>
      </c>
      <c r="V926" t="s">
        <v>99</v>
      </c>
      <c r="W926">
        <v>7.5</v>
      </c>
      <c r="X926" t="s">
        <v>102</v>
      </c>
      <c r="Y926" t="b">
        <v>0</v>
      </c>
    </row>
    <row r="927" spans="1:25" x14ac:dyDescent="0.55000000000000004">
      <c r="A927" t="s">
        <v>94</v>
      </c>
      <c r="B927" t="s">
        <v>173</v>
      </c>
      <c r="C927" t="s">
        <v>96</v>
      </c>
      <c r="D927" t="s">
        <v>174</v>
      </c>
      <c r="E927" t="s">
        <v>258</v>
      </c>
      <c r="F927" t="s">
        <v>141</v>
      </c>
      <c r="G927">
        <v>20950</v>
      </c>
      <c r="H927" t="s">
        <v>259</v>
      </c>
      <c r="I927">
        <v>2</v>
      </c>
      <c r="J927" t="s">
        <v>104</v>
      </c>
      <c r="K927" s="19">
        <v>0.58333333333333337</v>
      </c>
      <c r="L927" s="19">
        <v>0.91666666666666663</v>
      </c>
      <c r="M927">
        <v>8</v>
      </c>
      <c r="N927">
        <v>0</v>
      </c>
      <c r="O927">
        <v>52.5</v>
      </c>
      <c r="P927">
        <v>76</v>
      </c>
      <c r="Q927" t="s">
        <v>99</v>
      </c>
      <c r="R927">
        <v>30</v>
      </c>
      <c r="S927" s="19">
        <v>0.79166666666666663</v>
      </c>
      <c r="T927">
        <v>0</v>
      </c>
      <c r="U927" s="19">
        <v>0.54166666666666663</v>
      </c>
      <c r="V927" t="s">
        <v>99</v>
      </c>
      <c r="W927">
        <v>7.5</v>
      </c>
      <c r="X927" t="s">
        <v>102</v>
      </c>
      <c r="Y927" t="b">
        <v>0</v>
      </c>
    </row>
    <row r="928" spans="1:25" x14ac:dyDescent="0.55000000000000004">
      <c r="A928" t="s">
        <v>94</v>
      </c>
      <c r="B928" t="s">
        <v>173</v>
      </c>
      <c r="C928" t="s">
        <v>96</v>
      </c>
      <c r="D928" t="s">
        <v>174</v>
      </c>
      <c r="E928" t="s">
        <v>258</v>
      </c>
      <c r="F928" t="s">
        <v>141</v>
      </c>
      <c r="G928">
        <v>21916</v>
      </c>
      <c r="H928" t="s">
        <v>264</v>
      </c>
      <c r="I928">
        <v>1</v>
      </c>
      <c r="J928" t="s">
        <v>107</v>
      </c>
      <c r="K928" s="19">
        <v>0.58333333333333337</v>
      </c>
      <c r="L928" s="19">
        <v>0.91666666666666663</v>
      </c>
      <c r="M928">
        <v>8</v>
      </c>
      <c r="N928">
        <v>0</v>
      </c>
      <c r="O928">
        <v>60</v>
      </c>
      <c r="P928">
        <v>76</v>
      </c>
      <c r="Q928" t="s">
        <v>99</v>
      </c>
      <c r="R928">
        <v>30</v>
      </c>
      <c r="S928" s="19">
        <v>0.79166666666666663</v>
      </c>
      <c r="T928">
        <v>0</v>
      </c>
      <c r="U928" s="19">
        <v>0</v>
      </c>
      <c r="V928" t="s">
        <v>99</v>
      </c>
      <c r="W928">
        <v>7.5</v>
      </c>
      <c r="X928" t="s">
        <v>102</v>
      </c>
      <c r="Y928" t="b">
        <v>0</v>
      </c>
    </row>
    <row r="929" spans="1:25" x14ac:dyDescent="0.55000000000000004">
      <c r="A929" t="s">
        <v>94</v>
      </c>
      <c r="B929" t="s">
        <v>173</v>
      </c>
      <c r="C929" t="s">
        <v>96</v>
      </c>
      <c r="D929" t="s">
        <v>174</v>
      </c>
      <c r="E929" t="s">
        <v>258</v>
      </c>
      <c r="F929" t="s">
        <v>141</v>
      </c>
      <c r="G929">
        <v>21916</v>
      </c>
      <c r="H929" t="s">
        <v>264</v>
      </c>
      <c r="I929">
        <v>1</v>
      </c>
      <c r="J929" t="s">
        <v>115</v>
      </c>
      <c r="K929" s="19">
        <v>0.58333333333333337</v>
      </c>
      <c r="L929" s="19">
        <v>0.91666666666666663</v>
      </c>
      <c r="M929">
        <v>8</v>
      </c>
      <c r="N929">
        <v>0</v>
      </c>
      <c r="O929">
        <v>60</v>
      </c>
      <c r="P929">
        <v>76</v>
      </c>
      <c r="Q929" t="s">
        <v>99</v>
      </c>
      <c r="R929">
        <v>30</v>
      </c>
      <c r="S929" s="19">
        <v>0.79166666666666663</v>
      </c>
      <c r="T929">
        <v>0</v>
      </c>
      <c r="U929" s="19">
        <v>0</v>
      </c>
      <c r="V929" t="s">
        <v>99</v>
      </c>
      <c r="W929">
        <v>7.5</v>
      </c>
      <c r="X929" t="s">
        <v>102</v>
      </c>
      <c r="Y929" t="b">
        <v>0</v>
      </c>
    </row>
    <row r="930" spans="1:25" x14ac:dyDescent="0.55000000000000004">
      <c r="A930" t="s">
        <v>94</v>
      </c>
      <c r="B930" t="s">
        <v>173</v>
      </c>
      <c r="C930" t="s">
        <v>96</v>
      </c>
      <c r="D930" t="s">
        <v>174</v>
      </c>
      <c r="E930" t="s">
        <v>258</v>
      </c>
      <c r="F930" t="s">
        <v>141</v>
      </c>
      <c r="G930">
        <v>21916</v>
      </c>
      <c r="H930" t="s">
        <v>264</v>
      </c>
      <c r="I930">
        <v>1</v>
      </c>
      <c r="J930" t="s">
        <v>116</v>
      </c>
      <c r="K930" s="19">
        <v>0.58333333333333337</v>
      </c>
      <c r="L930" s="19">
        <v>0.91666666666666663</v>
      </c>
      <c r="M930">
        <v>8</v>
      </c>
      <c r="N930">
        <v>0</v>
      </c>
      <c r="O930">
        <v>60</v>
      </c>
      <c r="P930">
        <v>76</v>
      </c>
      <c r="Q930" t="s">
        <v>99</v>
      </c>
      <c r="R930">
        <v>30</v>
      </c>
      <c r="S930" s="19">
        <v>0.79166666666666663</v>
      </c>
      <c r="T930">
        <v>0</v>
      </c>
      <c r="U930" s="19">
        <v>0</v>
      </c>
      <c r="V930" t="s">
        <v>99</v>
      </c>
      <c r="W930">
        <v>7.5</v>
      </c>
      <c r="X930" t="s">
        <v>102</v>
      </c>
      <c r="Y930" t="b">
        <v>0</v>
      </c>
    </row>
    <row r="931" spans="1:25" x14ac:dyDescent="0.55000000000000004">
      <c r="A931" t="s">
        <v>94</v>
      </c>
      <c r="B931" t="s">
        <v>173</v>
      </c>
      <c r="C931" t="s">
        <v>96</v>
      </c>
      <c r="D931" t="s">
        <v>174</v>
      </c>
      <c r="E931" t="s">
        <v>258</v>
      </c>
      <c r="F931" t="s">
        <v>141</v>
      </c>
      <c r="G931">
        <v>21916</v>
      </c>
      <c r="H931" t="s">
        <v>264</v>
      </c>
      <c r="I931">
        <v>1</v>
      </c>
      <c r="J931" t="s">
        <v>103</v>
      </c>
      <c r="K931" s="19">
        <v>0.58333333333333337</v>
      </c>
      <c r="L931" s="19">
        <v>0.91666666666666663</v>
      </c>
      <c r="M931">
        <v>8</v>
      </c>
      <c r="N931">
        <v>0</v>
      </c>
      <c r="O931">
        <v>60</v>
      </c>
      <c r="P931">
        <v>76</v>
      </c>
      <c r="Q931" t="s">
        <v>99</v>
      </c>
      <c r="R931">
        <v>30</v>
      </c>
      <c r="S931" s="19">
        <v>0.79166666666666663</v>
      </c>
      <c r="T931">
        <v>0</v>
      </c>
      <c r="U931" s="19">
        <v>0</v>
      </c>
      <c r="V931" t="s">
        <v>99</v>
      </c>
      <c r="W931">
        <v>7.5</v>
      </c>
      <c r="X931" t="s">
        <v>102</v>
      </c>
      <c r="Y931" t="b">
        <v>0</v>
      </c>
    </row>
    <row r="932" spans="1:25" x14ac:dyDescent="0.55000000000000004">
      <c r="A932" t="s">
        <v>94</v>
      </c>
      <c r="B932" t="s">
        <v>173</v>
      </c>
      <c r="C932" t="s">
        <v>96</v>
      </c>
      <c r="D932" t="s">
        <v>174</v>
      </c>
      <c r="E932" t="s">
        <v>258</v>
      </c>
      <c r="F932" t="s">
        <v>141</v>
      </c>
      <c r="G932">
        <v>21916</v>
      </c>
      <c r="H932" t="s">
        <v>264</v>
      </c>
      <c r="I932">
        <v>1</v>
      </c>
      <c r="J932" t="s">
        <v>105</v>
      </c>
      <c r="K932" s="19">
        <v>0.58333333333333337</v>
      </c>
      <c r="L932" s="19">
        <v>0.91666666666666663</v>
      </c>
      <c r="M932">
        <v>8</v>
      </c>
      <c r="N932">
        <v>0</v>
      </c>
      <c r="O932">
        <v>60</v>
      </c>
      <c r="P932">
        <v>76</v>
      </c>
      <c r="Q932" t="s">
        <v>99</v>
      </c>
      <c r="R932">
        <v>30</v>
      </c>
      <c r="S932" s="19">
        <v>0.79166666666666663</v>
      </c>
      <c r="T932">
        <v>0</v>
      </c>
      <c r="U932" s="19">
        <v>0</v>
      </c>
      <c r="V932" t="s">
        <v>99</v>
      </c>
      <c r="W932">
        <v>7.5</v>
      </c>
      <c r="X932" t="s">
        <v>102</v>
      </c>
      <c r="Y932" t="b">
        <v>0</v>
      </c>
    </row>
    <row r="933" spans="1:25" x14ac:dyDescent="0.55000000000000004">
      <c r="A933" t="s">
        <v>94</v>
      </c>
      <c r="B933" t="s">
        <v>173</v>
      </c>
      <c r="C933" t="s">
        <v>96</v>
      </c>
      <c r="D933" t="s">
        <v>174</v>
      </c>
      <c r="E933" t="s">
        <v>258</v>
      </c>
      <c r="F933" t="s">
        <v>141</v>
      </c>
      <c r="G933">
        <v>21916</v>
      </c>
      <c r="H933" t="s">
        <v>264</v>
      </c>
      <c r="I933">
        <v>2</v>
      </c>
      <c r="J933" t="s">
        <v>107</v>
      </c>
      <c r="K933" s="19">
        <v>0.58333333333333337</v>
      </c>
      <c r="L933" s="19">
        <v>0.91666666666666663</v>
      </c>
      <c r="M933">
        <v>8</v>
      </c>
      <c r="N933">
        <v>0</v>
      </c>
      <c r="O933">
        <v>60</v>
      </c>
      <c r="P933">
        <v>76</v>
      </c>
      <c r="Q933" t="s">
        <v>99</v>
      </c>
      <c r="R933">
        <v>30</v>
      </c>
      <c r="S933" s="19">
        <v>0.79166666666666663</v>
      </c>
      <c r="T933">
        <v>0</v>
      </c>
      <c r="U933" s="19">
        <v>0</v>
      </c>
      <c r="V933" t="s">
        <v>99</v>
      </c>
      <c r="W933">
        <v>7.5</v>
      </c>
      <c r="X933" t="s">
        <v>102</v>
      </c>
      <c r="Y933" t="b">
        <v>0</v>
      </c>
    </row>
    <row r="934" spans="1:25" x14ac:dyDescent="0.55000000000000004">
      <c r="A934" t="s">
        <v>94</v>
      </c>
      <c r="B934" t="s">
        <v>173</v>
      </c>
      <c r="C934" t="s">
        <v>96</v>
      </c>
      <c r="D934" t="s">
        <v>174</v>
      </c>
      <c r="E934" t="s">
        <v>258</v>
      </c>
      <c r="F934" t="s">
        <v>141</v>
      </c>
      <c r="G934">
        <v>21916</v>
      </c>
      <c r="H934" t="s">
        <v>264</v>
      </c>
      <c r="I934">
        <v>2</v>
      </c>
      <c r="J934" t="s">
        <v>103</v>
      </c>
      <c r="K934" s="19">
        <v>0.58333333333333337</v>
      </c>
      <c r="L934" s="19">
        <v>0.91666666666666663</v>
      </c>
      <c r="M934">
        <v>8</v>
      </c>
      <c r="N934">
        <v>0</v>
      </c>
      <c r="O934">
        <v>60</v>
      </c>
      <c r="P934">
        <v>76</v>
      </c>
      <c r="Q934" t="s">
        <v>99</v>
      </c>
      <c r="R934">
        <v>30</v>
      </c>
      <c r="S934" s="19">
        <v>0.79166666666666663</v>
      </c>
      <c r="T934">
        <v>0</v>
      </c>
      <c r="U934" s="19">
        <v>0</v>
      </c>
      <c r="V934" t="s">
        <v>99</v>
      </c>
      <c r="W934">
        <v>7.5</v>
      </c>
      <c r="X934" t="s">
        <v>102</v>
      </c>
      <c r="Y934" t="b">
        <v>0</v>
      </c>
    </row>
    <row r="935" spans="1:25" x14ac:dyDescent="0.55000000000000004">
      <c r="A935" t="s">
        <v>94</v>
      </c>
      <c r="B935" t="s">
        <v>173</v>
      </c>
      <c r="C935" t="s">
        <v>96</v>
      </c>
      <c r="D935" t="s">
        <v>174</v>
      </c>
      <c r="E935" t="s">
        <v>258</v>
      </c>
      <c r="F935" t="s">
        <v>141</v>
      </c>
      <c r="G935">
        <v>21916</v>
      </c>
      <c r="H935" t="s">
        <v>264</v>
      </c>
      <c r="I935">
        <v>2</v>
      </c>
      <c r="J935" t="s">
        <v>105</v>
      </c>
      <c r="K935" s="19">
        <v>0.58333333333333337</v>
      </c>
      <c r="L935" s="19">
        <v>0.91666666666666663</v>
      </c>
      <c r="M935">
        <v>8</v>
      </c>
      <c r="N935">
        <v>0</v>
      </c>
      <c r="O935">
        <v>60</v>
      </c>
      <c r="P935">
        <v>76</v>
      </c>
      <c r="Q935" t="s">
        <v>99</v>
      </c>
      <c r="R935">
        <v>30</v>
      </c>
      <c r="S935" s="19">
        <v>0.79166666666666663</v>
      </c>
      <c r="T935">
        <v>0</v>
      </c>
      <c r="U935" s="19">
        <v>0</v>
      </c>
      <c r="V935" t="s">
        <v>99</v>
      </c>
      <c r="W935">
        <v>7.5</v>
      </c>
      <c r="X935" t="s">
        <v>102</v>
      </c>
      <c r="Y935" t="b">
        <v>0</v>
      </c>
    </row>
    <row r="936" spans="1:25" x14ac:dyDescent="0.55000000000000004">
      <c r="A936" t="s">
        <v>94</v>
      </c>
      <c r="B936" t="s">
        <v>173</v>
      </c>
      <c r="C936" t="s">
        <v>96</v>
      </c>
      <c r="D936" t="s">
        <v>174</v>
      </c>
      <c r="E936" t="s">
        <v>258</v>
      </c>
      <c r="F936" t="s">
        <v>141</v>
      </c>
      <c r="G936">
        <v>23091</v>
      </c>
      <c r="H936" t="s">
        <v>257</v>
      </c>
      <c r="I936">
        <v>2</v>
      </c>
      <c r="J936" t="s">
        <v>116</v>
      </c>
      <c r="K936" s="19">
        <v>0.58333333333333337</v>
      </c>
      <c r="L936" s="19">
        <v>0.91666666666666663</v>
      </c>
      <c r="M936">
        <v>8</v>
      </c>
      <c r="N936">
        <v>0</v>
      </c>
      <c r="O936">
        <v>31.5</v>
      </c>
      <c r="P936">
        <v>76</v>
      </c>
      <c r="Q936" t="s">
        <v>99</v>
      </c>
      <c r="R936">
        <v>30</v>
      </c>
      <c r="S936" s="19">
        <v>0.79166666666666663</v>
      </c>
      <c r="T936">
        <v>0</v>
      </c>
      <c r="U936" s="19">
        <v>0.54166666666666663</v>
      </c>
      <c r="V936" t="s">
        <v>99</v>
      </c>
      <c r="W936">
        <v>7.5</v>
      </c>
      <c r="X936" t="s">
        <v>102</v>
      </c>
      <c r="Y936" t="b">
        <v>0</v>
      </c>
    </row>
    <row r="937" spans="1:25" x14ac:dyDescent="0.55000000000000004">
      <c r="A937" t="s">
        <v>94</v>
      </c>
      <c r="B937" t="s">
        <v>173</v>
      </c>
      <c r="C937" t="s">
        <v>96</v>
      </c>
      <c r="D937" t="s">
        <v>174</v>
      </c>
      <c r="E937" t="s">
        <v>258</v>
      </c>
      <c r="F937" t="s">
        <v>141</v>
      </c>
      <c r="G937">
        <v>23973</v>
      </c>
      <c r="H937" t="s">
        <v>261</v>
      </c>
      <c r="I937">
        <v>2</v>
      </c>
      <c r="J937" t="s">
        <v>115</v>
      </c>
      <c r="K937" s="19">
        <v>0.58333333333333337</v>
      </c>
      <c r="L937" s="19">
        <v>0.91666666666666663</v>
      </c>
      <c r="M937">
        <v>8</v>
      </c>
      <c r="N937">
        <v>0</v>
      </c>
      <c r="O937">
        <v>52.5</v>
      </c>
      <c r="P937">
        <v>76</v>
      </c>
      <c r="Q937" t="s">
        <v>99</v>
      </c>
      <c r="R937">
        <v>30</v>
      </c>
      <c r="S937" s="19">
        <v>0.79166666666666663</v>
      </c>
      <c r="T937">
        <v>0</v>
      </c>
      <c r="U937" s="19">
        <v>0.54166666666666663</v>
      </c>
      <c r="V937" t="s">
        <v>99</v>
      </c>
      <c r="W937">
        <v>7.5</v>
      </c>
      <c r="X937" t="s">
        <v>102</v>
      </c>
      <c r="Y937" t="b">
        <v>0</v>
      </c>
    </row>
    <row r="938" spans="1:25" x14ac:dyDescent="0.55000000000000004">
      <c r="A938" t="s">
        <v>94</v>
      </c>
      <c r="B938" t="s">
        <v>173</v>
      </c>
      <c r="C938" t="s">
        <v>96</v>
      </c>
      <c r="D938" t="s">
        <v>174</v>
      </c>
      <c r="E938" t="s">
        <v>265</v>
      </c>
      <c r="F938" t="s">
        <v>118</v>
      </c>
      <c r="G938">
        <v>24780</v>
      </c>
      <c r="H938" t="s">
        <v>266</v>
      </c>
      <c r="I938">
        <v>1</v>
      </c>
      <c r="J938" t="s">
        <v>115</v>
      </c>
      <c r="K938" s="19">
        <v>0.25</v>
      </c>
      <c r="L938" s="19">
        <v>0.60416666666666663</v>
      </c>
      <c r="M938">
        <v>8.5</v>
      </c>
      <c r="N938">
        <v>0</v>
      </c>
      <c r="O938">
        <v>76</v>
      </c>
      <c r="P938">
        <v>76</v>
      </c>
      <c r="Q938" t="s">
        <v>99</v>
      </c>
      <c r="R938">
        <v>30</v>
      </c>
      <c r="S938" s="19">
        <v>0.4375</v>
      </c>
      <c r="T938">
        <v>0</v>
      </c>
      <c r="U938" s="19">
        <v>0.54166666666666663</v>
      </c>
      <c r="V938" t="s">
        <v>99</v>
      </c>
      <c r="W938">
        <v>8</v>
      </c>
      <c r="X938" t="s">
        <v>102</v>
      </c>
      <c r="Y938" t="b">
        <v>0</v>
      </c>
    </row>
    <row r="939" spans="1:25" x14ac:dyDescent="0.55000000000000004">
      <c r="A939" t="s">
        <v>94</v>
      </c>
      <c r="B939" t="s">
        <v>173</v>
      </c>
      <c r="C939" t="s">
        <v>96</v>
      </c>
      <c r="D939" t="s">
        <v>174</v>
      </c>
      <c r="E939" t="s">
        <v>265</v>
      </c>
      <c r="F939" t="s">
        <v>118</v>
      </c>
      <c r="G939">
        <v>24780</v>
      </c>
      <c r="H939" t="s">
        <v>266</v>
      </c>
      <c r="I939">
        <v>1</v>
      </c>
      <c r="J939" t="s">
        <v>116</v>
      </c>
      <c r="K939" s="19">
        <v>0.25</v>
      </c>
      <c r="L939" s="19">
        <v>0.60416666666666663</v>
      </c>
      <c r="M939">
        <v>8.5</v>
      </c>
      <c r="N939">
        <v>0</v>
      </c>
      <c r="O939">
        <v>76</v>
      </c>
      <c r="P939">
        <v>76</v>
      </c>
      <c r="Q939" t="s">
        <v>99</v>
      </c>
      <c r="R939">
        <v>30</v>
      </c>
      <c r="S939" s="19">
        <v>0.4375</v>
      </c>
      <c r="T939">
        <v>0</v>
      </c>
      <c r="U939" s="19">
        <v>0.54166666666666663</v>
      </c>
      <c r="V939" t="s">
        <v>99</v>
      </c>
      <c r="W939">
        <v>8</v>
      </c>
      <c r="X939" t="s">
        <v>102</v>
      </c>
      <c r="Y939" t="b">
        <v>0</v>
      </c>
    </row>
    <row r="940" spans="1:25" x14ac:dyDescent="0.55000000000000004">
      <c r="A940" t="s">
        <v>94</v>
      </c>
      <c r="B940" t="s">
        <v>173</v>
      </c>
      <c r="C940" t="s">
        <v>96</v>
      </c>
      <c r="D940" t="s">
        <v>174</v>
      </c>
      <c r="E940" t="s">
        <v>267</v>
      </c>
      <c r="F940" t="s">
        <v>118</v>
      </c>
      <c r="H940" t="s">
        <v>99</v>
      </c>
      <c r="I940">
        <v>2</v>
      </c>
      <c r="J940" t="s">
        <v>107</v>
      </c>
      <c r="K940" s="19">
        <v>0.58333333333333337</v>
      </c>
      <c r="L940" s="19">
        <v>0.9375</v>
      </c>
      <c r="M940">
        <v>8.5</v>
      </c>
      <c r="N940">
        <v>485.33</v>
      </c>
      <c r="O940">
        <v>0</v>
      </c>
      <c r="P940">
        <v>0</v>
      </c>
      <c r="Q940" t="s">
        <v>99</v>
      </c>
      <c r="R940">
        <v>30</v>
      </c>
      <c r="S940" s="19">
        <v>0.72916666666666663</v>
      </c>
      <c r="T940">
        <v>0</v>
      </c>
      <c r="U940" s="19">
        <v>0.54166666666666663</v>
      </c>
      <c r="V940" t="s">
        <v>99</v>
      </c>
      <c r="W940">
        <v>8</v>
      </c>
      <c r="X940" t="s">
        <v>102</v>
      </c>
      <c r="Y940" t="b">
        <v>0</v>
      </c>
    </row>
    <row r="941" spans="1:25" x14ac:dyDescent="0.55000000000000004">
      <c r="A941" t="s">
        <v>94</v>
      </c>
      <c r="B941" t="s">
        <v>173</v>
      </c>
      <c r="C941" t="s">
        <v>96</v>
      </c>
      <c r="D941" t="s">
        <v>174</v>
      </c>
      <c r="E941" t="s">
        <v>267</v>
      </c>
      <c r="F941" t="s">
        <v>118</v>
      </c>
      <c r="G941">
        <v>17989</v>
      </c>
      <c r="H941" t="s">
        <v>268</v>
      </c>
      <c r="I941">
        <v>1</v>
      </c>
      <c r="J941" t="s">
        <v>107</v>
      </c>
      <c r="K941" s="19">
        <v>0.58333333333333337</v>
      </c>
      <c r="L941" s="19">
        <v>0.9375</v>
      </c>
      <c r="M941">
        <v>8.5</v>
      </c>
      <c r="N941">
        <v>514.04999999999995</v>
      </c>
      <c r="O941">
        <v>40</v>
      </c>
      <c r="P941">
        <v>76</v>
      </c>
      <c r="Q941" t="s">
        <v>99</v>
      </c>
      <c r="R941">
        <v>30</v>
      </c>
      <c r="S941" s="19">
        <v>0.77083333333333337</v>
      </c>
      <c r="T941">
        <v>0</v>
      </c>
      <c r="U941" s="19">
        <v>0.54166666666666663</v>
      </c>
      <c r="V941" t="s">
        <v>99</v>
      </c>
      <c r="W941">
        <v>8</v>
      </c>
      <c r="X941" t="s">
        <v>102</v>
      </c>
      <c r="Y941" t="b">
        <v>0</v>
      </c>
    </row>
    <row r="942" spans="1:25" x14ac:dyDescent="0.55000000000000004">
      <c r="A942" t="s">
        <v>94</v>
      </c>
      <c r="B942" t="s">
        <v>173</v>
      </c>
      <c r="C942" t="s">
        <v>96</v>
      </c>
      <c r="D942" t="s">
        <v>174</v>
      </c>
      <c r="E942" t="s">
        <v>267</v>
      </c>
      <c r="F942" t="s">
        <v>118</v>
      </c>
      <c r="G942">
        <v>17989</v>
      </c>
      <c r="H942" t="s">
        <v>268</v>
      </c>
      <c r="I942">
        <v>1</v>
      </c>
      <c r="J942" t="s">
        <v>115</v>
      </c>
      <c r="K942" s="19">
        <v>0.58333333333333337</v>
      </c>
      <c r="L942" s="19">
        <v>0.9375</v>
      </c>
      <c r="M942">
        <v>8.5</v>
      </c>
      <c r="N942">
        <v>687.68</v>
      </c>
      <c r="O942">
        <v>40</v>
      </c>
      <c r="P942">
        <v>76</v>
      </c>
      <c r="Q942" t="s">
        <v>99</v>
      </c>
      <c r="R942">
        <v>30</v>
      </c>
      <c r="S942" s="19">
        <v>0.77083333333333337</v>
      </c>
      <c r="T942">
        <v>0</v>
      </c>
      <c r="U942" s="19">
        <v>0.54166666666666663</v>
      </c>
      <c r="V942" t="s">
        <v>99</v>
      </c>
      <c r="W942">
        <v>8</v>
      </c>
      <c r="X942" t="s">
        <v>102</v>
      </c>
      <c r="Y942" t="b">
        <v>0</v>
      </c>
    </row>
    <row r="943" spans="1:25" x14ac:dyDescent="0.55000000000000004">
      <c r="A943" t="s">
        <v>94</v>
      </c>
      <c r="B943" t="s">
        <v>173</v>
      </c>
      <c r="C943" t="s">
        <v>96</v>
      </c>
      <c r="D943" t="s">
        <v>174</v>
      </c>
      <c r="E943" t="s">
        <v>267</v>
      </c>
      <c r="F943" t="s">
        <v>118</v>
      </c>
      <c r="G943">
        <v>17989</v>
      </c>
      <c r="H943" t="s">
        <v>268</v>
      </c>
      <c r="I943">
        <v>1</v>
      </c>
      <c r="J943" t="s">
        <v>116</v>
      </c>
      <c r="K943" s="19">
        <v>0.58333333333333337</v>
      </c>
      <c r="L943" s="19">
        <v>0.9375</v>
      </c>
      <c r="M943">
        <v>8.5</v>
      </c>
      <c r="N943">
        <v>797.72</v>
      </c>
      <c r="O943">
        <v>40</v>
      </c>
      <c r="P943">
        <v>76</v>
      </c>
      <c r="Q943" t="s">
        <v>99</v>
      </c>
      <c r="R943">
        <v>30</v>
      </c>
      <c r="S943" s="19">
        <v>0.77083333333333337</v>
      </c>
      <c r="T943">
        <v>0</v>
      </c>
      <c r="U943" s="19">
        <v>0.54166666666666663</v>
      </c>
      <c r="V943" t="s">
        <v>99</v>
      </c>
      <c r="W943">
        <v>8</v>
      </c>
      <c r="X943" t="s">
        <v>102</v>
      </c>
      <c r="Y943" t="b">
        <v>0</v>
      </c>
    </row>
    <row r="944" spans="1:25" x14ac:dyDescent="0.55000000000000004">
      <c r="A944" t="s">
        <v>94</v>
      </c>
      <c r="B944" t="s">
        <v>173</v>
      </c>
      <c r="C944" t="s">
        <v>96</v>
      </c>
      <c r="D944" t="s">
        <v>174</v>
      </c>
      <c r="E944" t="s">
        <v>267</v>
      </c>
      <c r="F944" t="s">
        <v>118</v>
      </c>
      <c r="G944">
        <v>17989</v>
      </c>
      <c r="H944" t="s">
        <v>268</v>
      </c>
      <c r="I944">
        <v>1</v>
      </c>
      <c r="J944" t="s">
        <v>103</v>
      </c>
      <c r="K944" s="19">
        <v>0.54166666666666663</v>
      </c>
      <c r="L944" s="19">
        <v>0.9375</v>
      </c>
      <c r="M944">
        <v>9.5</v>
      </c>
      <c r="N944">
        <v>575.94000000000005</v>
      </c>
      <c r="O944">
        <v>40</v>
      </c>
      <c r="P944">
        <v>76</v>
      </c>
      <c r="Q944" t="s">
        <v>99</v>
      </c>
      <c r="R944">
        <v>30</v>
      </c>
      <c r="S944" s="19">
        <v>0.75</v>
      </c>
      <c r="T944">
        <v>0</v>
      </c>
      <c r="U944" s="19">
        <v>0.54166666666666663</v>
      </c>
      <c r="V944" t="s">
        <v>99</v>
      </c>
      <c r="W944">
        <v>9</v>
      </c>
      <c r="X944" t="s">
        <v>102</v>
      </c>
      <c r="Y944" t="b">
        <v>0</v>
      </c>
    </row>
    <row r="945" spans="1:25" x14ac:dyDescent="0.55000000000000004">
      <c r="A945" t="s">
        <v>94</v>
      </c>
      <c r="B945" t="s">
        <v>173</v>
      </c>
      <c r="C945" t="s">
        <v>96</v>
      </c>
      <c r="D945" t="s">
        <v>174</v>
      </c>
      <c r="E945" t="s">
        <v>267</v>
      </c>
      <c r="F945" t="s">
        <v>118</v>
      </c>
      <c r="G945">
        <v>21895</v>
      </c>
      <c r="H945" t="s">
        <v>269</v>
      </c>
      <c r="I945">
        <v>2</v>
      </c>
      <c r="J945" t="s">
        <v>101</v>
      </c>
      <c r="K945" s="19">
        <v>0.58333333333333337</v>
      </c>
      <c r="L945" s="19">
        <v>0.9375</v>
      </c>
      <c r="M945">
        <v>8.5</v>
      </c>
      <c r="N945">
        <v>500</v>
      </c>
      <c r="O945">
        <v>72</v>
      </c>
      <c r="P945">
        <v>76</v>
      </c>
      <c r="Q945" t="s">
        <v>99</v>
      </c>
      <c r="R945">
        <v>30</v>
      </c>
      <c r="S945" s="19">
        <v>0.77083333333333337</v>
      </c>
      <c r="T945">
        <v>0</v>
      </c>
      <c r="U945" s="19">
        <v>0</v>
      </c>
      <c r="V945" t="s">
        <v>99</v>
      </c>
      <c r="W945">
        <v>8</v>
      </c>
      <c r="X945" t="s">
        <v>102</v>
      </c>
      <c r="Y945" t="b">
        <v>0</v>
      </c>
    </row>
    <row r="946" spans="1:25" x14ac:dyDescent="0.55000000000000004">
      <c r="A946" t="s">
        <v>94</v>
      </c>
      <c r="B946" t="s">
        <v>173</v>
      </c>
      <c r="C946" t="s">
        <v>96</v>
      </c>
      <c r="D946" t="s">
        <v>174</v>
      </c>
      <c r="E946" t="s">
        <v>267</v>
      </c>
      <c r="F946" t="s">
        <v>118</v>
      </c>
      <c r="G946">
        <v>21895</v>
      </c>
      <c r="H946" t="s">
        <v>269</v>
      </c>
      <c r="I946">
        <v>2</v>
      </c>
      <c r="J946" t="s">
        <v>116</v>
      </c>
      <c r="K946" s="19">
        <v>0.58333333333333337</v>
      </c>
      <c r="L946" s="19">
        <v>0.9375</v>
      </c>
      <c r="M946">
        <v>8.5</v>
      </c>
      <c r="N946">
        <v>775.88</v>
      </c>
      <c r="O946">
        <v>72</v>
      </c>
      <c r="P946">
        <v>76</v>
      </c>
      <c r="Q946" t="s">
        <v>99</v>
      </c>
      <c r="R946">
        <v>30</v>
      </c>
      <c r="S946" s="19">
        <v>0.77083333333333337</v>
      </c>
      <c r="T946">
        <v>0</v>
      </c>
      <c r="U946" s="19">
        <v>0</v>
      </c>
      <c r="V946" t="s">
        <v>99</v>
      </c>
      <c r="W946">
        <v>8</v>
      </c>
      <c r="X946" t="s">
        <v>102</v>
      </c>
      <c r="Y946" t="b">
        <v>0</v>
      </c>
    </row>
    <row r="947" spans="1:25" x14ac:dyDescent="0.55000000000000004">
      <c r="A947" t="s">
        <v>94</v>
      </c>
      <c r="B947" t="s">
        <v>173</v>
      </c>
      <c r="C947" t="s">
        <v>96</v>
      </c>
      <c r="D947" t="s">
        <v>174</v>
      </c>
      <c r="E947" t="s">
        <v>267</v>
      </c>
      <c r="F947" t="s">
        <v>118</v>
      </c>
      <c r="G947">
        <v>21895</v>
      </c>
      <c r="H947" t="s">
        <v>269</v>
      </c>
      <c r="I947">
        <v>2</v>
      </c>
      <c r="J947" t="s">
        <v>104</v>
      </c>
      <c r="K947" s="19">
        <v>0.58333333333333337</v>
      </c>
      <c r="L947" s="19">
        <v>0.9375</v>
      </c>
      <c r="M947">
        <v>8.5</v>
      </c>
      <c r="N947">
        <v>500</v>
      </c>
      <c r="O947">
        <v>72</v>
      </c>
      <c r="P947">
        <v>76</v>
      </c>
      <c r="Q947" t="s">
        <v>99</v>
      </c>
      <c r="R947">
        <v>30</v>
      </c>
      <c r="S947" s="19">
        <v>0.77083333333333337</v>
      </c>
      <c r="T947">
        <v>0</v>
      </c>
      <c r="U947" s="19">
        <v>0</v>
      </c>
      <c r="V947" t="s">
        <v>99</v>
      </c>
      <c r="W947">
        <v>8</v>
      </c>
      <c r="X947" t="s">
        <v>102</v>
      </c>
      <c r="Y947" t="b">
        <v>0</v>
      </c>
    </row>
    <row r="948" spans="1:25" x14ac:dyDescent="0.55000000000000004">
      <c r="A948" t="s">
        <v>94</v>
      </c>
      <c r="B948" t="s">
        <v>173</v>
      </c>
      <c r="C948" t="s">
        <v>96</v>
      </c>
      <c r="D948" t="s">
        <v>174</v>
      </c>
      <c r="E948" t="s">
        <v>267</v>
      </c>
      <c r="F948" t="s">
        <v>118</v>
      </c>
      <c r="G948">
        <v>23461</v>
      </c>
      <c r="H948" t="s">
        <v>270</v>
      </c>
      <c r="I948">
        <v>1</v>
      </c>
      <c r="J948" t="s">
        <v>105</v>
      </c>
      <c r="K948" s="19">
        <v>0.58333333333333337</v>
      </c>
      <c r="L948" s="19">
        <v>0.9375</v>
      </c>
      <c r="M948">
        <v>8.5</v>
      </c>
      <c r="N948">
        <v>505.86</v>
      </c>
      <c r="O948">
        <v>40</v>
      </c>
      <c r="P948">
        <v>76</v>
      </c>
      <c r="Q948" t="s">
        <v>99</v>
      </c>
      <c r="R948">
        <v>30</v>
      </c>
      <c r="S948" s="19">
        <v>0.77083333333333337</v>
      </c>
      <c r="T948">
        <v>0</v>
      </c>
      <c r="U948" s="19">
        <v>0.54166666666666663</v>
      </c>
      <c r="V948" t="s">
        <v>99</v>
      </c>
      <c r="W948">
        <v>8</v>
      </c>
      <c r="X948" t="s">
        <v>102</v>
      </c>
      <c r="Y948" t="b">
        <v>0</v>
      </c>
    </row>
    <row r="949" spans="1:25" x14ac:dyDescent="0.55000000000000004">
      <c r="A949" t="s">
        <v>94</v>
      </c>
      <c r="B949" t="s">
        <v>173</v>
      </c>
      <c r="C949" t="s">
        <v>96</v>
      </c>
      <c r="D949" t="s">
        <v>174</v>
      </c>
      <c r="E949" t="s">
        <v>267</v>
      </c>
      <c r="F949" t="s">
        <v>118</v>
      </c>
      <c r="G949">
        <v>23461</v>
      </c>
      <c r="H949" t="s">
        <v>270</v>
      </c>
      <c r="I949">
        <v>2</v>
      </c>
      <c r="J949" t="s">
        <v>103</v>
      </c>
      <c r="K949" s="19">
        <v>0.58333333333333337</v>
      </c>
      <c r="L949" s="19">
        <v>0.9375</v>
      </c>
      <c r="M949">
        <v>8.5</v>
      </c>
      <c r="N949">
        <v>505.86</v>
      </c>
      <c r="O949">
        <v>40</v>
      </c>
      <c r="P949">
        <v>76</v>
      </c>
      <c r="Q949" t="s">
        <v>99</v>
      </c>
      <c r="R949">
        <v>30</v>
      </c>
      <c r="S949" s="19">
        <v>0.77083333333333337</v>
      </c>
      <c r="T949">
        <v>0</v>
      </c>
      <c r="U949" s="19">
        <v>0.54166666666666663</v>
      </c>
      <c r="V949" t="s">
        <v>99</v>
      </c>
      <c r="W949">
        <v>8</v>
      </c>
      <c r="X949" t="s">
        <v>102</v>
      </c>
      <c r="Y949" t="b">
        <v>0</v>
      </c>
    </row>
    <row r="950" spans="1:25" x14ac:dyDescent="0.55000000000000004">
      <c r="A950" t="s">
        <v>94</v>
      </c>
      <c r="B950" t="s">
        <v>173</v>
      </c>
      <c r="C950" t="s">
        <v>96</v>
      </c>
      <c r="D950" t="s">
        <v>174</v>
      </c>
      <c r="E950" t="s">
        <v>267</v>
      </c>
      <c r="F950" t="s">
        <v>118</v>
      </c>
      <c r="G950">
        <v>24531</v>
      </c>
      <c r="H950" t="s">
        <v>271</v>
      </c>
      <c r="I950">
        <v>1</v>
      </c>
      <c r="J950" t="s">
        <v>101</v>
      </c>
      <c r="K950" s="19">
        <v>0.58333333333333337</v>
      </c>
      <c r="L950" s="19">
        <v>0.9375</v>
      </c>
      <c r="M950">
        <v>8.5</v>
      </c>
      <c r="N950">
        <v>0</v>
      </c>
      <c r="O950">
        <v>48</v>
      </c>
      <c r="P950">
        <v>76</v>
      </c>
      <c r="Q950" t="s">
        <v>99</v>
      </c>
      <c r="R950">
        <v>30</v>
      </c>
      <c r="S950" s="19">
        <v>0.77083333333333337</v>
      </c>
      <c r="T950">
        <v>0</v>
      </c>
      <c r="U950" s="19">
        <v>0.54166666666666663</v>
      </c>
      <c r="V950" t="s">
        <v>99</v>
      </c>
      <c r="W950">
        <v>8</v>
      </c>
      <c r="X950" t="s">
        <v>102</v>
      </c>
      <c r="Y950" t="b">
        <v>0</v>
      </c>
    </row>
    <row r="951" spans="1:25" x14ac:dyDescent="0.55000000000000004">
      <c r="A951" t="s">
        <v>94</v>
      </c>
      <c r="B951" t="s">
        <v>173</v>
      </c>
      <c r="C951" t="s">
        <v>96</v>
      </c>
      <c r="D951" t="s">
        <v>174</v>
      </c>
      <c r="E951" t="s">
        <v>267</v>
      </c>
      <c r="F951" t="s">
        <v>118</v>
      </c>
      <c r="G951">
        <v>24780</v>
      </c>
      <c r="H951" t="s">
        <v>266</v>
      </c>
      <c r="I951">
        <v>2</v>
      </c>
      <c r="J951" t="s">
        <v>105</v>
      </c>
      <c r="K951" s="19">
        <v>0.58333333333333337</v>
      </c>
      <c r="L951" s="19">
        <v>0.9375</v>
      </c>
      <c r="M951">
        <v>8.5</v>
      </c>
      <c r="N951">
        <v>0</v>
      </c>
      <c r="O951">
        <v>76</v>
      </c>
      <c r="P951">
        <v>76</v>
      </c>
      <c r="Q951" t="s">
        <v>99</v>
      </c>
      <c r="R951">
        <v>30</v>
      </c>
      <c r="S951" s="19">
        <v>0.77083333333333337</v>
      </c>
      <c r="T951">
        <v>0</v>
      </c>
      <c r="U951" s="19">
        <v>0.54166666666666663</v>
      </c>
      <c r="V951" t="s">
        <v>99</v>
      </c>
      <c r="W951">
        <v>8</v>
      </c>
      <c r="X951" t="s">
        <v>102</v>
      </c>
      <c r="Y951" t="b">
        <v>0</v>
      </c>
    </row>
    <row r="952" spans="1:25" x14ac:dyDescent="0.55000000000000004">
      <c r="A952" t="s">
        <v>94</v>
      </c>
      <c r="B952" t="s">
        <v>173</v>
      </c>
      <c r="C952" t="s">
        <v>96</v>
      </c>
      <c r="D952" t="s">
        <v>174</v>
      </c>
      <c r="E952" t="s">
        <v>267</v>
      </c>
      <c r="F952" t="s">
        <v>118</v>
      </c>
      <c r="G952">
        <v>24984</v>
      </c>
      <c r="H952" t="s">
        <v>272</v>
      </c>
      <c r="I952">
        <v>1</v>
      </c>
      <c r="J952" t="s">
        <v>104</v>
      </c>
      <c r="K952" s="19">
        <v>0.58333333333333337</v>
      </c>
      <c r="L952" s="19">
        <v>0.9375</v>
      </c>
      <c r="M952">
        <v>8.5</v>
      </c>
      <c r="N952">
        <v>505.86</v>
      </c>
      <c r="O952">
        <v>76</v>
      </c>
      <c r="P952">
        <v>76</v>
      </c>
      <c r="Q952" t="s">
        <v>99</v>
      </c>
      <c r="R952">
        <v>30</v>
      </c>
      <c r="S952" s="19">
        <v>0.77083333333333337</v>
      </c>
      <c r="T952">
        <v>0</v>
      </c>
      <c r="U952" s="19">
        <v>0.54166666666666663</v>
      </c>
      <c r="V952" t="s">
        <v>99</v>
      </c>
      <c r="W952">
        <v>8</v>
      </c>
      <c r="X952" t="s">
        <v>102</v>
      </c>
      <c r="Y952" t="b">
        <v>0</v>
      </c>
    </row>
    <row r="953" spans="1:25" x14ac:dyDescent="0.55000000000000004">
      <c r="A953" t="s">
        <v>94</v>
      </c>
      <c r="B953" t="s">
        <v>173</v>
      </c>
      <c r="C953" t="s">
        <v>96</v>
      </c>
      <c r="D953" t="s">
        <v>174</v>
      </c>
      <c r="E953" t="s">
        <v>267</v>
      </c>
      <c r="F953" t="s">
        <v>118</v>
      </c>
      <c r="G953">
        <v>24984</v>
      </c>
      <c r="H953" t="s">
        <v>272</v>
      </c>
      <c r="I953">
        <v>2</v>
      </c>
      <c r="J953" t="s">
        <v>115</v>
      </c>
      <c r="K953" s="19">
        <v>0.58333333333333337</v>
      </c>
      <c r="L953" s="19">
        <v>0.9375</v>
      </c>
      <c r="M953">
        <v>8.5</v>
      </c>
      <c r="N953">
        <v>676.76</v>
      </c>
      <c r="O953">
        <v>76</v>
      </c>
      <c r="P953">
        <v>76</v>
      </c>
      <c r="Q953" t="s">
        <v>99</v>
      </c>
      <c r="R953">
        <v>30</v>
      </c>
      <c r="S953" s="19">
        <v>0.77083333333333337</v>
      </c>
      <c r="T953">
        <v>0</v>
      </c>
      <c r="U953" s="19">
        <v>0.54166666666666663</v>
      </c>
      <c r="V953" t="s">
        <v>99</v>
      </c>
      <c r="W953">
        <v>8</v>
      </c>
      <c r="X953" t="s">
        <v>102</v>
      </c>
      <c r="Y953" t="b">
        <v>0</v>
      </c>
    </row>
    <row r="954" spans="1:25" x14ac:dyDescent="0.55000000000000004">
      <c r="A954" t="s">
        <v>94</v>
      </c>
      <c r="B954" t="s">
        <v>173</v>
      </c>
      <c r="C954" t="s">
        <v>96</v>
      </c>
      <c r="D954" t="s">
        <v>174</v>
      </c>
      <c r="E954" t="s">
        <v>273</v>
      </c>
      <c r="F954" t="s">
        <v>215</v>
      </c>
      <c r="H954" t="s">
        <v>99</v>
      </c>
      <c r="I954">
        <v>1</v>
      </c>
      <c r="J954" t="s">
        <v>101</v>
      </c>
      <c r="K954" s="19">
        <v>0.91666666666666663</v>
      </c>
      <c r="L954" s="19">
        <v>0.27083333333333331</v>
      </c>
      <c r="M954">
        <v>8.5</v>
      </c>
      <c r="N954">
        <v>0</v>
      </c>
      <c r="O954">
        <v>0</v>
      </c>
      <c r="P954">
        <v>0</v>
      </c>
      <c r="Q954" t="s">
        <v>99</v>
      </c>
      <c r="R954">
        <v>30</v>
      </c>
      <c r="S954" s="19">
        <v>0.14583333333333334</v>
      </c>
      <c r="T954">
        <v>0</v>
      </c>
      <c r="U954" s="19">
        <v>0.54166666666666663</v>
      </c>
      <c r="V954" t="s">
        <v>99</v>
      </c>
      <c r="W954">
        <v>8</v>
      </c>
      <c r="X954" t="s">
        <v>102</v>
      </c>
      <c r="Y954" t="b">
        <v>0</v>
      </c>
    </row>
    <row r="955" spans="1:25" x14ac:dyDescent="0.55000000000000004">
      <c r="A955" t="s">
        <v>94</v>
      </c>
      <c r="B955" t="s">
        <v>173</v>
      </c>
      <c r="C955" t="s">
        <v>96</v>
      </c>
      <c r="D955" t="s">
        <v>174</v>
      </c>
      <c r="E955" t="s">
        <v>273</v>
      </c>
      <c r="F955" t="s">
        <v>215</v>
      </c>
      <c r="G955">
        <v>23174</v>
      </c>
      <c r="H955" t="s">
        <v>274</v>
      </c>
      <c r="I955">
        <v>1</v>
      </c>
      <c r="J955" t="s">
        <v>104</v>
      </c>
      <c r="K955" s="19">
        <v>0.91666666666666663</v>
      </c>
      <c r="L955" s="19">
        <v>0.27083333333333331</v>
      </c>
      <c r="M955">
        <v>8.5</v>
      </c>
      <c r="N955">
        <v>0</v>
      </c>
      <c r="O955">
        <v>32</v>
      </c>
      <c r="P955">
        <v>76</v>
      </c>
      <c r="Q955" t="s">
        <v>99</v>
      </c>
      <c r="R955">
        <v>30</v>
      </c>
      <c r="S955" s="19">
        <v>0.125</v>
      </c>
      <c r="T955">
        <v>0</v>
      </c>
      <c r="U955" s="19">
        <v>0.54166666666666663</v>
      </c>
      <c r="V955" t="s">
        <v>99</v>
      </c>
      <c r="W955">
        <v>8</v>
      </c>
      <c r="X955" t="s">
        <v>102</v>
      </c>
      <c r="Y955" t="b">
        <v>0</v>
      </c>
    </row>
    <row r="956" spans="1:25" x14ac:dyDescent="0.55000000000000004">
      <c r="A956" t="s">
        <v>94</v>
      </c>
      <c r="B956" t="s">
        <v>173</v>
      </c>
      <c r="C956" t="s">
        <v>96</v>
      </c>
      <c r="D956" t="s">
        <v>174</v>
      </c>
      <c r="E956" t="s">
        <v>273</v>
      </c>
      <c r="F956" t="s">
        <v>215</v>
      </c>
      <c r="G956">
        <v>23174</v>
      </c>
      <c r="H956" t="s">
        <v>274</v>
      </c>
      <c r="I956">
        <v>1</v>
      </c>
      <c r="J956" t="s">
        <v>105</v>
      </c>
      <c r="K956" s="19">
        <v>0.91666666666666663</v>
      </c>
      <c r="L956" s="19">
        <v>0.27083333333333331</v>
      </c>
      <c r="M956">
        <v>8.5</v>
      </c>
      <c r="N956">
        <v>0</v>
      </c>
      <c r="O956">
        <v>32</v>
      </c>
      <c r="P956">
        <v>76</v>
      </c>
      <c r="Q956" t="s">
        <v>99</v>
      </c>
      <c r="R956">
        <v>30</v>
      </c>
      <c r="S956" s="19">
        <v>0.125</v>
      </c>
      <c r="T956">
        <v>0</v>
      </c>
      <c r="U956" s="19">
        <v>0.54166666666666663</v>
      </c>
      <c r="V956" t="s">
        <v>99</v>
      </c>
      <c r="W956">
        <v>8</v>
      </c>
      <c r="X956" t="s">
        <v>102</v>
      </c>
      <c r="Y956" t="b">
        <v>0</v>
      </c>
    </row>
    <row r="957" spans="1:25" x14ac:dyDescent="0.55000000000000004">
      <c r="A957" t="s">
        <v>94</v>
      </c>
      <c r="B957" t="s">
        <v>173</v>
      </c>
      <c r="C957" t="s">
        <v>96</v>
      </c>
      <c r="D957" t="s">
        <v>174</v>
      </c>
      <c r="E957" t="s">
        <v>273</v>
      </c>
      <c r="F957" t="s">
        <v>215</v>
      </c>
      <c r="G957">
        <v>23174</v>
      </c>
      <c r="H957" t="s">
        <v>274</v>
      </c>
      <c r="I957">
        <v>2</v>
      </c>
      <c r="J957" t="s">
        <v>104</v>
      </c>
      <c r="K957" s="19">
        <v>0.91666666666666663</v>
      </c>
      <c r="L957" s="19">
        <v>0.27083333333333331</v>
      </c>
      <c r="M957">
        <v>8.5</v>
      </c>
      <c r="N957">
        <v>0</v>
      </c>
      <c r="O957">
        <v>32</v>
      </c>
      <c r="P957">
        <v>76</v>
      </c>
      <c r="Q957" t="s">
        <v>99</v>
      </c>
      <c r="R957">
        <v>30</v>
      </c>
      <c r="S957" s="19">
        <v>0.125</v>
      </c>
      <c r="T957">
        <v>0</v>
      </c>
      <c r="U957" s="19">
        <v>0.54166666666666663</v>
      </c>
      <c r="V957" t="s">
        <v>99</v>
      </c>
      <c r="W957">
        <v>8</v>
      </c>
      <c r="X957" t="s">
        <v>102</v>
      </c>
      <c r="Y957" t="b">
        <v>0</v>
      </c>
    </row>
    <row r="958" spans="1:25" x14ac:dyDescent="0.55000000000000004">
      <c r="A958" t="s">
        <v>94</v>
      </c>
      <c r="B958" t="s">
        <v>173</v>
      </c>
      <c r="C958" t="s">
        <v>96</v>
      </c>
      <c r="D958" t="s">
        <v>174</v>
      </c>
      <c r="E958" t="s">
        <v>273</v>
      </c>
      <c r="F958" t="s">
        <v>215</v>
      </c>
      <c r="G958">
        <v>23174</v>
      </c>
      <c r="H958" t="s">
        <v>274</v>
      </c>
      <c r="I958">
        <v>2</v>
      </c>
      <c r="J958" t="s">
        <v>105</v>
      </c>
      <c r="K958" s="19">
        <v>0.91666666666666663</v>
      </c>
      <c r="L958" s="19">
        <v>0.27083333333333331</v>
      </c>
      <c r="M958">
        <v>8.5</v>
      </c>
      <c r="N958">
        <v>0</v>
      </c>
      <c r="O958">
        <v>32</v>
      </c>
      <c r="P958">
        <v>76</v>
      </c>
      <c r="Q958" t="s">
        <v>99</v>
      </c>
      <c r="R958">
        <v>30</v>
      </c>
      <c r="S958" s="19">
        <v>0.125</v>
      </c>
      <c r="T958">
        <v>0</v>
      </c>
      <c r="U958" s="19">
        <v>0.54166666666666663</v>
      </c>
      <c r="V958" t="s">
        <v>99</v>
      </c>
      <c r="W958">
        <v>8</v>
      </c>
      <c r="X958" t="s">
        <v>102</v>
      </c>
      <c r="Y958" t="b">
        <v>0</v>
      </c>
    </row>
    <row r="959" spans="1:25" x14ac:dyDescent="0.55000000000000004">
      <c r="A959" t="s">
        <v>94</v>
      </c>
      <c r="B959" t="s">
        <v>173</v>
      </c>
      <c r="C959" t="s">
        <v>96</v>
      </c>
      <c r="D959" t="s">
        <v>174</v>
      </c>
      <c r="E959" t="s">
        <v>273</v>
      </c>
      <c r="F959" t="s">
        <v>215</v>
      </c>
      <c r="G959">
        <v>23839</v>
      </c>
      <c r="H959" t="s">
        <v>275</v>
      </c>
      <c r="I959">
        <v>1</v>
      </c>
      <c r="J959" t="s">
        <v>107</v>
      </c>
      <c r="K959" s="19">
        <v>0.91666666666666663</v>
      </c>
      <c r="L959" s="19">
        <v>0.27083333333333331</v>
      </c>
      <c r="M959">
        <v>8.5</v>
      </c>
      <c r="N959">
        <v>613.12</v>
      </c>
      <c r="O959">
        <v>48</v>
      </c>
      <c r="P959">
        <v>76</v>
      </c>
      <c r="Q959" t="s">
        <v>99</v>
      </c>
      <c r="R959">
        <v>30</v>
      </c>
      <c r="S959" s="19">
        <v>0.125</v>
      </c>
      <c r="T959">
        <v>0</v>
      </c>
      <c r="U959" s="19">
        <v>0.54166666666666663</v>
      </c>
      <c r="V959" t="s">
        <v>99</v>
      </c>
      <c r="W959">
        <v>8</v>
      </c>
      <c r="X959" t="s">
        <v>102</v>
      </c>
      <c r="Y959" t="b">
        <v>0</v>
      </c>
    </row>
    <row r="960" spans="1:25" x14ac:dyDescent="0.55000000000000004">
      <c r="A960" t="s">
        <v>94</v>
      </c>
      <c r="B960" t="s">
        <v>173</v>
      </c>
      <c r="C960" t="s">
        <v>96</v>
      </c>
      <c r="D960" t="s">
        <v>174</v>
      </c>
      <c r="E960" t="s">
        <v>273</v>
      </c>
      <c r="F960" t="s">
        <v>215</v>
      </c>
      <c r="G960">
        <v>23839</v>
      </c>
      <c r="H960" t="s">
        <v>275</v>
      </c>
      <c r="I960">
        <v>1</v>
      </c>
      <c r="J960" t="s">
        <v>115</v>
      </c>
      <c r="K960" s="19">
        <v>0.91666666666666663</v>
      </c>
      <c r="L960" s="19">
        <v>0.27083333333333331</v>
      </c>
      <c r="M960">
        <v>8.5</v>
      </c>
      <c r="N960">
        <v>727.14</v>
      </c>
      <c r="O960">
        <v>48</v>
      </c>
      <c r="P960">
        <v>76</v>
      </c>
      <c r="Q960" t="s">
        <v>99</v>
      </c>
      <c r="R960">
        <v>30</v>
      </c>
      <c r="S960" s="19">
        <v>0.125</v>
      </c>
      <c r="T960">
        <v>0</v>
      </c>
      <c r="U960" s="19">
        <v>0.54166666666666663</v>
      </c>
      <c r="V960" t="s">
        <v>99</v>
      </c>
      <c r="W960">
        <v>8</v>
      </c>
      <c r="X960" t="s">
        <v>102</v>
      </c>
      <c r="Y960" t="b">
        <v>0</v>
      </c>
    </row>
    <row r="961" spans="1:25" x14ac:dyDescent="0.55000000000000004">
      <c r="A961" t="s">
        <v>94</v>
      </c>
      <c r="B961" t="s">
        <v>173</v>
      </c>
      <c r="C961" t="s">
        <v>96</v>
      </c>
      <c r="D961" t="s">
        <v>174</v>
      </c>
      <c r="E961" t="s">
        <v>273</v>
      </c>
      <c r="F961" t="s">
        <v>215</v>
      </c>
      <c r="G961">
        <v>23839</v>
      </c>
      <c r="H961" t="s">
        <v>275</v>
      </c>
      <c r="I961">
        <v>1</v>
      </c>
      <c r="J961" t="s">
        <v>103</v>
      </c>
      <c r="K961" s="19">
        <v>0.91666666666666663</v>
      </c>
      <c r="L961" s="19">
        <v>0.27083333333333331</v>
      </c>
      <c r="M961">
        <v>8.5</v>
      </c>
      <c r="N961">
        <v>504.28</v>
      </c>
      <c r="O961">
        <v>48</v>
      </c>
      <c r="P961">
        <v>76</v>
      </c>
      <c r="Q961" t="s">
        <v>99</v>
      </c>
      <c r="R961">
        <v>30</v>
      </c>
      <c r="S961" s="19">
        <v>0.125</v>
      </c>
      <c r="T961">
        <v>0</v>
      </c>
      <c r="U961" s="19">
        <v>0.54166666666666663</v>
      </c>
      <c r="V961" t="s">
        <v>99</v>
      </c>
      <c r="W961">
        <v>8</v>
      </c>
      <c r="X961" t="s">
        <v>102</v>
      </c>
      <c r="Y961" t="b">
        <v>0</v>
      </c>
    </row>
    <row r="962" spans="1:25" x14ac:dyDescent="0.55000000000000004">
      <c r="A962" t="s">
        <v>94</v>
      </c>
      <c r="B962" t="s">
        <v>173</v>
      </c>
      <c r="C962" t="s">
        <v>96</v>
      </c>
      <c r="D962" t="s">
        <v>174</v>
      </c>
      <c r="E962" t="s">
        <v>273</v>
      </c>
      <c r="F962" t="s">
        <v>215</v>
      </c>
      <c r="G962">
        <v>23839</v>
      </c>
      <c r="H962" t="s">
        <v>275</v>
      </c>
      <c r="I962">
        <v>2</v>
      </c>
      <c r="J962" t="s">
        <v>107</v>
      </c>
      <c r="K962" s="19">
        <v>0.91666666666666663</v>
      </c>
      <c r="L962" s="19">
        <v>0.27083333333333331</v>
      </c>
      <c r="M962">
        <v>8.5</v>
      </c>
      <c r="N962">
        <v>613.12</v>
      </c>
      <c r="O962">
        <v>48</v>
      </c>
      <c r="P962">
        <v>76</v>
      </c>
      <c r="Q962" t="s">
        <v>99</v>
      </c>
      <c r="R962">
        <v>30</v>
      </c>
      <c r="S962" s="19">
        <v>0.125</v>
      </c>
      <c r="T962">
        <v>0</v>
      </c>
      <c r="U962" s="19">
        <v>0.54166666666666663</v>
      </c>
      <c r="V962" t="s">
        <v>99</v>
      </c>
      <c r="W962">
        <v>8</v>
      </c>
      <c r="X962" t="s">
        <v>102</v>
      </c>
      <c r="Y962" t="b">
        <v>0</v>
      </c>
    </row>
    <row r="963" spans="1:25" x14ac:dyDescent="0.55000000000000004">
      <c r="A963" t="s">
        <v>94</v>
      </c>
      <c r="B963" t="s">
        <v>173</v>
      </c>
      <c r="C963" t="s">
        <v>96</v>
      </c>
      <c r="D963" t="s">
        <v>174</v>
      </c>
      <c r="E963" t="s">
        <v>273</v>
      </c>
      <c r="F963" t="s">
        <v>215</v>
      </c>
      <c r="G963">
        <v>23839</v>
      </c>
      <c r="H963" t="s">
        <v>275</v>
      </c>
      <c r="I963">
        <v>2</v>
      </c>
      <c r="J963" t="s">
        <v>115</v>
      </c>
      <c r="K963" s="19">
        <v>0.91666666666666663</v>
      </c>
      <c r="L963" s="19">
        <v>0.27083333333333331</v>
      </c>
      <c r="M963">
        <v>8.5</v>
      </c>
      <c r="N963">
        <v>727.14</v>
      </c>
      <c r="O963">
        <v>48</v>
      </c>
      <c r="P963">
        <v>76</v>
      </c>
      <c r="Q963" t="s">
        <v>99</v>
      </c>
      <c r="R963">
        <v>30</v>
      </c>
      <c r="S963" s="19">
        <v>0.125</v>
      </c>
      <c r="T963">
        <v>0</v>
      </c>
      <c r="U963" s="19">
        <v>0.54166666666666663</v>
      </c>
      <c r="V963" t="s">
        <v>99</v>
      </c>
      <c r="W963">
        <v>8</v>
      </c>
      <c r="X963" t="s">
        <v>102</v>
      </c>
      <c r="Y963" t="b">
        <v>0</v>
      </c>
    </row>
    <row r="964" spans="1:25" x14ac:dyDescent="0.55000000000000004">
      <c r="A964" t="s">
        <v>94</v>
      </c>
      <c r="B964" t="s">
        <v>173</v>
      </c>
      <c r="C964" t="s">
        <v>96</v>
      </c>
      <c r="D964" t="s">
        <v>174</v>
      </c>
      <c r="E964" t="s">
        <v>273</v>
      </c>
      <c r="F964" t="s">
        <v>215</v>
      </c>
      <c r="G964">
        <v>23839</v>
      </c>
      <c r="H964" t="s">
        <v>275</v>
      </c>
      <c r="I964">
        <v>2</v>
      </c>
      <c r="J964" t="s">
        <v>116</v>
      </c>
      <c r="K964" s="19">
        <v>0.91666666666666663</v>
      </c>
      <c r="L964" s="19">
        <v>0.27083333333333331</v>
      </c>
      <c r="M964">
        <v>8.5</v>
      </c>
      <c r="N964">
        <v>566.47</v>
      </c>
      <c r="O964">
        <v>48</v>
      </c>
      <c r="P964">
        <v>76</v>
      </c>
      <c r="Q964" t="s">
        <v>99</v>
      </c>
      <c r="R964">
        <v>30</v>
      </c>
      <c r="S964" s="19">
        <v>0.125</v>
      </c>
      <c r="T964">
        <v>0</v>
      </c>
      <c r="U964" s="19">
        <v>0.54166666666666663</v>
      </c>
      <c r="V964" t="s">
        <v>99</v>
      </c>
      <c r="W964">
        <v>8</v>
      </c>
      <c r="X964" t="s">
        <v>102</v>
      </c>
      <c r="Y964" t="b">
        <v>0</v>
      </c>
    </row>
    <row r="965" spans="1:25" x14ac:dyDescent="0.55000000000000004">
      <c r="A965" t="s">
        <v>94</v>
      </c>
      <c r="B965" t="s">
        <v>173</v>
      </c>
      <c r="C965" t="s">
        <v>96</v>
      </c>
      <c r="D965" t="s">
        <v>174</v>
      </c>
      <c r="E965" t="s">
        <v>273</v>
      </c>
      <c r="F965" t="s">
        <v>215</v>
      </c>
      <c r="G965">
        <v>24983</v>
      </c>
      <c r="H965" t="s">
        <v>276</v>
      </c>
      <c r="I965">
        <v>2</v>
      </c>
      <c r="J965" t="s">
        <v>103</v>
      </c>
      <c r="K965" s="19">
        <v>0.91666666666666663</v>
      </c>
      <c r="L965" s="19">
        <v>0.27083333333333331</v>
      </c>
      <c r="M965">
        <v>8.5</v>
      </c>
      <c r="N965">
        <v>0</v>
      </c>
      <c r="O965">
        <v>76</v>
      </c>
      <c r="P965">
        <v>76</v>
      </c>
      <c r="Q965" t="s">
        <v>99</v>
      </c>
      <c r="R965">
        <v>30</v>
      </c>
      <c r="S965" s="19">
        <v>0.125</v>
      </c>
      <c r="T965">
        <v>0</v>
      </c>
      <c r="U965" s="19">
        <v>0.54166666666666663</v>
      </c>
      <c r="V965" t="s">
        <v>99</v>
      </c>
      <c r="W965">
        <v>8</v>
      </c>
      <c r="X965" t="s">
        <v>102</v>
      </c>
      <c r="Y965" t="b">
        <v>0</v>
      </c>
    </row>
    <row r="966" spans="1:25" x14ac:dyDescent="0.55000000000000004">
      <c r="A966" t="s">
        <v>94</v>
      </c>
      <c r="B966" t="s">
        <v>173</v>
      </c>
      <c r="C966" t="s">
        <v>96</v>
      </c>
      <c r="D966" t="s">
        <v>174</v>
      </c>
      <c r="E966" t="s">
        <v>273</v>
      </c>
      <c r="F966" t="s">
        <v>215</v>
      </c>
      <c r="G966">
        <v>24984</v>
      </c>
      <c r="H966" t="s">
        <v>272</v>
      </c>
      <c r="I966">
        <v>1</v>
      </c>
      <c r="J966" t="s">
        <v>116</v>
      </c>
      <c r="K966" s="19">
        <v>0.91666666666666663</v>
      </c>
      <c r="L966" s="19">
        <v>0.27083333333333331</v>
      </c>
      <c r="M966">
        <v>8.5</v>
      </c>
      <c r="N966">
        <v>590.17999999999995</v>
      </c>
      <c r="O966">
        <v>76</v>
      </c>
      <c r="P966">
        <v>76</v>
      </c>
      <c r="Q966" t="s">
        <v>99</v>
      </c>
      <c r="R966">
        <v>30</v>
      </c>
      <c r="S966" s="19">
        <v>0.125</v>
      </c>
      <c r="T966">
        <v>0</v>
      </c>
      <c r="U966" s="19">
        <v>0.54166666666666663</v>
      </c>
      <c r="V966" t="s">
        <v>99</v>
      </c>
      <c r="W966">
        <v>8</v>
      </c>
      <c r="X966" t="s">
        <v>102</v>
      </c>
      <c r="Y966" t="b">
        <v>0</v>
      </c>
    </row>
    <row r="967" spans="1:25" x14ac:dyDescent="0.55000000000000004">
      <c r="A967" t="s">
        <v>94</v>
      </c>
      <c r="B967" t="s">
        <v>173</v>
      </c>
      <c r="C967" t="s">
        <v>96</v>
      </c>
      <c r="D967" t="s">
        <v>174</v>
      </c>
      <c r="E967" t="s">
        <v>273</v>
      </c>
      <c r="F967" t="s">
        <v>215</v>
      </c>
      <c r="G967">
        <v>24984</v>
      </c>
      <c r="H967" t="s">
        <v>272</v>
      </c>
      <c r="I967">
        <v>2</v>
      </c>
      <c r="J967" t="s">
        <v>101</v>
      </c>
      <c r="K967" s="19">
        <v>0.91666666666666663</v>
      </c>
      <c r="L967" s="19">
        <v>0.27083333333333331</v>
      </c>
      <c r="M967">
        <v>8.5</v>
      </c>
      <c r="N967">
        <v>525.25</v>
      </c>
      <c r="O967">
        <v>76</v>
      </c>
      <c r="P967">
        <v>76</v>
      </c>
      <c r="Q967" t="s">
        <v>99</v>
      </c>
      <c r="R967">
        <v>30</v>
      </c>
      <c r="S967" s="19">
        <v>0.125</v>
      </c>
      <c r="T967">
        <v>0</v>
      </c>
      <c r="U967" s="19">
        <v>0.54166666666666663</v>
      </c>
      <c r="V967" t="s">
        <v>99</v>
      </c>
      <c r="W967">
        <v>8</v>
      </c>
      <c r="X967" t="s">
        <v>102</v>
      </c>
      <c r="Y967" t="b">
        <v>0</v>
      </c>
    </row>
    <row r="968" spans="1:25" x14ac:dyDescent="0.55000000000000004">
      <c r="A968" t="s">
        <v>94</v>
      </c>
      <c r="B968" t="s">
        <v>173</v>
      </c>
      <c r="C968" t="s">
        <v>96</v>
      </c>
      <c r="D968" t="s">
        <v>174</v>
      </c>
      <c r="E968" t="s">
        <v>277</v>
      </c>
      <c r="F968" t="s">
        <v>118</v>
      </c>
      <c r="G968">
        <v>23679</v>
      </c>
      <c r="H968" t="s">
        <v>278</v>
      </c>
      <c r="I968">
        <v>2</v>
      </c>
      <c r="J968" t="s">
        <v>101</v>
      </c>
      <c r="K968" s="19">
        <v>0.25</v>
      </c>
      <c r="L968" s="19">
        <v>0.60416666666666663</v>
      </c>
      <c r="M968">
        <v>8.5</v>
      </c>
      <c r="N968">
        <v>0</v>
      </c>
      <c r="O968">
        <v>64</v>
      </c>
      <c r="P968">
        <v>76</v>
      </c>
      <c r="Q968" t="s">
        <v>99</v>
      </c>
      <c r="R968">
        <v>30</v>
      </c>
      <c r="S968" s="19">
        <v>0.4375</v>
      </c>
      <c r="T968">
        <v>0</v>
      </c>
      <c r="U968" s="19">
        <v>0.54166666666666663</v>
      </c>
      <c r="V968" t="s">
        <v>99</v>
      </c>
      <c r="W968">
        <v>8</v>
      </c>
      <c r="X968" t="s">
        <v>102</v>
      </c>
      <c r="Y968" t="b">
        <v>0</v>
      </c>
    </row>
    <row r="969" spans="1:25" x14ac:dyDescent="0.55000000000000004">
      <c r="A969" t="s">
        <v>94</v>
      </c>
      <c r="B969" t="s">
        <v>173</v>
      </c>
      <c r="C969" t="s">
        <v>96</v>
      </c>
      <c r="D969" t="s">
        <v>174</v>
      </c>
      <c r="E969" t="s">
        <v>277</v>
      </c>
      <c r="F969" t="s">
        <v>118</v>
      </c>
      <c r="G969">
        <v>23679</v>
      </c>
      <c r="H969" t="s">
        <v>278</v>
      </c>
      <c r="I969">
        <v>2</v>
      </c>
      <c r="J969" t="s">
        <v>104</v>
      </c>
      <c r="K969" s="19">
        <v>0.25</v>
      </c>
      <c r="L969" s="19">
        <v>0.60416666666666663</v>
      </c>
      <c r="M969">
        <v>8.5</v>
      </c>
      <c r="N969">
        <v>0</v>
      </c>
      <c r="O969">
        <v>64</v>
      </c>
      <c r="P969">
        <v>76</v>
      </c>
      <c r="Q969" t="s">
        <v>99</v>
      </c>
      <c r="R969">
        <v>30</v>
      </c>
      <c r="S969" s="19">
        <v>0.4375</v>
      </c>
      <c r="T969">
        <v>0</v>
      </c>
      <c r="U969" s="19">
        <v>0.54166666666666663</v>
      </c>
      <c r="V969" t="s">
        <v>99</v>
      </c>
      <c r="W969">
        <v>8</v>
      </c>
      <c r="X969" t="s">
        <v>102</v>
      </c>
      <c r="Y969" t="b">
        <v>0</v>
      </c>
    </row>
    <row r="970" spans="1:25" x14ac:dyDescent="0.55000000000000004">
      <c r="A970" t="s">
        <v>94</v>
      </c>
      <c r="B970" t="s">
        <v>173</v>
      </c>
      <c r="C970" t="s">
        <v>96</v>
      </c>
      <c r="D970" t="s">
        <v>174</v>
      </c>
      <c r="E970" t="s">
        <v>277</v>
      </c>
      <c r="F970" t="s">
        <v>118</v>
      </c>
      <c r="G970">
        <v>23679</v>
      </c>
      <c r="H970" t="s">
        <v>278</v>
      </c>
      <c r="I970">
        <v>2</v>
      </c>
      <c r="J970" t="s">
        <v>105</v>
      </c>
      <c r="K970" s="19">
        <v>0.25</v>
      </c>
      <c r="L970" s="19">
        <v>0.60416666666666663</v>
      </c>
      <c r="M970">
        <v>8.5</v>
      </c>
      <c r="N970">
        <v>0</v>
      </c>
      <c r="O970">
        <v>64</v>
      </c>
      <c r="P970">
        <v>76</v>
      </c>
      <c r="Q970" t="s">
        <v>99</v>
      </c>
      <c r="R970">
        <v>30</v>
      </c>
      <c r="S970" s="19">
        <v>0.4375</v>
      </c>
      <c r="T970">
        <v>0</v>
      </c>
      <c r="U970" s="19">
        <v>0.54166666666666663</v>
      </c>
      <c r="V970" t="s">
        <v>99</v>
      </c>
      <c r="W970">
        <v>8</v>
      </c>
      <c r="X970" t="s">
        <v>102</v>
      </c>
      <c r="Y970" t="b">
        <v>0</v>
      </c>
    </row>
    <row r="971" spans="1:25" x14ac:dyDescent="0.55000000000000004">
      <c r="A971" t="s">
        <v>94</v>
      </c>
      <c r="B971" t="s">
        <v>173</v>
      </c>
      <c r="C971" t="s">
        <v>96</v>
      </c>
      <c r="D971" t="s">
        <v>174</v>
      </c>
      <c r="E971" t="s">
        <v>277</v>
      </c>
      <c r="F971" t="s">
        <v>118</v>
      </c>
      <c r="G971">
        <v>24504</v>
      </c>
      <c r="H971" t="s">
        <v>279</v>
      </c>
      <c r="I971">
        <v>1</v>
      </c>
      <c r="J971" t="s">
        <v>103</v>
      </c>
      <c r="K971" s="19">
        <v>0.25</v>
      </c>
      <c r="L971" s="19">
        <v>0.60416666666666663</v>
      </c>
      <c r="M971">
        <v>8.5</v>
      </c>
      <c r="N971">
        <v>0</v>
      </c>
      <c r="O971">
        <v>48</v>
      </c>
      <c r="P971">
        <v>76</v>
      </c>
      <c r="Q971" t="s">
        <v>99</v>
      </c>
      <c r="R971">
        <v>30</v>
      </c>
      <c r="S971" s="19">
        <v>0.4375</v>
      </c>
      <c r="T971">
        <v>0</v>
      </c>
      <c r="U971" s="19">
        <v>0</v>
      </c>
      <c r="V971" t="s">
        <v>99</v>
      </c>
      <c r="W971">
        <v>8</v>
      </c>
      <c r="X971" t="s">
        <v>102</v>
      </c>
      <c r="Y971" t="b">
        <v>0</v>
      </c>
    </row>
    <row r="972" spans="1:25" x14ac:dyDescent="0.55000000000000004">
      <c r="A972" t="s">
        <v>94</v>
      </c>
      <c r="B972" t="s">
        <v>173</v>
      </c>
      <c r="C972" t="s">
        <v>96</v>
      </c>
      <c r="D972" t="s">
        <v>174</v>
      </c>
      <c r="E972" t="s">
        <v>277</v>
      </c>
      <c r="F972" t="s">
        <v>118</v>
      </c>
      <c r="G972">
        <v>24504</v>
      </c>
      <c r="H972" t="s">
        <v>279</v>
      </c>
      <c r="I972">
        <v>1</v>
      </c>
      <c r="J972" t="s">
        <v>104</v>
      </c>
      <c r="K972" s="19">
        <v>0.25</v>
      </c>
      <c r="L972" s="19">
        <v>0.60416666666666663</v>
      </c>
      <c r="M972">
        <v>8.5</v>
      </c>
      <c r="N972">
        <v>0</v>
      </c>
      <c r="O972">
        <v>48</v>
      </c>
      <c r="P972">
        <v>76</v>
      </c>
      <c r="Q972" t="s">
        <v>99</v>
      </c>
      <c r="R972">
        <v>30</v>
      </c>
      <c r="S972" s="19">
        <v>0.4375</v>
      </c>
      <c r="T972">
        <v>0</v>
      </c>
      <c r="U972" s="19">
        <v>0</v>
      </c>
      <c r="V972" t="s">
        <v>99</v>
      </c>
      <c r="W972">
        <v>8</v>
      </c>
      <c r="X972" t="s">
        <v>102</v>
      </c>
      <c r="Y972" t="b">
        <v>0</v>
      </c>
    </row>
    <row r="973" spans="1:25" x14ac:dyDescent="0.55000000000000004">
      <c r="A973" t="s">
        <v>94</v>
      </c>
      <c r="B973" t="s">
        <v>173</v>
      </c>
      <c r="C973" t="s">
        <v>96</v>
      </c>
      <c r="D973" t="s">
        <v>174</v>
      </c>
      <c r="E973" t="s">
        <v>277</v>
      </c>
      <c r="F973" t="s">
        <v>118</v>
      </c>
      <c r="G973">
        <v>24504</v>
      </c>
      <c r="H973" t="s">
        <v>279</v>
      </c>
      <c r="I973">
        <v>1</v>
      </c>
      <c r="J973" t="s">
        <v>105</v>
      </c>
      <c r="K973" s="19">
        <v>0.25</v>
      </c>
      <c r="L973" s="19">
        <v>0.60416666666666663</v>
      </c>
      <c r="M973">
        <v>8.5</v>
      </c>
      <c r="N973">
        <v>0</v>
      </c>
      <c r="O973">
        <v>48</v>
      </c>
      <c r="P973">
        <v>76</v>
      </c>
      <c r="Q973" t="s">
        <v>99</v>
      </c>
      <c r="R973">
        <v>30</v>
      </c>
      <c r="S973" s="19">
        <v>0.4375</v>
      </c>
      <c r="T973">
        <v>0</v>
      </c>
      <c r="U973" s="19">
        <v>0</v>
      </c>
      <c r="V973" t="s">
        <v>99</v>
      </c>
      <c r="W973">
        <v>8</v>
      </c>
      <c r="X973" t="s">
        <v>102</v>
      </c>
      <c r="Y973" t="b">
        <v>0</v>
      </c>
    </row>
    <row r="974" spans="1:25" x14ac:dyDescent="0.55000000000000004">
      <c r="A974" t="s">
        <v>94</v>
      </c>
      <c r="B974" t="s">
        <v>173</v>
      </c>
      <c r="C974" t="s">
        <v>96</v>
      </c>
      <c r="D974" t="s">
        <v>174</v>
      </c>
      <c r="E974" t="s">
        <v>277</v>
      </c>
      <c r="F974" t="s">
        <v>118</v>
      </c>
      <c r="G974">
        <v>24531</v>
      </c>
      <c r="H974" t="s">
        <v>271</v>
      </c>
      <c r="I974">
        <v>2</v>
      </c>
      <c r="J974" t="s">
        <v>115</v>
      </c>
      <c r="K974" s="19">
        <v>0.25</v>
      </c>
      <c r="L974" s="19">
        <v>0.60416666666666663</v>
      </c>
      <c r="M974">
        <v>8.5</v>
      </c>
      <c r="N974">
        <v>0</v>
      </c>
      <c r="O974">
        <v>48</v>
      </c>
      <c r="P974">
        <v>76</v>
      </c>
      <c r="Q974" t="s">
        <v>99</v>
      </c>
      <c r="R974">
        <v>30</v>
      </c>
      <c r="S974" s="19">
        <v>0.4375</v>
      </c>
      <c r="T974">
        <v>0</v>
      </c>
      <c r="U974" s="19">
        <v>0.54166666666666663</v>
      </c>
      <c r="V974" t="s">
        <v>99</v>
      </c>
      <c r="W974">
        <v>8</v>
      </c>
      <c r="X974" t="s">
        <v>102</v>
      </c>
      <c r="Y974" t="b">
        <v>0</v>
      </c>
    </row>
    <row r="975" spans="1:25" x14ac:dyDescent="0.55000000000000004">
      <c r="A975" t="s">
        <v>94</v>
      </c>
      <c r="B975" t="s">
        <v>173</v>
      </c>
      <c r="C975" t="s">
        <v>96</v>
      </c>
      <c r="D975" t="s">
        <v>174</v>
      </c>
      <c r="E975" t="s">
        <v>277</v>
      </c>
      <c r="F975" t="s">
        <v>118</v>
      </c>
      <c r="G975">
        <v>24780</v>
      </c>
      <c r="H975" t="s">
        <v>266</v>
      </c>
      <c r="I975">
        <v>1</v>
      </c>
      <c r="J975" t="s">
        <v>101</v>
      </c>
      <c r="K975" s="19">
        <v>0.25</v>
      </c>
      <c r="L975" s="19">
        <v>0.60416666666666663</v>
      </c>
      <c r="M975">
        <v>8.5</v>
      </c>
      <c r="N975">
        <v>0</v>
      </c>
      <c r="O975">
        <v>76</v>
      </c>
      <c r="P975">
        <v>76</v>
      </c>
      <c r="Q975" t="s">
        <v>99</v>
      </c>
      <c r="R975">
        <v>30</v>
      </c>
      <c r="S975" s="19">
        <v>0.4375</v>
      </c>
      <c r="T975">
        <v>0</v>
      </c>
      <c r="U975" s="19">
        <v>0.54166666666666663</v>
      </c>
      <c r="V975" t="s">
        <v>99</v>
      </c>
      <c r="W975">
        <v>8</v>
      </c>
      <c r="X975" t="s">
        <v>102</v>
      </c>
      <c r="Y975" t="b">
        <v>0</v>
      </c>
    </row>
    <row r="976" spans="1:25" x14ac:dyDescent="0.55000000000000004">
      <c r="A976" t="s">
        <v>94</v>
      </c>
      <c r="B976" t="s">
        <v>173</v>
      </c>
      <c r="C976" t="s">
        <v>96</v>
      </c>
      <c r="D976" t="s">
        <v>174</v>
      </c>
      <c r="E976" t="s">
        <v>277</v>
      </c>
      <c r="F976" t="s">
        <v>118</v>
      </c>
      <c r="G976">
        <v>24983</v>
      </c>
      <c r="H976" t="s">
        <v>276</v>
      </c>
      <c r="I976">
        <v>2</v>
      </c>
      <c r="J976" t="s">
        <v>116</v>
      </c>
      <c r="K976" s="19">
        <v>0.25</v>
      </c>
      <c r="L976" s="19">
        <v>0.60416666666666663</v>
      </c>
      <c r="M976">
        <v>8.5</v>
      </c>
      <c r="N976">
        <v>757.54</v>
      </c>
      <c r="O976">
        <v>76</v>
      </c>
      <c r="P976">
        <v>76</v>
      </c>
      <c r="Q976" t="s">
        <v>99</v>
      </c>
      <c r="R976">
        <v>30</v>
      </c>
      <c r="S976" s="19">
        <v>0.4375</v>
      </c>
      <c r="T976">
        <v>0</v>
      </c>
      <c r="U976" s="19">
        <v>0.54166666666666663</v>
      </c>
      <c r="V976" t="s">
        <v>99</v>
      </c>
      <c r="W976">
        <v>8</v>
      </c>
      <c r="X976" t="s">
        <v>102</v>
      </c>
      <c r="Y976" t="b">
        <v>0</v>
      </c>
    </row>
    <row r="977" spans="1:25" x14ac:dyDescent="0.55000000000000004">
      <c r="A977" t="s">
        <v>94</v>
      </c>
      <c r="B977" t="s">
        <v>173</v>
      </c>
      <c r="C977" t="s">
        <v>96</v>
      </c>
      <c r="D977" t="s">
        <v>174</v>
      </c>
      <c r="E977" t="s">
        <v>277</v>
      </c>
      <c r="F977" t="s">
        <v>118</v>
      </c>
      <c r="G977">
        <v>25182</v>
      </c>
      <c r="H977" t="s">
        <v>280</v>
      </c>
      <c r="I977">
        <v>1</v>
      </c>
      <c r="J977" t="s">
        <v>107</v>
      </c>
      <c r="K977" s="19">
        <v>0.25</v>
      </c>
      <c r="L977" s="19">
        <v>0.60416666666666663</v>
      </c>
      <c r="M977">
        <v>8.5</v>
      </c>
      <c r="N977">
        <v>0</v>
      </c>
      <c r="O977">
        <v>76</v>
      </c>
      <c r="P977">
        <v>76</v>
      </c>
      <c r="Q977" t="s">
        <v>99</v>
      </c>
      <c r="R977">
        <v>30</v>
      </c>
      <c r="S977" s="19">
        <v>0.4375</v>
      </c>
      <c r="T977">
        <v>0</v>
      </c>
      <c r="U977" s="19">
        <v>0.54166666666666663</v>
      </c>
      <c r="V977" t="s">
        <v>99</v>
      </c>
      <c r="W977">
        <v>8</v>
      </c>
      <c r="X977" t="s">
        <v>102</v>
      </c>
      <c r="Y977" t="b">
        <v>0</v>
      </c>
    </row>
    <row r="978" spans="1:25" x14ac:dyDescent="0.55000000000000004">
      <c r="A978" t="s">
        <v>94</v>
      </c>
      <c r="B978" t="s">
        <v>173</v>
      </c>
      <c r="C978" t="s">
        <v>96</v>
      </c>
      <c r="D978" t="s">
        <v>174</v>
      </c>
      <c r="E978" t="s">
        <v>277</v>
      </c>
      <c r="F978" t="s">
        <v>118</v>
      </c>
      <c r="G978">
        <v>25182</v>
      </c>
      <c r="H978" t="s">
        <v>280</v>
      </c>
      <c r="I978">
        <v>2</v>
      </c>
      <c r="J978" t="s">
        <v>107</v>
      </c>
      <c r="K978" s="19">
        <v>0.25</v>
      </c>
      <c r="L978" s="19">
        <v>0.60416666666666663</v>
      </c>
      <c r="M978">
        <v>8.5</v>
      </c>
      <c r="N978">
        <v>0</v>
      </c>
      <c r="O978">
        <v>76</v>
      </c>
      <c r="P978">
        <v>76</v>
      </c>
      <c r="Q978" t="s">
        <v>99</v>
      </c>
      <c r="R978">
        <v>30</v>
      </c>
      <c r="S978" s="19">
        <v>0.4375</v>
      </c>
      <c r="T978">
        <v>0</v>
      </c>
      <c r="U978" s="19">
        <v>0.54166666666666663</v>
      </c>
      <c r="V978" t="s">
        <v>99</v>
      </c>
      <c r="W978">
        <v>8</v>
      </c>
      <c r="X978" t="s">
        <v>102</v>
      </c>
      <c r="Y978" t="b">
        <v>0</v>
      </c>
    </row>
    <row r="979" spans="1:25" x14ac:dyDescent="0.55000000000000004">
      <c r="A979" t="s">
        <v>94</v>
      </c>
      <c r="B979" t="s">
        <v>173</v>
      </c>
      <c r="C979" t="s">
        <v>96</v>
      </c>
      <c r="D979" t="s">
        <v>174</v>
      </c>
      <c r="E979" t="s">
        <v>277</v>
      </c>
      <c r="F979" t="s">
        <v>118</v>
      </c>
      <c r="G979">
        <v>25182</v>
      </c>
      <c r="H979" t="s">
        <v>280</v>
      </c>
      <c r="I979">
        <v>2</v>
      </c>
      <c r="J979" t="s">
        <v>103</v>
      </c>
      <c r="K979" s="19">
        <v>0.25</v>
      </c>
      <c r="L979" s="19">
        <v>0.60416666666666663</v>
      </c>
      <c r="M979">
        <v>8.5</v>
      </c>
      <c r="N979">
        <v>0</v>
      </c>
      <c r="O979">
        <v>76</v>
      </c>
      <c r="P979">
        <v>76</v>
      </c>
      <c r="Q979" t="s">
        <v>99</v>
      </c>
      <c r="R979">
        <v>30</v>
      </c>
      <c r="S979" s="19">
        <v>0.4375</v>
      </c>
      <c r="T979">
        <v>0</v>
      </c>
      <c r="U979" s="19">
        <v>0.54166666666666663</v>
      </c>
      <c r="V979" t="s">
        <v>99</v>
      </c>
      <c r="W979">
        <v>8</v>
      </c>
      <c r="X979" t="s">
        <v>102</v>
      </c>
      <c r="Y979" t="b">
        <v>0</v>
      </c>
    </row>
    <row r="980" spans="1:25" x14ac:dyDescent="0.55000000000000004">
      <c r="A980" t="s">
        <v>94</v>
      </c>
      <c r="B980" t="s">
        <v>173</v>
      </c>
      <c r="C980" t="s">
        <v>96</v>
      </c>
      <c r="D980" t="s">
        <v>174</v>
      </c>
      <c r="E980" t="s">
        <v>277</v>
      </c>
      <c r="F980" t="s">
        <v>281</v>
      </c>
      <c r="G980">
        <v>17989</v>
      </c>
      <c r="H980" t="s">
        <v>268</v>
      </c>
      <c r="I980">
        <v>2</v>
      </c>
      <c r="J980" t="s">
        <v>107</v>
      </c>
      <c r="K980" s="19">
        <v>0.39583333333333331</v>
      </c>
      <c r="L980" s="19">
        <v>0.70833333333333337</v>
      </c>
      <c r="M980">
        <v>7.5</v>
      </c>
      <c r="N980">
        <v>385.14</v>
      </c>
      <c r="O980">
        <v>40</v>
      </c>
      <c r="P980">
        <v>76</v>
      </c>
      <c r="Q980" t="s">
        <v>99</v>
      </c>
      <c r="R980">
        <v>30</v>
      </c>
      <c r="S980" s="19">
        <v>0.54166666666666663</v>
      </c>
      <c r="U980" s="19"/>
      <c r="V980" t="s">
        <v>99</v>
      </c>
      <c r="W980">
        <v>7</v>
      </c>
      <c r="X980" t="s">
        <v>102</v>
      </c>
      <c r="Y980" t="b">
        <v>0</v>
      </c>
    </row>
    <row r="981" spans="1:25" x14ac:dyDescent="0.55000000000000004">
      <c r="A981" t="s">
        <v>94</v>
      </c>
      <c r="B981" t="s">
        <v>173</v>
      </c>
      <c r="C981" t="s">
        <v>96</v>
      </c>
      <c r="D981" t="s">
        <v>174</v>
      </c>
      <c r="E981" t="s">
        <v>277</v>
      </c>
      <c r="F981" t="s">
        <v>281</v>
      </c>
      <c r="G981">
        <v>17989</v>
      </c>
      <c r="H981" t="s">
        <v>268</v>
      </c>
      <c r="I981">
        <v>2</v>
      </c>
      <c r="J981" t="s">
        <v>103</v>
      </c>
      <c r="K981" s="19">
        <v>0.39583333333333331</v>
      </c>
      <c r="L981" s="19">
        <v>0.70833333333333337</v>
      </c>
      <c r="M981">
        <v>7.5</v>
      </c>
      <c r="N981">
        <v>385.14</v>
      </c>
      <c r="O981">
        <v>40</v>
      </c>
      <c r="P981">
        <v>76</v>
      </c>
      <c r="Q981" t="s">
        <v>99</v>
      </c>
      <c r="R981">
        <v>30</v>
      </c>
      <c r="S981" s="19">
        <v>0.54166666666666663</v>
      </c>
      <c r="T981">
        <v>0</v>
      </c>
      <c r="U981" s="19">
        <v>0.54166666666666663</v>
      </c>
      <c r="V981" t="s">
        <v>99</v>
      </c>
      <c r="W981">
        <v>7</v>
      </c>
      <c r="X981" t="s">
        <v>102</v>
      </c>
      <c r="Y981" t="b">
        <v>0</v>
      </c>
    </row>
    <row r="982" spans="1:25" x14ac:dyDescent="0.55000000000000004">
      <c r="A982" t="s">
        <v>94</v>
      </c>
      <c r="B982" t="s">
        <v>173</v>
      </c>
      <c r="C982" t="s">
        <v>96</v>
      </c>
      <c r="D982" t="s">
        <v>174</v>
      </c>
      <c r="E982" t="s">
        <v>277</v>
      </c>
      <c r="F982" t="s">
        <v>281</v>
      </c>
      <c r="G982">
        <v>19423</v>
      </c>
      <c r="H982" t="s">
        <v>282</v>
      </c>
      <c r="I982">
        <v>1</v>
      </c>
      <c r="J982" t="s">
        <v>101</v>
      </c>
      <c r="K982" s="19">
        <v>0.33333333333333331</v>
      </c>
      <c r="L982" s="19">
        <v>0.66666666666666663</v>
      </c>
      <c r="M982">
        <v>8</v>
      </c>
      <c r="N982">
        <v>379.27</v>
      </c>
      <c r="O982">
        <v>60</v>
      </c>
      <c r="P982">
        <v>76</v>
      </c>
      <c r="Q982" t="s">
        <v>99</v>
      </c>
      <c r="R982">
        <v>30</v>
      </c>
      <c r="S982" s="19">
        <v>0.5</v>
      </c>
      <c r="T982">
        <v>0</v>
      </c>
      <c r="U982" s="19">
        <v>0.54166666666666663</v>
      </c>
      <c r="V982" t="s">
        <v>99</v>
      </c>
      <c r="W982">
        <v>7.5</v>
      </c>
      <c r="X982" t="s">
        <v>102</v>
      </c>
      <c r="Y982" t="b">
        <v>0</v>
      </c>
    </row>
    <row r="983" spans="1:25" x14ac:dyDescent="0.55000000000000004">
      <c r="A983" t="s">
        <v>94</v>
      </c>
      <c r="B983" t="s">
        <v>173</v>
      </c>
      <c r="C983" t="s">
        <v>96</v>
      </c>
      <c r="D983" t="s">
        <v>174</v>
      </c>
      <c r="E983" t="s">
        <v>277</v>
      </c>
      <c r="F983" t="s">
        <v>281</v>
      </c>
      <c r="G983">
        <v>19423</v>
      </c>
      <c r="H983" t="s">
        <v>282</v>
      </c>
      <c r="I983">
        <v>1</v>
      </c>
      <c r="J983" t="s">
        <v>116</v>
      </c>
      <c r="K983" s="19">
        <v>0.33333333333333331</v>
      </c>
      <c r="L983" s="19">
        <v>0.66666666666666663</v>
      </c>
      <c r="M983">
        <v>8</v>
      </c>
      <c r="N983">
        <v>663.73</v>
      </c>
      <c r="O983">
        <v>60</v>
      </c>
      <c r="P983">
        <v>76</v>
      </c>
      <c r="Q983" t="s">
        <v>99</v>
      </c>
      <c r="R983">
        <v>30</v>
      </c>
      <c r="S983" s="19">
        <v>0.5</v>
      </c>
      <c r="T983">
        <v>0</v>
      </c>
      <c r="U983" s="19">
        <v>0.54166666666666663</v>
      </c>
      <c r="V983" t="s">
        <v>99</v>
      </c>
      <c r="W983">
        <v>7.5</v>
      </c>
      <c r="X983" t="s">
        <v>102</v>
      </c>
      <c r="Y983" t="b">
        <v>0</v>
      </c>
    </row>
    <row r="984" spans="1:25" x14ac:dyDescent="0.55000000000000004">
      <c r="A984" t="s">
        <v>94</v>
      </c>
      <c r="B984" t="s">
        <v>173</v>
      </c>
      <c r="C984" t="s">
        <v>96</v>
      </c>
      <c r="D984" t="s">
        <v>174</v>
      </c>
      <c r="E984" t="s">
        <v>277</v>
      </c>
      <c r="F984" t="s">
        <v>281</v>
      </c>
      <c r="G984">
        <v>19423</v>
      </c>
      <c r="H984" t="s">
        <v>282</v>
      </c>
      <c r="I984">
        <v>1</v>
      </c>
      <c r="J984" t="s">
        <v>104</v>
      </c>
      <c r="K984" s="19">
        <v>0.33333333333333331</v>
      </c>
      <c r="L984" s="19">
        <v>0.66666666666666663</v>
      </c>
      <c r="M984">
        <v>8</v>
      </c>
      <c r="N984">
        <v>379.27</v>
      </c>
      <c r="O984">
        <v>60</v>
      </c>
      <c r="P984">
        <v>76</v>
      </c>
      <c r="Q984" t="s">
        <v>99</v>
      </c>
      <c r="R984">
        <v>30</v>
      </c>
      <c r="S984" s="19">
        <v>0.5</v>
      </c>
      <c r="T984">
        <v>0</v>
      </c>
      <c r="U984" s="19">
        <v>0.54166666666666663</v>
      </c>
      <c r="V984" t="s">
        <v>99</v>
      </c>
      <c r="W984">
        <v>7.5</v>
      </c>
      <c r="X984" t="s">
        <v>102</v>
      </c>
      <c r="Y984" t="b">
        <v>0</v>
      </c>
    </row>
    <row r="985" spans="1:25" x14ac:dyDescent="0.55000000000000004">
      <c r="A985" t="s">
        <v>94</v>
      </c>
      <c r="B985" t="s">
        <v>173</v>
      </c>
      <c r="C985" t="s">
        <v>96</v>
      </c>
      <c r="D985" t="s">
        <v>174</v>
      </c>
      <c r="E985" t="s">
        <v>277</v>
      </c>
      <c r="F985" t="s">
        <v>281</v>
      </c>
      <c r="G985">
        <v>19423</v>
      </c>
      <c r="H985" t="s">
        <v>282</v>
      </c>
      <c r="I985">
        <v>1</v>
      </c>
      <c r="J985" t="s">
        <v>105</v>
      </c>
      <c r="K985" s="19">
        <v>0.33333333333333331</v>
      </c>
      <c r="L985" s="19">
        <v>0.66666666666666663</v>
      </c>
      <c r="M985">
        <v>8</v>
      </c>
      <c r="N985">
        <v>379.27</v>
      </c>
      <c r="O985">
        <v>60</v>
      </c>
      <c r="P985">
        <v>76</v>
      </c>
      <c r="Q985" t="s">
        <v>99</v>
      </c>
      <c r="R985">
        <v>30</v>
      </c>
      <c r="S985" s="19">
        <v>0.5</v>
      </c>
      <c r="T985">
        <v>0</v>
      </c>
      <c r="U985" s="19">
        <v>0.54166666666666663</v>
      </c>
      <c r="V985" t="s">
        <v>99</v>
      </c>
      <c r="W985">
        <v>7.5</v>
      </c>
      <c r="X985" t="s">
        <v>102</v>
      </c>
      <c r="Y985" t="b">
        <v>0</v>
      </c>
    </row>
    <row r="986" spans="1:25" x14ac:dyDescent="0.55000000000000004">
      <c r="A986" t="s">
        <v>94</v>
      </c>
      <c r="B986" t="s">
        <v>173</v>
      </c>
      <c r="C986" t="s">
        <v>96</v>
      </c>
      <c r="D986" t="s">
        <v>174</v>
      </c>
      <c r="E986" t="s">
        <v>277</v>
      </c>
      <c r="F986" t="s">
        <v>281</v>
      </c>
      <c r="G986">
        <v>19423</v>
      </c>
      <c r="H986" t="s">
        <v>282</v>
      </c>
      <c r="I986">
        <v>2</v>
      </c>
      <c r="J986" t="s">
        <v>107</v>
      </c>
      <c r="K986" s="19">
        <v>0.33333333333333331</v>
      </c>
      <c r="L986" s="19">
        <v>0.66666666666666663</v>
      </c>
      <c r="M986">
        <v>8</v>
      </c>
      <c r="N986">
        <v>379.27</v>
      </c>
      <c r="O986">
        <v>60</v>
      </c>
      <c r="P986">
        <v>76</v>
      </c>
      <c r="Q986" t="s">
        <v>99</v>
      </c>
      <c r="R986">
        <v>30</v>
      </c>
      <c r="S986" s="19">
        <v>0.5</v>
      </c>
      <c r="T986">
        <v>0</v>
      </c>
      <c r="U986" s="19">
        <v>0.54166666666666663</v>
      </c>
      <c r="V986" t="s">
        <v>99</v>
      </c>
      <c r="W986">
        <v>7.5</v>
      </c>
      <c r="X986" t="s">
        <v>102</v>
      </c>
      <c r="Y986" t="b">
        <v>0</v>
      </c>
    </row>
    <row r="987" spans="1:25" x14ac:dyDescent="0.55000000000000004">
      <c r="A987" t="s">
        <v>94</v>
      </c>
      <c r="B987" t="s">
        <v>173</v>
      </c>
      <c r="C987" t="s">
        <v>96</v>
      </c>
      <c r="D987" t="s">
        <v>174</v>
      </c>
      <c r="E987" t="s">
        <v>277</v>
      </c>
      <c r="F987" t="s">
        <v>281</v>
      </c>
      <c r="G987">
        <v>19423</v>
      </c>
      <c r="H987" t="s">
        <v>282</v>
      </c>
      <c r="I987">
        <v>2</v>
      </c>
      <c r="J987" t="s">
        <v>103</v>
      </c>
      <c r="K987" s="19">
        <v>0.33333333333333331</v>
      </c>
      <c r="L987" s="19">
        <v>0.66666666666666663</v>
      </c>
      <c r="M987">
        <v>8</v>
      </c>
      <c r="N987">
        <v>379.27</v>
      </c>
      <c r="O987">
        <v>60</v>
      </c>
      <c r="P987">
        <v>76</v>
      </c>
      <c r="Q987" t="s">
        <v>99</v>
      </c>
      <c r="R987">
        <v>30</v>
      </c>
      <c r="S987" s="19">
        <v>0.5</v>
      </c>
      <c r="T987">
        <v>0</v>
      </c>
      <c r="U987" s="19">
        <v>0.54166666666666663</v>
      </c>
      <c r="V987" t="s">
        <v>99</v>
      </c>
      <c r="W987">
        <v>7.5</v>
      </c>
      <c r="X987" t="s">
        <v>102</v>
      </c>
      <c r="Y987" t="b">
        <v>0</v>
      </c>
    </row>
    <row r="988" spans="1:25" x14ac:dyDescent="0.55000000000000004">
      <c r="A988" t="s">
        <v>94</v>
      </c>
      <c r="B988" t="s">
        <v>173</v>
      </c>
      <c r="C988" t="s">
        <v>96</v>
      </c>
      <c r="D988" t="s">
        <v>174</v>
      </c>
      <c r="E988" t="s">
        <v>277</v>
      </c>
      <c r="F988" t="s">
        <v>281</v>
      </c>
      <c r="G988">
        <v>19423</v>
      </c>
      <c r="H988" t="s">
        <v>282</v>
      </c>
      <c r="I988">
        <v>2</v>
      </c>
      <c r="J988" t="s">
        <v>104</v>
      </c>
      <c r="K988" s="19">
        <v>0.33333333333333331</v>
      </c>
      <c r="L988" s="19">
        <v>0.66666666666666663</v>
      </c>
      <c r="M988">
        <v>8</v>
      </c>
      <c r="N988">
        <v>379.27</v>
      </c>
      <c r="O988">
        <v>60</v>
      </c>
      <c r="P988">
        <v>76</v>
      </c>
      <c r="Q988" t="s">
        <v>99</v>
      </c>
      <c r="R988">
        <v>30</v>
      </c>
      <c r="S988" s="19">
        <v>0.5</v>
      </c>
      <c r="T988">
        <v>0</v>
      </c>
      <c r="U988" s="19">
        <v>0.54166666666666663</v>
      </c>
      <c r="V988" t="s">
        <v>99</v>
      </c>
      <c r="W988">
        <v>7.5</v>
      </c>
      <c r="X988" t="s">
        <v>102</v>
      </c>
      <c r="Y988" t="b">
        <v>0</v>
      </c>
    </row>
    <row r="989" spans="1:25" x14ac:dyDescent="0.55000000000000004">
      <c r="A989" t="s">
        <v>94</v>
      </c>
      <c r="B989" t="s">
        <v>173</v>
      </c>
      <c r="C989" t="s">
        <v>96</v>
      </c>
      <c r="D989" t="s">
        <v>174</v>
      </c>
      <c r="E989" t="s">
        <v>277</v>
      </c>
      <c r="F989" t="s">
        <v>281</v>
      </c>
      <c r="G989">
        <v>19423</v>
      </c>
      <c r="H989" t="s">
        <v>282</v>
      </c>
      <c r="I989">
        <v>2</v>
      </c>
      <c r="J989" t="s">
        <v>105</v>
      </c>
      <c r="K989" s="19">
        <v>0.33333333333333331</v>
      </c>
      <c r="L989" s="19">
        <v>0.66666666666666663</v>
      </c>
      <c r="M989">
        <v>8</v>
      </c>
      <c r="N989">
        <v>379.27</v>
      </c>
      <c r="O989">
        <v>60</v>
      </c>
      <c r="P989">
        <v>76</v>
      </c>
      <c r="Q989" t="s">
        <v>99</v>
      </c>
      <c r="R989">
        <v>30</v>
      </c>
      <c r="S989" s="19">
        <v>0.5</v>
      </c>
      <c r="T989">
        <v>0</v>
      </c>
      <c r="U989" s="19">
        <v>0.54166666666666663</v>
      </c>
      <c r="V989" t="s">
        <v>99</v>
      </c>
      <c r="W989">
        <v>7.5</v>
      </c>
      <c r="X989" t="s">
        <v>102</v>
      </c>
      <c r="Y989" t="b">
        <v>0</v>
      </c>
    </row>
    <row r="990" spans="1:25" x14ac:dyDescent="0.55000000000000004">
      <c r="A990" t="s">
        <v>94</v>
      </c>
      <c r="B990" t="s">
        <v>173</v>
      </c>
      <c r="C990" t="s">
        <v>96</v>
      </c>
      <c r="D990" t="s">
        <v>174</v>
      </c>
      <c r="E990" t="s">
        <v>277</v>
      </c>
      <c r="F990" t="s">
        <v>281</v>
      </c>
      <c r="G990">
        <v>20321</v>
      </c>
      <c r="H990" t="s">
        <v>283</v>
      </c>
      <c r="I990">
        <v>1</v>
      </c>
      <c r="J990" t="s">
        <v>101</v>
      </c>
      <c r="K990" s="19">
        <v>0.33333333333333331</v>
      </c>
      <c r="L990" s="19">
        <v>0.66666666666666663</v>
      </c>
      <c r="M990">
        <v>8</v>
      </c>
      <c r="N990">
        <v>0</v>
      </c>
      <c r="O990">
        <v>45</v>
      </c>
      <c r="P990">
        <v>76</v>
      </c>
      <c r="Q990" t="s">
        <v>99</v>
      </c>
      <c r="R990">
        <v>30</v>
      </c>
      <c r="S990" s="19">
        <v>0.52083333333333337</v>
      </c>
      <c r="T990">
        <v>0</v>
      </c>
      <c r="U990" s="19">
        <v>0.54166666666666663</v>
      </c>
      <c r="V990" t="s">
        <v>99</v>
      </c>
      <c r="W990">
        <v>7.5</v>
      </c>
      <c r="X990" t="s">
        <v>102</v>
      </c>
      <c r="Y990" t="b">
        <v>0</v>
      </c>
    </row>
    <row r="991" spans="1:25" x14ac:dyDescent="0.55000000000000004">
      <c r="A991" t="s">
        <v>94</v>
      </c>
      <c r="B991" t="s">
        <v>173</v>
      </c>
      <c r="C991" t="s">
        <v>96</v>
      </c>
      <c r="D991" t="s">
        <v>174</v>
      </c>
      <c r="E991" t="s">
        <v>277</v>
      </c>
      <c r="F991" t="s">
        <v>281</v>
      </c>
      <c r="G991">
        <v>20321</v>
      </c>
      <c r="H991" t="s">
        <v>283</v>
      </c>
      <c r="I991">
        <v>1</v>
      </c>
      <c r="J991" t="s">
        <v>104</v>
      </c>
      <c r="K991" s="19">
        <v>0.33333333333333331</v>
      </c>
      <c r="L991" s="19">
        <v>0.66666666666666663</v>
      </c>
      <c r="M991">
        <v>8</v>
      </c>
      <c r="N991">
        <v>0</v>
      </c>
      <c r="O991">
        <v>45</v>
      </c>
      <c r="P991">
        <v>76</v>
      </c>
      <c r="Q991" t="s">
        <v>99</v>
      </c>
      <c r="R991">
        <v>30</v>
      </c>
      <c r="S991" s="19">
        <v>0.52083333333333337</v>
      </c>
      <c r="T991">
        <v>0</v>
      </c>
      <c r="U991" s="19">
        <v>0.54166666666666663</v>
      </c>
      <c r="V991" t="s">
        <v>99</v>
      </c>
      <c r="W991">
        <v>7.5</v>
      </c>
      <c r="X991" t="s">
        <v>102</v>
      </c>
      <c r="Y991" t="b">
        <v>0</v>
      </c>
    </row>
    <row r="992" spans="1:25" x14ac:dyDescent="0.55000000000000004">
      <c r="A992" t="s">
        <v>94</v>
      </c>
      <c r="B992" t="s">
        <v>173</v>
      </c>
      <c r="C992" t="s">
        <v>96</v>
      </c>
      <c r="D992" t="s">
        <v>174</v>
      </c>
      <c r="E992" t="s">
        <v>277</v>
      </c>
      <c r="F992" t="s">
        <v>281</v>
      </c>
      <c r="G992">
        <v>20321</v>
      </c>
      <c r="H992" t="s">
        <v>283</v>
      </c>
      <c r="I992">
        <v>1</v>
      </c>
      <c r="J992" t="s">
        <v>105</v>
      </c>
      <c r="K992" s="19">
        <v>0.33333333333333331</v>
      </c>
      <c r="L992" s="19">
        <v>0.66666666666666663</v>
      </c>
      <c r="M992">
        <v>8</v>
      </c>
      <c r="N992">
        <v>0</v>
      </c>
      <c r="O992">
        <v>45</v>
      </c>
      <c r="P992">
        <v>76</v>
      </c>
      <c r="Q992" t="s">
        <v>99</v>
      </c>
      <c r="R992">
        <v>30</v>
      </c>
      <c r="S992" s="19">
        <v>0.52083333333333337</v>
      </c>
      <c r="T992">
        <v>0</v>
      </c>
      <c r="U992" s="19">
        <v>0.54166666666666663</v>
      </c>
      <c r="V992" t="s">
        <v>99</v>
      </c>
      <c r="W992">
        <v>7.5</v>
      </c>
      <c r="X992" t="s">
        <v>102</v>
      </c>
      <c r="Y992" t="b">
        <v>0</v>
      </c>
    </row>
    <row r="993" spans="1:25" x14ac:dyDescent="0.55000000000000004">
      <c r="A993" t="s">
        <v>94</v>
      </c>
      <c r="B993" t="s">
        <v>173</v>
      </c>
      <c r="C993" t="s">
        <v>96</v>
      </c>
      <c r="D993" t="s">
        <v>174</v>
      </c>
      <c r="E993" t="s">
        <v>277</v>
      </c>
      <c r="F993" t="s">
        <v>281</v>
      </c>
      <c r="G993">
        <v>20321</v>
      </c>
      <c r="H993" t="s">
        <v>283</v>
      </c>
      <c r="I993">
        <v>2</v>
      </c>
      <c r="J993" t="s">
        <v>101</v>
      </c>
      <c r="K993" s="19">
        <v>0.33333333333333331</v>
      </c>
      <c r="L993" s="19">
        <v>0.66666666666666663</v>
      </c>
      <c r="M993">
        <v>8</v>
      </c>
      <c r="N993">
        <v>0</v>
      </c>
      <c r="O993">
        <v>45</v>
      </c>
      <c r="P993">
        <v>76</v>
      </c>
      <c r="Q993" t="s">
        <v>99</v>
      </c>
      <c r="R993">
        <v>30</v>
      </c>
      <c r="S993" s="19">
        <v>0.52083333333333337</v>
      </c>
      <c r="T993">
        <v>0</v>
      </c>
      <c r="U993" s="19">
        <v>0.54166666666666663</v>
      </c>
      <c r="V993" t="s">
        <v>99</v>
      </c>
      <c r="W993">
        <v>7.5</v>
      </c>
      <c r="X993" t="s">
        <v>102</v>
      </c>
      <c r="Y993" t="b">
        <v>0</v>
      </c>
    </row>
    <row r="994" spans="1:25" x14ac:dyDescent="0.55000000000000004">
      <c r="A994" t="s">
        <v>94</v>
      </c>
      <c r="B994" t="s">
        <v>173</v>
      </c>
      <c r="C994" t="s">
        <v>96</v>
      </c>
      <c r="D994" t="s">
        <v>174</v>
      </c>
      <c r="E994" t="s">
        <v>277</v>
      </c>
      <c r="F994" t="s">
        <v>281</v>
      </c>
      <c r="G994">
        <v>20321</v>
      </c>
      <c r="H994" t="s">
        <v>283</v>
      </c>
      <c r="I994">
        <v>2</v>
      </c>
      <c r="J994" t="s">
        <v>104</v>
      </c>
      <c r="K994" s="19">
        <v>0.33333333333333331</v>
      </c>
      <c r="L994" s="19">
        <v>0.66666666666666663</v>
      </c>
      <c r="M994">
        <v>8</v>
      </c>
      <c r="N994">
        <v>0</v>
      </c>
      <c r="O994">
        <v>45</v>
      </c>
      <c r="P994">
        <v>76</v>
      </c>
      <c r="Q994" t="s">
        <v>99</v>
      </c>
      <c r="R994">
        <v>30</v>
      </c>
      <c r="S994" s="19">
        <v>0.52083333333333337</v>
      </c>
      <c r="T994">
        <v>0</v>
      </c>
      <c r="U994" s="19">
        <v>0.54166666666666663</v>
      </c>
      <c r="V994" t="s">
        <v>99</v>
      </c>
      <c r="W994">
        <v>7.5</v>
      </c>
      <c r="X994" t="s">
        <v>102</v>
      </c>
      <c r="Y994" t="b">
        <v>0</v>
      </c>
    </row>
    <row r="995" spans="1:25" x14ac:dyDescent="0.55000000000000004">
      <c r="A995" t="s">
        <v>94</v>
      </c>
      <c r="B995" t="s">
        <v>173</v>
      </c>
      <c r="C995" t="s">
        <v>96</v>
      </c>
      <c r="D995" t="s">
        <v>174</v>
      </c>
      <c r="E995" t="s">
        <v>277</v>
      </c>
      <c r="F995" t="s">
        <v>281</v>
      </c>
      <c r="G995">
        <v>20321</v>
      </c>
      <c r="H995" t="s">
        <v>283</v>
      </c>
      <c r="I995">
        <v>2</v>
      </c>
      <c r="J995" t="s">
        <v>105</v>
      </c>
      <c r="K995" s="19">
        <v>0.33333333333333331</v>
      </c>
      <c r="L995" s="19">
        <v>0.66666666666666663</v>
      </c>
      <c r="M995">
        <v>8</v>
      </c>
      <c r="N995">
        <v>0</v>
      </c>
      <c r="O995">
        <v>45</v>
      </c>
      <c r="P995">
        <v>76</v>
      </c>
      <c r="Q995" t="s">
        <v>99</v>
      </c>
      <c r="R995">
        <v>30</v>
      </c>
      <c r="S995" s="19">
        <v>0.52083333333333337</v>
      </c>
      <c r="T995">
        <v>0</v>
      </c>
      <c r="U995" s="19">
        <v>0.54166666666666663</v>
      </c>
      <c r="V995" t="s">
        <v>99</v>
      </c>
      <c r="W995">
        <v>7.5</v>
      </c>
      <c r="X995" t="s">
        <v>102</v>
      </c>
      <c r="Y995" t="b">
        <v>0</v>
      </c>
    </row>
    <row r="996" spans="1:25" x14ac:dyDescent="0.55000000000000004">
      <c r="A996" t="s">
        <v>94</v>
      </c>
      <c r="B996" t="s">
        <v>173</v>
      </c>
      <c r="C996" t="s">
        <v>96</v>
      </c>
      <c r="D996" t="s">
        <v>174</v>
      </c>
      <c r="E996" t="s">
        <v>277</v>
      </c>
      <c r="F996" t="s">
        <v>281</v>
      </c>
      <c r="G996">
        <v>20696</v>
      </c>
      <c r="H996" t="s">
        <v>284</v>
      </c>
      <c r="I996">
        <v>1</v>
      </c>
      <c r="J996" t="s">
        <v>101</v>
      </c>
      <c r="K996" s="19">
        <v>0.25</v>
      </c>
      <c r="L996" s="19">
        <v>0.60416666666666663</v>
      </c>
      <c r="M996">
        <v>8.5</v>
      </c>
      <c r="N996">
        <v>0</v>
      </c>
      <c r="O996">
        <v>32</v>
      </c>
      <c r="P996">
        <v>76</v>
      </c>
      <c r="Q996" t="s">
        <v>99</v>
      </c>
      <c r="R996">
        <v>30</v>
      </c>
      <c r="S996" s="19">
        <v>0.4375</v>
      </c>
      <c r="T996">
        <v>0</v>
      </c>
      <c r="U996" s="19">
        <v>0.54166666666666663</v>
      </c>
      <c r="V996" t="s">
        <v>99</v>
      </c>
      <c r="W996">
        <v>8</v>
      </c>
      <c r="X996" t="s">
        <v>102</v>
      </c>
      <c r="Y996" t="b">
        <v>0</v>
      </c>
    </row>
    <row r="997" spans="1:25" x14ac:dyDescent="0.55000000000000004">
      <c r="A997" t="s">
        <v>94</v>
      </c>
      <c r="B997" t="s">
        <v>173</v>
      </c>
      <c r="C997" t="s">
        <v>96</v>
      </c>
      <c r="D997" t="s">
        <v>174</v>
      </c>
      <c r="E997" t="s">
        <v>277</v>
      </c>
      <c r="F997" t="s">
        <v>281</v>
      </c>
      <c r="G997">
        <v>20696</v>
      </c>
      <c r="H997" t="s">
        <v>284</v>
      </c>
      <c r="I997">
        <v>2</v>
      </c>
      <c r="J997" t="s">
        <v>105</v>
      </c>
      <c r="K997" s="19">
        <v>0.25</v>
      </c>
      <c r="L997" s="19">
        <v>0.60416666666666663</v>
      </c>
      <c r="M997">
        <v>8.5</v>
      </c>
      <c r="N997">
        <v>0</v>
      </c>
      <c r="O997">
        <v>32</v>
      </c>
      <c r="P997">
        <v>76</v>
      </c>
      <c r="Q997" t="s">
        <v>99</v>
      </c>
      <c r="R997">
        <v>30</v>
      </c>
      <c r="S997" s="19">
        <v>0.4375</v>
      </c>
      <c r="T997">
        <v>0</v>
      </c>
      <c r="U997" s="19">
        <v>0.54166666666666663</v>
      </c>
      <c r="V997" t="s">
        <v>99</v>
      </c>
      <c r="W997">
        <v>8</v>
      </c>
      <c r="X997" t="s">
        <v>102</v>
      </c>
      <c r="Y997" t="b">
        <v>0</v>
      </c>
    </row>
    <row r="998" spans="1:25" x14ac:dyDescent="0.55000000000000004">
      <c r="A998" t="s">
        <v>94</v>
      </c>
      <c r="B998" t="s">
        <v>173</v>
      </c>
      <c r="C998" t="s">
        <v>96</v>
      </c>
      <c r="D998" t="s">
        <v>174</v>
      </c>
      <c r="E998" t="s">
        <v>277</v>
      </c>
      <c r="F998" t="s">
        <v>281</v>
      </c>
      <c r="G998">
        <v>23461</v>
      </c>
      <c r="H998" t="s">
        <v>270</v>
      </c>
      <c r="I998">
        <v>1</v>
      </c>
      <c r="J998" t="s">
        <v>104</v>
      </c>
      <c r="K998" s="19">
        <v>0.25</v>
      </c>
      <c r="L998" s="19">
        <v>0.60416666666666663</v>
      </c>
      <c r="M998">
        <v>8.5</v>
      </c>
      <c r="N998">
        <v>432.88</v>
      </c>
      <c r="O998">
        <v>40</v>
      </c>
      <c r="P998">
        <v>76</v>
      </c>
      <c r="Q998" t="s">
        <v>99</v>
      </c>
      <c r="R998">
        <v>30</v>
      </c>
      <c r="S998" s="19">
        <v>0.4375</v>
      </c>
      <c r="T998">
        <v>0</v>
      </c>
      <c r="U998" s="19">
        <v>0.54166666666666663</v>
      </c>
      <c r="V998" t="s">
        <v>99</v>
      </c>
      <c r="W998">
        <v>8</v>
      </c>
      <c r="X998" t="s">
        <v>102</v>
      </c>
      <c r="Y998" t="b">
        <v>0</v>
      </c>
    </row>
    <row r="999" spans="1:25" x14ac:dyDescent="0.55000000000000004">
      <c r="A999" t="s">
        <v>94</v>
      </c>
      <c r="B999" t="s">
        <v>173</v>
      </c>
      <c r="C999" t="s">
        <v>96</v>
      </c>
      <c r="D999" t="s">
        <v>174</v>
      </c>
      <c r="E999" t="s">
        <v>277</v>
      </c>
      <c r="F999" t="s">
        <v>281</v>
      </c>
      <c r="G999">
        <v>23679</v>
      </c>
      <c r="H999" t="s">
        <v>278</v>
      </c>
      <c r="I999">
        <v>1</v>
      </c>
      <c r="J999" t="s">
        <v>107</v>
      </c>
      <c r="K999" s="19">
        <v>0.25</v>
      </c>
      <c r="L999" s="19">
        <v>0.60416666666666663</v>
      </c>
      <c r="M999">
        <v>8.5</v>
      </c>
      <c r="N999">
        <v>0</v>
      </c>
      <c r="O999">
        <v>64</v>
      </c>
      <c r="P999">
        <v>76</v>
      </c>
      <c r="Q999" t="s">
        <v>99</v>
      </c>
      <c r="R999">
        <v>30</v>
      </c>
      <c r="S999" s="19">
        <v>0.4375</v>
      </c>
      <c r="T999">
        <v>0</v>
      </c>
      <c r="U999" s="19">
        <v>0.54166666666666663</v>
      </c>
      <c r="V999" t="s">
        <v>99</v>
      </c>
      <c r="W999">
        <v>8</v>
      </c>
      <c r="X999" t="s">
        <v>102</v>
      </c>
      <c r="Y999" t="b">
        <v>0</v>
      </c>
    </row>
    <row r="1000" spans="1:25" x14ac:dyDescent="0.55000000000000004">
      <c r="A1000" t="s">
        <v>94</v>
      </c>
      <c r="B1000" t="s">
        <v>173</v>
      </c>
      <c r="C1000" t="s">
        <v>96</v>
      </c>
      <c r="D1000" t="s">
        <v>174</v>
      </c>
      <c r="E1000" t="s">
        <v>277</v>
      </c>
      <c r="F1000" t="s">
        <v>281</v>
      </c>
      <c r="G1000">
        <v>23679</v>
      </c>
      <c r="H1000" t="s">
        <v>278</v>
      </c>
      <c r="I1000">
        <v>1</v>
      </c>
      <c r="J1000" t="s">
        <v>103</v>
      </c>
      <c r="K1000" s="19">
        <v>0.25</v>
      </c>
      <c r="L1000" s="19">
        <v>0.60416666666666663</v>
      </c>
      <c r="M1000">
        <v>8.5</v>
      </c>
      <c r="N1000">
        <v>0</v>
      </c>
      <c r="O1000">
        <v>64</v>
      </c>
      <c r="P1000">
        <v>76</v>
      </c>
      <c r="Q1000" t="s">
        <v>99</v>
      </c>
      <c r="R1000">
        <v>30</v>
      </c>
      <c r="S1000" s="19">
        <v>0.4375</v>
      </c>
      <c r="T1000">
        <v>0</v>
      </c>
      <c r="U1000" s="19">
        <v>0.54166666666666663</v>
      </c>
      <c r="V1000" t="s">
        <v>99</v>
      </c>
      <c r="W1000">
        <v>8</v>
      </c>
      <c r="X1000" t="s">
        <v>102</v>
      </c>
      <c r="Y1000" t="b">
        <v>0</v>
      </c>
    </row>
    <row r="1001" spans="1:25" x14ac:dyDescent="0.55000000000000004">
      <c r="A1001" t="s">
        <v>94</v>
      </c>
      <c r="B1001" t="s">
        <v>173</v>
      </c>
      <c r="C1001" t="s">
        <v>96</v>
      </c>
      <c r="D1001" t="s">
        <v>174</v>
      </c>
      <c r="E1001" t="s">
        <v>277</v>
      </c>
      <c r="F1001" t="s">
        <v>281</v>
      </c>
      <c r="G1001">
        <v>24504</v>
      </c>
      <c r="H1001" t="s">
        <v>279</v>
      </c>
      <c r="I1001">
        <v>2</v>
      </c>
      <c r="J1001" t="s">
        <v>104</v>
      </c>
      <c r="K1001" s="19">
        <v>0.25</v>
      </c>
      <c r="L1001" s="19">
        <v>0.60416666666666663</v>
      </c>
      <c r="M1001">
        <v>8.5</v>
      </c>
      <c r="N1001">
        <v>0</v>
      </c>
      <c r="O1001">
        <v>48</v>
      </c>
      <c r="P1001">
        <v>76</v>
      </c>
      <c r="Q1001" t="s">
        <v>99</v>
      </c>
      <c r="R1001">
        <v>30</v>
      </c>
      <c r="S1001" s="19">
        <v>0.4375</v>
      </c>
      <c r="T1001">
        <v>0</v>
      </c>
      <c r="U1001" s="19">
        <v>0.54166666666666663</v>
      </c>
      <c r="V1001" t="s">
        <v>99</v>
      </c>
      <c r="W1001">
        <v>8</v>
      </c>
      <c r="X1001" t="s">
        <v>102</v>
      </c>
      <c r="Y1001" t="b">
        <v>0</v>
      </c>
    </row>
    <row r="1002" spans="1:25" x14ac:dyDescent="0.55000000000000004">
      <c r="A1002" t="s">
        <v>94</v>
      </c>
      <c r="B1002" t="s">
        <v>173</v>
      </c>
      <c r="C1002" t="s">
        <v>96</v>
      </c>
      <c r="D1002" t="s">
        <v>174</v>
      </c>
      <c r="E1002" t="s">
        <v>277</v>
      </c>
      <c r="F1002" t="s">
        <v>281</v>
      </c>
      <c r="G1002">
        <v>24531</v>
      </c>
      <c r="H1002" t="s">
        <v>271</v>
      </c>
      <c r="I1002">
        <v>2</v>
      </c>
      <c r="J1002" t="s">
        <v>103</v>
      </c>
      <c r="K1002" s="19">
        <v>0.25</v>
      </c>
      <c r="L1002" s="19">
        <v>0.60416666666666663</v>
      </c>
      <c r="M1002">
        <v>8.5</v>
      </c>
      <c r="N1002">
        <v>0</v>
      </c>
      <c r="O1002">
        <v>48</v>
      </c>
      <c r="P1002">
        <v>76</v>
      </c>
      <c r="Q1002" t="s">
        <v>99</v>
      </c>
      <c r="R1002">
        <v>30</v>
      </c>
      <c r="S1002" s="19">
        <v>0.4375</v>
      </c>
      <c r="T1002">
        <v>0</v>
      </c>
      <c r="U1002" s="19">
        <v>0.54166666666666663</v>
      </c>
      <c r="V1002" t="s">
        <v>99</v>
      </c>
      <c r="W1002">
        <v>8</v>
      </c>
      <c r="X1002" t="s">
        <v>102</v>
      </c>
      <c r="Y1002" t="b">
        <v>0</v>
      </c>
    </row>
    <row r="1003" spans="1:25" x14ac:dyDescent="0.55000000000000004">
      <c r="A1003" t="s">
        <v>94</v>
      </c>
      <c r="B1003" t="s">
        <v>173</v>
      </c>
      <c r="C1003" t="s">
        <v>96</v>
      </c>
      <c r="D1003" t="s">
        <v>174</v>
      </c>
      <c r="E1003" t="s">
        <v>277</v>
      </c>
      <c r="F1003" t="s">
        <v>281</v>
      </c>
      <c r="G1003">
        <v>24531</v>
      </c>
      <c r="H1003" t="s">
        <v>271</v>
      </c>
      <c r="I1003">
        <v>2</v>
      </c>
      <c r="J1003" t="s">
        <v>104</v>
      </c>
      <c r="K1003" s="19">
        <v>0.25</v>
      </c>
      <c r="L1003" s="19">
        <v>0.60416666666666663</v>
      </c>
      <c r="M1003">
        <v>8.5</v>
      </c>
      <c r="N1003">
        <v>0</v>
      </c>
      <c r="O1003">
        <v>48</v>
      </c>
      <c r="P1003">
        <v>76</v>
      </c>
      <c r="Q1003" t="s">
        <v>99</v>
      </c>
      <c r="R1003">
        <v>30</v>
      </c>
      <c r="S1003" s="19">
        <v>0.4375</v>
      </c>
      <c r="T1003">
        <v>0</v>
      </c>
      <c r="U1003" s="19">
        <v>0.54166666666666663</v>
      </c>
      <c r="V1003" t="s">
        <v>99</v>
      </c>
      <c r="W1003">
        <v>8</v>
      </c>
      <c r="X1003" t="s">
        <v>102</v>
      </c>
      <c r="Y1003" t="b">
        <v>0</v>
      </c>
    </row>
    <row r="1004" spans="1:25" x14ac:dyDescent="0.55000000000000004">
      <c r="A1004" t="s">
        <v>94</v>
      </c>
      <c r="B1004" t="s">
        <v>173</v>
      </c>
      <c r="C1004" t="s">
        <v>96</v>
      </c>
      <c r="D1004" t="s">
        <v>174</v>
      </c>
      <c r="E1004" t="s">
        <v>277</v>
      </c>
      <c r="F1004" t="s">
        <v>281</v>
      </c>
      <c r="G1004">
        <v>24780</v>
      </c>
      <c r="H1004" t="s">
        <v>266</v>
      </c>
      <c r="I1004">
        <v>1</v>
      </c>
      <c r="J1004" t="s">
        <v>107</v>
      </c>
      <c r="K1004" s="19">
        <v>0.25</v>
      </c>
      <c r="L1004" s="19">
        <v>0.60416666666666663</v>
      </c>
      <c r="M1004">
        <v>8.5</v>
      </c>
      <c r="N1004">
        <v>0</v>
      </c>
      <c r="O1004">
        <v>76</v>
      </c>
      <c r="P1004">
        <v>76</v>
      </c>
      <c r="Q1004" t="s">
        <v>99</v>
      </c>
      <c r="R1004">
        <v>30</v>
      </c>
      <c r="S1004" s="19">
        <v>0.4375</v>
      </c>
      <c r="T1004">
        <v>0</v>
      </c>
      <c r="U1004" s="19">
        <v>0.54166666666666663</v>
      </c>
      <c r="V1004" t="s">
        <v>99</v>
      </c>
      <c r="W1004">
        <v>8</v>
      </c>
      <c r="X1004" t="s">
        <v>102</v>
      </c>
      <c r="Y1004" t="b">
        <v>0</v>
      </c>
    </row>
    <row r="1005" spans="1:25" x14ac:dyDescent="0.55000000000000004">
      <c r="A1005" t="s">
        <v>94</v>
      </c>
      <c r="B1005" t="s">
        <v>173</v>
      </c>
      <c r="C1005" t="s">
        <v>96</v>
      </c>
      <c r="D1005" t="s">
        <v>174</v>
      </c>
      <c r="E1005" t="s">
        <v>277</v>
      </c>
      <c r="F1005" t="s">
        <v>281</v>
      </c>
      <c r="G1005">
        <v>24780</v>
      </c>
      <c r="H1005" t="s">
        <v>266</v>
      </c>
      <c r="I1005">
        <v>1</v>
      </c>
      <c r="J1005" t="s">
        <v>103</v>
      </c>
      <c r="K1005" s="19">
        <v>0.25</v>
      </c>
      <c r="L1005" s="19">
        <v>0.60416666666666663</v>
      </c>
      <c r="M1005">
        <v>8.5</v>
      </c>
      <c r="N1005">
        <v>0</v>
      </c>
      <c r="O1005">
        <v>76</v>
      </c>
      <c r="P1005">
        <v>76</v>
      </c>
      <c r="Q1005" t="s">
        <v>99</v>
      </c>
      <c r="R1005">
        <v>30</v>
      </c>
      <c r="S1005" s="19">
        <v>0.4375</v>
      </c>
      <c r="T1005">
        <v>0</v>
      </c>
      <c r="U1005" s="19">
        <v>0.54166666666666663</v>
      </c>
      <c r="V1005" t="s">
        <v>99</v>
      </c>
      <c r="W1005">
        <v>8</v>
      </c>
      <c r="X1005" t="s">
        <v>102</v>
      </c>
      <c r="Y1005" t="b">
        <v>0</v>
      </c>
    </row>
    <row r="1006" spans="1:25" x14ac:dyDescent="0.55000000000000004">
      <c r="A1006" t="s">
        <v>94</v>
      </c>
      <c r="B1006" t="s">
        <v>173</v>
      </c>
      <c r="C1006" t="s">
        <v>96</v>
      </c>
      <c r="D1006" t="s">
        <v>174</v>
      </c>
      <c r="E1006" t="s">
        <v>277</v>
      </c>
      <c r="F1006" t="s">
        <v>281</v>
      </c>
      <c r="G1006">
        <v>24780</v>
      </c>
      <c r="H1006" t="s">
        <v>266</v>
      </c>
      <c r="I1006">
        <v>2</v>
      </c>
      <c r="J1006" t="s">
        <v>115</v>
      </c>
      <c r="K1006" s="19">
        <v>0.25</v>
      </c>
      <c r="L1006" s="19">
        <v>0.60416666666666663</v>
      </c>
      <c r="M1006">
        <v>8.5</v>
      </c>
      <c r="N1006">
        <v>0</v>
      </c>
      <c r="O1006">
        <v>76</v>
      </c>
      <c r="P1006">
        <v>76</v>
      </c>
      <c r="Q1006" t="s">
        <v>99</v>
      </c>
      <c r="R1006">
        <v>30</v>
      </c>
      <c r="S1006" s="19">
        <v>0.4375</v>
      </c>
      <c r="T1006">
        <v>0</v>
      </c>
      <c r="U1006" s="19">
        <v>0.54166666666666663</v>
      </c>
      <c r="V1006" t="s">
        <v>99</v>
      </c>
      <c r="W1006">
        <v>8</v>
      </c>
      <c r="X1006" t="s">
        <v>102</v>
      </c>
      <c r="Y1006" t="b">
        <v>0</v>
      </c>
    </row>
    <row r="1007" spans="1:25" x14ac:dyDescent="0.55000000000000004">
      <c r="A1007" t="s">
        <v>94</v>
      </c>
      <c r="B1007" t="s">
        <v>173</v>
      </c>
      <c r="C1007" t="s">
        <v>96</v>
      </c>
      <c r="D1007" t="s">
        <v>174</v>
      </c>
      <c r="E1007" t="s">
        <v>277</v>
      </c>
      <c r="F1007" t="s">
        <v>281</v>
      </c>
      <c r="G1007">
        <v>24780</v>
      </c>
      <c r="H1007" t="s">
        <v>266</v>
      </c>
      <c r="I1007">
        <v>2</v>
      </c>
      <c r="J1007" t="s">
        <v>116</v>
      </c>
      <c r="K1007" s="19">
        <v>0.25</v>
      </c>
      <c r="L1007" s="19">
        <v>0.41666666666666669</v>
      </c>
      <c r="M1007">
        <v>4</v>
      </c>
      <c r="N1007">
        <v>0</v>
      </c>
      <c r="O1007">
        <v>76</v>
      </c>
      <c r="P1007">
        <v>76</v>
      </c>
      <c r="Q1007" t="s">
        <v>99</v>
      </c>
      <c r="R1007">
        <v>0</v>
      </c>
      <c r="S1007" s="19">
        <v>0</v>
      </c>
      <c r="T1007">
        <v>0</v>
      </c>
      <c r="U1007" s="19">
        <v>0.54166666666666663</v>
      </c>
      <c r="V1007" t="s">
        <v>99</v>
      </c>
      <c r="W1007">
        <v>4</v>
      </c>
      <c r="X1007" t="s">
        <v>102</v>
      </c>
      <c r="Y1007" t="b">
        <v>0</v>
      </c>
    </row>
    <row r="1008" spans="1:25" x14ac:dyDescent="0.55000000000000004">
      <c r="A1008" t="s">
        <v>94</v>
      </c>
      <c r="B1008" t="s">
        <v>173</v>
      </c>
      <c r="C1008" t="s">
        <v>96</v>
      </c>
      <c r="D1008" t="s">
        <v>174</v>
      </c>
      <c r="E1008" t="s">
        <v>277</v>
      </c>
      <c r="F1008" t="s">
        <v>281</v>
      </c>
      <c r="G1008">
        <v>25182</v>
      </c>
      <c r="H1008" t="s">
        <v>280</v>
      </c>
      <c r="I1008">
        <v>1</v>
      </c>
      <c r="J1008" t="s">
        <v>115</v>
      </c>
      <c r="K1008" s="19">
        <v>0.25</v>
      </c>
      <c r="L1008" s="19">
        <v>0.60416666666666663</v>
      </c>
      <c r="M1008">
        <v>8.5</v>
      </c>
      <c r="N1008">
        <v>0</v>
      </c>
      <c r="O1008">
        <v>76</v>
      </c>
      <c r="P1008">
        <v>76</v>
      </c>
      <c r="Q1008" t="s">
        <v>99</v>
      </c>
      <c r="R1008">
        <v>30</v>
      </c>
      <c r="S1008" s="19">
        <v>0.4375</v>
      </c>
      <c r="T1008">
        <v>0</v>
      </c>
      <c r="U1008" s="19">
        <v>0.54166666666666663</v>
      </c>
      <c r="V1008" t="s">
        <v>99</v>
      </c>
      <c r="W1008">
        <v>8</v>
      </c>
      <c r="X1008" t="s">
        <v>102</v>
      </c>
      <c r="Y1008" t="b">
        <v>0</v>
      </c>
    </row>
    <row r="1009" spans="1:25" x14ac:dyDescent="0.55000000000000004">
      <c r="A1009" t="s">
        <v>94</v>
      </c>
      <c r="B1009" t="s">
        <v>173</v>
      </c>
      <c r="C1009" t="s">
        <v>96</v>
      </c>
      <c r="D1009" t="s">
        <v>174</v>
      </c>
      <c r="E1009" t="s">
        <v>277</v>
      </c>
      <c r="F1009" t="s">
        <v>281</v>
      </c>
      <c r="G1009">
        <v>25182</v>
      </c>
      <c r="H1009" t="s">
        <v>280</v>
      </c>
      <c r="I1009">
        <v>1</v>
      </c>
      <c r="J1009" t="s">
        <v>116</v>
      </c>
      <c r="K1009" s="19">
        <v>0.25</v>
      </c>
      <c r="L1009" s="19">
        <v>0.60416666666666663</v>
      </c>
      <c r="M1009">
        <v>8.5</v>
      </c>
      <c r="N1009">
        <v>0</v>
      </c>
      <c r="O1009">
        <v>76</v>
      </c>
      <c r="P1009">
        <v>76</v>
      </c>
      <c r="Q1009" t="s">
        <v>99</v>
      </c>
      <c r="R1009">
        <v>30</v>
      </c>
      <c r="S1009" s="19">
        <v>0.4375</v>
      </c>
      <c r="T1009">
        <v>0</v>
      </c>
      <c r="U1009" s="19">
        <v>0.54166666666666663</v>
      </c>
      <c r="V1009" t="s">
        <v>99</v>
      </c>
      <c r="W1009">
        <v>8</v>
      </c>
      <c r="X1009" t="s">
        <v>102</v>
      </c>
      <c r="Y1009" t="b">
        <v>0</v>
      </c>
    </row>
    <row r="1010" spans="1:25" x14ac:dyDescent="0.55000000000000004">
      <c r="A1010" t="s">
        <v>94</v>
      </c>
      <c r="B1010" t="s">
        <v>173</v>
      </c>
      <c r="C1010" t="s">
        <v>96</v>
      </c>
      <c r="D1010" t="s">
        <v>174</v>
      </c>
      <c r="E1010" t="s">
        <v>277</v>
      </c>
      <c r="F1010" t="s">
        <v>281</v>
      </c>
      <c r="G1010">
        <v>25182</v>
      </c>
      <c r="H1010" t="s">
        <v>280</v>
      </c>
      <c r="I1010">
        <v>1</v>
      </c>
      <c r="J1010" t="s">
        <v>103</v>
      </c>
      <c r="K1010" s="19">
        <v>0.25</v>
      </c>
      <c r="L1010" s="19">
        <v>0.60416666666666663</v>
      </c>
      <c r="M1010">
        <v>8.5</v>
      </c>
      <c r="N1010">
        <v>0</v>
      </c>
      <c r="O1010">
        <v>76</v>
      </c>
      <c r="P1010">
        <v>76</v>
      </c>
      <c r="Q1010" t="s">
        <v>99</v>
      </c>
      <c r="R1010">
        <v>30</v>
      </c>
      <c r="S1010" s="19">
        <v>0.4375</v>
      </c>
      <c r="T1010">
        <v>0</v>
      </c>
      <c r="U1010" s="19">
        <v>0.54166666666666663</v>
      </c>
      <c r="V1010" t="s">
        <v>99</v>
      </c>
      <c r="W1010">
        <v>8</v>
      </c>
      <c r="X1010" t="s">
        <v>102</v>
      </c>
      <c r="Y1010" t="b">
        <v>0</v>
      </c>
    </row>
    <row r="1011" spans="1:25" x14ac:dyDescent="0.55000000000000004">
      <c r="A1011" t="s">
        <v>94</v>
      </c>
      <c r="B1011" t="s">
        <v>173</v>
      </c>
      <c r="C1011" t="s">
        <v>96</v>
      </c>
      <c r="D1011" t="s">
        <v>174</v>
      </c>
      <c r="E1011" t="s">
        <v>277</v>
      </c>
      <c r="F1011" t="s">
        <v>281</v>
      </c>
      <c r="G1011">
        <v>25182</v>
      </c>
      <c r="H1011" t="s">
        <v>280</v>
      </c>
      <c r="I1011">
        <v>2</v>
      </c>
      <c r="J1011" t="s">
        <v>115</v>
      </c>
      <c r="K1011" s="19">
        <v>0.25</v>
      </c>
      <c r="L1011" s="19">
        <v>0.60416666666666663</v>
      </c>
      <c r="M1011">
        <v>8.5</v>
      </c>
      <c r="N1011">
        <v>0</v>
      </c>
      <c r="O1011">
        <v>76</v>
      </c>
      <c r="P1011">
        <v>76</v>
      </c>
      <c r="Q1011" t="s">
        <v>99</v>
      </c>
      <c r="R1011">
        <v>30</v>
      </c>
      <c r="S1011" s="19">
        <v>0.4375</v>
      </c>
      <c r="T1011">
        <v>0</v>
      </c>
      <c r="U1011" s="19">
        <v>0.54166666666666663</v>
      </c>
      <c r="V1011" t="s">
        <v>99</v>
      </c>
      <c r="W1011">
        <v>8</v>
      </c>
      <c r="X1011" t="s">
        <v>102</v>
      </c>
      <c r="Y1011" t="b">
        <v>0</v>
      </c>
    </row>
    <row r="1012" spans="1:25" x14ac:dyDescent="0.55000000000000004">
      <c r="A1012" t="s">
        <v>94</v>
      </c>
      <c r="B1012" t="s">
        <v>173</v>
      </c>
      <c r="C1012" t="s">
        <v>96</v>
      </c>
      <c r="D1012" t="s">
        <v>174</v>
      </c>
      <c r="E1012" t="s">
        <v>277</v>
      </c>
      <c r="F1012" t="s">
        <v>281</v>
      </c>
      <c r="G1012">
        <v>25182</v>
      </c>
      <c r="H1012" t="s">
        <v>280</v>
      </c>
      <c r="I1012">
        <v>2</v>
      </c>
      <c r="J1012" t="s">
        <v>116</v>
      </c>
      <c r="K1012" s="19">
        <v>0.25</v>
      </c>
      <c r="L1012" s="19">
        <v>0.41666666666666669</v>
      </c>
      <c r="M1012">
        <v>4</v>
      </c>
      <c r="N1012">
        <v>0</v>
      </c>
      <c r="O1012">
        <v>76</v>
      </c>
      <c r="P1012">
        <v>76</v>
      </c>
      <c r="Q1012" t="s">
        <v>99</v>
      </c>
      <c r="R1012">
        <v>0</v>
      </c>
      <c r="S1012" s="19">
        <v>0.4375</v>
      </c>
      <c r="T1012">
        <v>0</v>
      </c>
      <c r="U1012" s="19">
        <v>0.54166666666666663</v>
      </c>
      <c r="V1012" t="s">
        <v>99</v>
      </c>
      <c r="W1012">
        <v>4</v>
      </c>
      <c r="X1012" t="s">
        <v>102</v>
      </c>
      <c r="Y1012" t="b">
        <v>0</v>
      </c>
    </row>
    <row r="1013" spans="1:25" x14ac:dyDescent="0.55000000000000004">
      <c r="A1013" t="s">
        <v>94</v>
      </c>
      <c r="B1013" t="s">
        <v>173</v>
      </c>
      <c r="C1013" t="s">
        <v>96</v>
      </c>
      <c r="D1013" t="s">
        <v>174</v>
      </c>
      <c r="E1013" t="s">
        <v>277</v>
      </c>
      <c r="F1013" t="s">
        <v>139</v>
      </c>
      <c r="G1013">
        <v>23461</v>
      </c>
      <c r="H1013" t="s">
        <v>270</v>
      </c>
      <c r="I1013">
        <v>2</v>
      </c>
      <c r="J1013" t="s">
        <v>107</v>
      </c>
      <c r="K1013" s="19">
        <v>0.27083333333333331</v>
      </c>
      <c r="L1013" s="19">
        <v>0.625</v>
      </c>
      <c r="M1013">
        <v>8.5</v>
      </c>
      <c r="N1013">
        <v>0</v>
      </c>
      <c r="O1013">
        <v>40</v>
      </c>
      <c r="P1013">
        <v>76</v>
      </c>
      <c r="Q1013" t="s">
        <v>99</v>
      </c>
      <c r="R1013">
        <v>30</v>
      </c>
      <c r="S1013" s="19">
        <v>0.4375</v>
      </c>
      <c r="T1013">
        <v>0</v>
      </c>
      <c r="U1013" s="19">
        <v>0.54166666666666663</v>
      </c>
      <c r="V1013" t="s">
        <v>99</v>
      </c>
      <c r="W1013">
        <v>8</v>
      </c>
      <c r="X1013" t="s">
        <v>102</v>
      </c>
      <c r="Y1013" t="b">
        <v>0</v>
      </c>
    </row>
    <row r="1014" spans="1:25" x14ac:dyDescent="0.55000000000000004">
      <c r="A1014" t="s">
        <v>94</v>
      </c>
      <c r="B1014" t="s">
        <v>173</v>
      </c>
      <c r="C1014" t="s">
        <v>96</v>
      </c>
      <c r="D1014" t="s">
        <v>174</v>
      </c>
      <c r="E1014" t="s">
        <v>277</v>
      </c>
      <c r="F1014" t="s">
        <v>139</v>
      </c>
      <c r="G1014">
        <v>23461</v>
      </c>
      <c r="H1014" t="s">
        <v>270</v>
      </c>
      <c r="I1014">
        <v>2</v>
      </c>
      <c r="J1014" t="s">
        <v>104</v>
      </c>
      <c r="K1014" s="19">
        <v>0.25</v>
      </c>
      <c r="L1014" s="19">
        <v>0.60416666666666663</v>
      </c>
      <c r="M1014">
        <v>8.5</v>
      </c>
      <c r="N1014">
        <v>432.88</v>
      </c>
      <c r="O1014">
        <v>40</v>
      </c>
      <c r="P1014">
        <v>76</v>
      </c>
      <c r="Q1014" t="s">
        <v>99</v>
      </c>
      <c r="R1014">
        <v>30</v>
      </c>
      <c r="S1014" s="19">
        <v>0.4375</v>
      </c>
      <c r="T1014">
        <v>0</v>
      </c>
      <c r="U1014" s="19">
        <v>0.54166666666666663</v>
      </c>
      <c r="V1014" t="s">
        <v>99</v>
      </c>
      <c r="W1014">
        <v>8</v>
      </c>
      <c r="X1014" t="s">
        <v>102</v>
      </c>
      <c r="Y1014" t="b">
        <v>0</v>
      </c>
    </row>
    <row r="1015" spans="1:25" x14ac:dyDescent="0.55000000000000004">
      <c r="A1015" t="s">
        <v>94</v>
      </c>
      <c r="B1015" t="s">
        <v>173</v>
      </c>
      <c r="C1015" t="s">
        <v>96</v>
      </c>
      <c r="D1015" t="s">
        <v>174</v>
      </c>
      <c r="E1015" t="s">
        <v>277</v>
      </c>
      <c r="F1015" t="s">
        <v>139</v>
      </c>
      <c r="G1015">
        <v>23679</v>
      </c>
      <c r="H1015" t="s">
        <v>278</v>
      </c>
      <c r="I1015">
        <v>1</v>
      </c>
      <c r="J1015" t="s">
        <v>104</v>
      </c>
      <c r="K1015" s="19">
        <v>0.25</v>
      </c>
      <c r="L1015" s="19">
        <v>0.60416666666666663</v>
      </c>
      <c r="M1015">
        <v>8.5</v>
      </c>
      <c r="N1015">
        <v>0</v>
      </c>
      <c r="O1015">
        <v>64</v>
      </c>
      <c r="P1015">
        <v>76</v>
      </c>
      <c r="Q1015" t="s">
        <v>99</v>
      </c>
      <c r="R1015">
        <v>30</v>
      </c>
      <c r="S1015" s="19">
        <v>0.4375</v>
      </c>
      <c r="T1015">
        <v>0</v>
      </c>
      <c r="U1015" s="19">
        <v>0.54166666666666663</v>
      </c>
      <c r="V1015" t="s">
        <v>99</v>
      </c>
      <c r="W1015">
        <v>8</v>
      </c>
      <c r="X1015" t="s">
        <v>102</v>
      </c>
      <c r="Y1015" t="b">
        <v>0</v>
      </c>
    </row>
    <row r="1016" spans="1:25" x14ac:dyDescent="0.55000000000000004">
      <c r="A1016" t="s">
        <v>94</v>
      </c>
      <c r="B1016" t="s">
        <v>173</v>
      </c>
      <c r="C1016" t="s">
        <v>96</v>
      </c>
      <c r="D1016" t="s">
        <v>174</v>
      </c>
      <c r="E1016" t="s">
        <v>277</v>
      </c>
      <c r="F1016" t="s">
        <v>139</v>
      </c>
      <c r="G1016">
        <v>23679</v>
      </c>
      <c r="H1016" t="s">
        <v>278</v>
      </c>
      <c r="I1016">
        <v>1</v>
      </c>
      <c r="J1016" t="s">
        <v>105</v>
      </c>
      <c r="K1016" s="19">
        <v>0.25</v>
      </c>
      <c r="L1016" s="19">
        <v>0.60416666666666663</v>
      </c>
      <c r="M1016">
        <v>8.5</v>
      </c>
      <c r="N1016">
        <v>0</v>
      </c>
      <c r="O1016">
        <v>64</v>
      </c>
      <c r="P1016">
        <v>76</v>
      </c>
      <c r="Q1016" t="s">
        <v>99</v>
      </c>
      <c r="R1016">
        <v>30</v>
      </c>
      <c r="S1016" s="19">
        <v>0.4375</v>
      </c>
      <c r="T1016">
        <v>0</v>
      </c>
      <c r="U1016" s="19">
        <v>0.54166666666666663</v>
      </c>
      <c r="V1016" t="s">
        <v>99</v>
      </c>
      <c r="W1016">
        <v>8</v>
      </c>
      <c r="X1016" t="s">
        <v>102</v>
      </c>
      <c r="Y1016" t="b">
        <v>0</v>
      </c>
    </row>
    <row r="1017" spans="1:25" x14ac:dyDescent="0.55000000000000004">
      <c r="A1017" t="s">
        <v>94</v>
      </c>
      <c r="B1017" t="s">
        <v>173</v>
      </c>
      <c r="C1017" t="s">
        <v>96</v>
      </c>
      <c r="D1017" t="s">
        <v>174</v>
      </c>
      <c r="E1017" t="s">
        <v>277</v>
      </c>
      <c r="F1017" t="s">
        <v>139</v>
      </c>
      <c r="G1017">
        <v>24208</v>
      </c>
      <c r="H1017" t="s">
        <v>285</v>
      </c>
      <c r="I1017">
        <v>2</v>
      </c>
      <c r="J1017" t="s">
        <v>115</v>
      </c>
      <c r="K1017" s="19">
        <v>0.25</v>
      </c>
      <c r="L1017" s="19">
        <v>0.60416666666666663</v>
      </c>
      <c r="M1017">
        <v>8.5</v>
      </c>
      <c r="N1017">
        <v>0</v>
      </c>
      <c r="O1017">
        <v>32</v>
      </c>
      <c r="P1017">
        <v>76</v>
      </c>
      <c r="Q1017" t="s">
        <v>99</v>
      </c>
      <c r="R1017">
        <v>30</v>
      </c>
      <c r="S1017" s="19">
        <v>0.4375</v>
      </c>
      <c r="T1017">
        <v>0</v>
      </c>
      <c r="U1017" s="19">
        <v>0.54166666666666663</v>
      </c>
      <c r="V1017" t="s">
        <v>99</v>
      </c>
      <c r="W1017">
        <v>8</v>
      </c>
      <c r="X1017" t="s">
        <v>102</v>
      </c>
      <c r="Y1017" t="b">
        <v>0</v>
      </c>
    </row>
    <row r="1018" spans="1:25" x14ac:dyDescent="0.55000000000000004">
      <c r="A1018" t="s">
        <v>94</v>
      </c>
      <c r="B1018" t="s">
        <v>173</v>
      </c>
      <c r="C1018" t="s">
        <v>96</v>
      </c>
      <c r="D1018" t="s">
        <v>174</v>
      </c>
      <c r="E1018" t="s">
        <v>277</v>
      </c>
      <c r="F1018" t="s">
        <v>139</v>
      </c>
      <c r="G1018">
        <v>24208</v>
      </c>
      <c r="H1018" t="s">
        <v>285</v>
      </c>
      <c r="I1018">
        <v>2</v>
      </c>
      <c r="J1018" t="s">
        <v>116</v>
      </c>
      <c r="K1018" s="19">
        <v>0.25</v>
      </c>
      <c r="L1018" s="19">
        <v>0.60416666666666663</v>
      </c>
      <c r="M1018">
        <v>8.5</v>
      </c>
      <c r="N1018">
        <v>0</v>
      </c>
      <c r="O1018">
        <v>32</v>
      </c>
      <c r="P1018">
        <v>76</v>
      </c>
      <c r="Q1018" t="s">
        <v>99</v>
      </c>
      <c r="R1018">
        <v>30</v>
      </c>
      <c r="S1018" s="19">
        <v>0.4375</v>
      </c>
      <c r="T1018">
        <v>0</v>
      </c>
      <c r="U1018" s="19">
        <v>0.54166666666666663</v>
      </c>
      <c r="V1018" t="s">
        <v>99</v>
      </c>
      <c r="W1018">
        <v>8</v>
      </c>
      <c r="X1018" t="s">
        <v>102</v>
      </c>
      <c r="Y1018" t="b">
        <v>0</v>
      </c>
    </row>
    <row r="1019" spans="1:25" x14ac:dyDescent="0.55000000000000004">
      <c r="A1019" t="s">
        <v>94</v>
      </c>
      <c r="B1019" t="s">
        <v>173</v>
      </c>
      <c r="C1019" t="s">
        <v>96</v>
      </c>
      <c r="D1019" t="s">
        <v>174</v>
      </c>
      <c r="E1019" t="s">
        <v>277</v>
      </c>
      <c r="F1019" t="s">
        <v>139</v>
      </c>
      <c r="G1019">
        <v>24504</v>
      </c>
      <c r="H1019" t="s">
        <v>279</v>
      </c>
      <c r="I1019">
        <v>2</v>
      </c>
      <c r="J1019" t="s">
        <v>103</v>
      </c>
      <c r="K1019" s="19">
        <v>0.25</v>
      </c>
      <c r="L1019" s="19">
        <v>0.60416666666666663</v>
      </c>
      <c r="M1019">
        <v>8.5</v>
      </c>
      <c r="N1019">
        <v>0</v>
      </c>
      <c r="O1019">
        <v>48</v>
      </c>
      <c r="P1019">
        <v>76</v>
      </c>
      <c r="Q1019" t="s">
        <v>99</v>
      </c>
      <c r="R1019">
        <v>30</v>
      </c>
      <c r="S1019" s="19">
        <v>0.4375</v>
      </c>
      <c r="T1019">
        <v>0</v>
      </c>
      <c r="U1019" s="19">
        <v>0.54166666666666663</v>
      </c>
      <c r="V1019" t="s">
        <v>99</v>
      </c>
      <c r="W1019">
        <v>8</v>
      </c>
      <c r="X1019" t="s">
        <v>102</v>
      </c>
      <c r="Y1019" t="b">
        <v>0</v>
      </c>
    </row>
    <row r="1020" spans="1:25" x14ac:dyDescent="0.55000000000000004">
      <c r="A1020" t="s">
        <v>94</v>
      </c>
      <c r="B1020" t="s">
        <v>173</v>
      </c>
      <c r="C1020" t="s">
        <v>96</v>
      </c>
      <c r="D1020" t="s">
        <v>174</v>
      </c>
      <c r="E1020" t="s">
        <v>277</v>
      </c>
      <c r="F1020" t="s">
        <v>139</v>
      </c>
      <c r="G1020">
        <v>24504</v>
      </c>
      <c r="H1020" t="s">
        <v>279</v>
      </c>
      <c r="I1020">
        <v>2</v>
      </c>
      <c r="J1020" t="s">
        <v>105</v>
      </c>
      <c r="K1020" s="19">
        <v>0.25</v>
      </c>
      <c r="L1020" s="19">
        <v>0.60416666666666663</v>
      </c>
      <c r="M1020">
        <v>8.5</v>
      </c>
      <c r="N1020">
        <v>0</v>
      </c>
      <c r="O1020">
        <v>48</v>
      </c>
      <c r="P1020">
        <v>76</v>
      </c>
      <c r="Q1020" t="s">
        <v>99</v>
      </c>
      <c r="R1020">
        <v>30</v>
      </c>
      <c r="S1020" s="19">
        <v>0.4375</v>
      </c>
      <c r="T1020">
        <v>0</v>
      </c>
      <c r="U1020" s="19">
        <v>0.54166666666666663</v>
      </c>
      <c r="V1020" t="s">
        <v>99</v>
      </c>
      <c r="W1020">
        <v>8</v>
      </c>
      <c r="X1020" t="s">
        <v>102</v>
      </c>
      <c r="Y1020" t="b">
        <v>0</v>
      </c>
    </row>
    <row r="1021" spans="1:25" x14ac:dyDescent="0.55000000000000004">
      <c r="A1021" t="s">
        <v>94</v>
      </c>
      <c r="B1021" t="s">
        <v>173</v>
      </c>
      <c r="C1021" t="s">
        <v>96</v>
      </c>
      <c r="D1021" t="s">
        <v>174</v>
      </c>
      <c r="E1021" t="s">
        <v>277</v>
      </c>
      <c r="F1021" t="s">
        <v>139</v>
      </c>
      <c r="G1021">
        <v>24983</v>
      </c>
      <c r="H1021" t="s">
        <v>276</v>
      </c>
      <c r="I1021">
        <v>1</v>
      </c>
      <c r="J1021" t="s">
        <v>107</v>
      </c>
      <c r="K1021" s="19">
        <v>0.25</v>
      </c>
      <c r="L1021" s="19">
        <v>0.60416666666666663</v>
      </c>
      <c r="M1021">
        <v>8.5</v>
      </c>
      <c r="N1021">
        <v>432.88</v>
      </c>
      <c r="O1021">
        <v>76</v>
      </c>
      <c r="P1021">
        <v>76</v>
      </c>
      <c r="Q1021" t="s">
        <v>99</v>
      </c>
      <c r="R1021">
        <v>30</v>
      </c>
      <c r="S1021" s="19">
        <v>0.4375</v>
      </c>
      <c r="T1021">
        <v>0</v>
      </c>
      <c r="U1021" s="19">
        <v>0.54166666666666663</v>
      </c>
      <c r="V1021" t="s">
        <v>99</v>
      </c>
      <c r="W1021">
        <v>8</v>
      </c>
      <c r="X1021" t="s">
        <v>102</v>
      </c>
      <c r="Y1021" t="b">
        <v>0</v>
      </c>
    </row>
    <row r="1022" spans="1:25" x14ac:dyDescent="0.55000000000000004">
      <c r="A1022" t="s">
        <v>94</v>
      </c>
      <c r="B1022" t="s">
        <v>173</v>
      </c>
      <c r="C1022" t="s">
        <v>96</v>
      </c>
      <c r="D1022" t="s">
        <v>174</v>
      </c>
      <c r="E1022" t="s">
        <v>277</v>
      </c>
      <c r="F1022" t="s">
        <v>139</v>
      </c>
      <c r="G1022">
        <v>24983</v>
      </c>
      <c r="H1022" t="s">
        <v>276</v>
      </c>
      <c r="I1022">
        <v>1</v>
      </c>
      <c r="J1022" t="s">
        <v>115</v>
      </c>
      <c r="K1022" s="19">
        <v>0.25</v>
      </c>
      <c r="L1022" s="19">
        <v>0.60416666666666663</v>
      </c>
      <c r="M1022">
        <v>8.5</v>
      </c>
      <c r="N1022">
        <v>649.32000000000005</v>
      </c>
      <c r="O1022">
        <v>76</v>
      </c>
      <c r="P1022">
        <v>76</v>
      </c>
      <c r="Q1022" t="s">
        <v>99</v>
      </c>
      <c r="R1022">
        <v>30</v>
      </c>
      <c r="S1022" s="19">
        <v>0.4375</v>
      </c>
      <c r="T1022">
        <v>0</v>
      </c>
      <c r="U1022" s="19">
        <v>0.54166666666666663</v>
      </c>
      <c r="V1022" t="s">
        <v>99</v>
      </c>
      <c r="W1022">
        <v>8</v>
      </c>
      <c r="X1022" t="s">
        <v>102</v>
      </c>
      <c r="Y1022" t="b">
        <v>0</v>
      </c>
    </row>
    <row r="1023" spans="1:25" x14ac:dyDescent="0.55000000000000004">
      <c r="A1023" t="s">
        <v>94</v>
      </c>
      <c r="B1023" t="s">
        <v>173</v>
      </c>
      <c r="C1023" t="s">
        <v>96</v>
      </c>
      <c r="D1023" t="s">
        <v>174</v>
      </c>
      <c r="E1023" t="s">
        <v>277</v>
      </c>
      <c r="F1023" t="s">
        <v>139</v>
      </c>
      <c r="G1023">
        <v>24983</v>
      </c>
      <c r="H1023" t="s">
        <v>276</v>
      </c>
      <c r="I1023">
        <v>1</v>
      </c>
      <c r="J1023" t="s">
        <v>116</v>
      </c>
      <c r="K1023" s="19">
        <v>0.25</v>
      </c>
      <c r="L1023" s="19">
        <v>0.60416666666666663</v>
      </c>
      <c r="M1023">
        <v>8.5</v>
      </c>
      <c r="N1023">
        <v>757.54</v>
      </c>
      <c r="O1023">
        <v>76</v>
      </c>
      <c r="P1023">
        <v>76</v>
      </c>
      <c r="Q1023" t="s">
        <v>99</v>
      </c>
      <c r="R1023">
        <v>30</v>
      </c>
      <c r="S1023" s="19">
        <v>0.4375</v>
      </c>
      <c r="T1023">
        <v>0</v>
      </c>
      <c r="U1023" s="19">
        <v>0.54166666666666663</v>
      </c>
      <c r="V1023" t="s">
        <v>99</v>
      </c>
      <c r="W1023">
        <v>8</v>
      </c>
      <c r="X1023" t="s">
        <v>102</v>
      </c>
      <c r="Y1023" t="b">
        <v>0</v>
      </c>
    </row>
    <row r="1024" spans="1:25" x14ac:dyDescent="0.55000000000000004">
      <c r="A1024" t="s">
        <v>94</v>
      </c>
      <c r="B1024" t="s">
        <v>173</v>
      </c>
      <c r="C1024" t="s">
        <v>96</v>
      </c>
      <c r="D1024" t="s">
        <v>174</v>
      </c>
      <c r="E1024" t="s">
        <v>277</v>
      </c>
      <c r="F1024" t="s">
        <v>139</v>
      </c>
      <c r="G1024">
        <v>24983</v>
      </c>
      <c r="H1024" t="s">
        <v>276</v>
      </c>
      <c r="I1024">
        <v>1</v>
      </c>
      <c r="J1024" t="s">
        <v>103</v>
      </c>
      <c r="K1024" s="19">
        <v>0.25</v>
      </c>
      <c r="L1024" s="19">
        <v>0.60416666666666663</v>
      </c>
      <c r="M1024">
        <v>8.5</v>
      </c>
      <c r="N1024">
        <v>432.88</v>
      </c>
      <c r="O1024">
        <v>76</v>
      </c>
      <c r="P1024">
        <v>76</v>
      </c>
      <c r="Q1024" t="s">
        <v>99</v>
      </c>
      <c r="R1024">
        <v>30</v>
      </c>
      <c r="S1024" s="19">
        <v>0.4375</v>
      </c>
      <c r="T1024">
        <v>0</v>
      </c>
      <c r="U1024" s="19">
        <v>0.54166666666666663</v>
      </c>
      <c r="V1024" t="s">
        <v>99</v>
      </c>
      <c r="W1024">
        <v>8</v>
      </c>
      <c r="X1024" t="s">
        <v>102</v>
      </c>
      <c r="Y1024" t="b">
        <v>0</v>
      </c>
    </row>
    <row r="1025" spans="1:25" x14ac:dyDescent="0.55000000000000004">
      <c r="A1025" t="s">
        <v>94</v>
      </c>
      <c r="B1025" t="s">
        <v>173</v>
      </c>
      <c r="C1025" t="s">
        <v>96</v>
      </c>
      <c r="D1025" t="s">
        <v>174</v>
      </c>
      <c r="E1025" t="s">
        <v>277</v>
      </c>
      <c r="F1025" t="s">
        <v>139</v>
      </c>
      <c r="G1025">
        <v>24983</v>
      </c>
      <c r="H1025" t="s">
        <v>276</v>
      </c>
      <c r="I1025">
        <v>2</v>
      </c>
      <c r="J1025" t="s">
        <v>101</v>
      </c>
      <c r="K1025" s="19">
        <v>0.25</v>
      </c>
      <c r="L1025" s="19">
        <v>0.60416666666666663</v>
      </c>
      <c r="M1025">
        <v>8.5</v>
      </c>
      <c r="N1025">
        <v>432.88</v>
      </c>
      <c r="O1025">
        <v>76</v>
      </c>
      <c r="P1025">
        <v>76</v>
      </c>
      <c r="Q1025" t="s">
        <v>99</v>
      </c>
      <c r="R1025">
        <v>30</v>
      </c>
      <c r="S1025" s="19">
        <v>0.4375</v>
      </c>
      <c r="T1025">
        <v>0</v>
      </c>
      <c r="U1025" s="19">
        <v>0.54166666666666663</v>
      </c>
      <c r="V1025" t="s">
        <v>99</v>
      </c>
      <c r="W1025">
        <v>8</v>
      </c>
      <c r="X1025" t="s">
        <v>102</v>
      </c>
      <c r="Y1025" t="b">
        <v>0</v>
      </c>
    </row>
    <row r="1026" spans="1:25" x14ac:dyDescent="0.55000000000000004">
      <c r="A1026" t="s">
        <v>94</v>
      </c>
      <c r="B1026" t="s">
        <v>173</v>
      </c>
      <c r="C1026" t="s">
        <v>96</v>
      </c>
      <c r="D1026" t="s">
        <v>174</v>
      </c>
      <c r="E1026" t="s">
        <v>277</v>
      </c>
      <c r="F1026" t="s">
        <v>139</v>
      </c>
      <c r="G1026">
        <v>24983</v>
      </c>
      <c r="H1026" t="s">
        <v>276</v>
      </c>
      <c r="I1026">
        <v>2</v>
      </c>
      <c r="J1026" t="s">
        <v>115</v>
      </c>
      <c r="K1026" s="19">
        <v>0.25</v>
      </c>
      <c r="L1026" s="19">
        <v>0.41666666666666669</v>
      </c>
      <c r="M1026">
        <v>4</v>
      </c>
      <c r="N1026">
        <v>324.66000000000003</v>
      </c>
      <c r="O1026">
        <v>76</v>
      </c>
      <c r="P1026">
        <v>76</v>
      </c>
      <c r="Q1026" t="s">
        <v>99</v>
      </c>
      <c r="R1026">
        <v>0</v>
      </c>
      <c r="S1026" s="19">
        <v>0</v>
      </c>
      <c r="T1026">
        <v>0</v>
      </c>
      <c r="U1026" s="19">
        <v>0.54166666666666663</v>
      </c>
      <c r="V1026" t="s">
        <v>99</v>
      </c>
      <c r="W1026">
        <v>4</v>
      </c>
      <c r="X1026" t="s">
        <v>102</v>
      </c>
      <c r="Y1026" t="b">
        <v>0</v>
      </c>
    </row>
    <row r="1027" spans="1:25" x14ac:dyDescent="0.55000000000000004">
      <c r="A1027" t="s">
        <v>94</v>
      </c>
      <c r="B1027" t="s">
        <v>173</v>
      </c>
      <c r="C1027" t="s">
        <v>96</v>
      </c>
      <c r="D1027" t="s">
        <v>174</v>
      </c>
      <c r="E1027" t="s">
        <v>277</v>
      </c>
      <c r="F1027" t="s">
        <v>139</v>
      </c>
      <c r="G1027">
        <v>25182</v>
      </c>
      <c r="H1027" t="s">
        <v>280</v>
      </c>
      <c r="I1027">
        <v>1</v>
      </c>
      <c r="J1027" t="s">
        <v>101</v>
      </c>
      <c r="K1027" s="19">
        <v>0.25</v>
      </c>
      <c r="L1027" s="19">
        <v>0.60416666666666663</v>
      </c>
      <c r="M1027">
        <v>8.5</v>
      </c>
      <c r="N1027">
        <v>0</v>
      </c>
      <c r="O1027">
        <v>76</v>
      </c>
      <c r="P1027">
        <v>76</v>
      </c>
      <c r="Q1027" t="s">
        <v>99</v>
      </c>
      <c r="R1027">
        <v>30</v>
      </c>
      <c r="S1027" s="19">
        <v>0.4375</v>
      </c>
      <c r="T1027">
        <v>0</v>
      </c>
      <c r="U1027" s="19">
        <v>0.54166666666666663</v>
      </c>
      <c r="V1027" t="s">
        <v>99</v>
      </c>
      <c r="W1027">
        <v>8</v>
      </c>
      <c r="X1027" t="s">
        <v>102</v>
      </c>
      <c r="Y1027" t="b">
        <v>0</v>
      </c>
    </row>
    <row r="1028" spans="1:25" x14ac:dyDescent="0.55000000000000004">
      <c r="A1028" t="s">
        <v>94</v>
      </c>
      <c r="B1028" t="s">
        <v>173</v>
      </c>
      <c r="C1028" t="s">
        <v>96</v>
      </c>
      <c r="D1028" t="s">
        <v>174</v>
      </c>
      <c r="E1028" t="s">
        <v>286</v>
      </c>
      <c r="F1028" t="s">
        <v>281</v>
      </c>
      <c r="G1028">
        <v>20696</v>
      </c>
      <c r="H1028" t="s">
        <v>284</v>
      </c>
      <c r="I1028">
        <v>1</v>
      </c>
      <c r="J1028" t="s">
        <v>115</v>
      </c>
      <c r="K1028" s="19">
        <v>0.58333333333333337</v>
      </c>
      <c r="L1028" s="19">
        <v>0.9375</v>
      </c>
      <c r="M1028">
        <v>8.5</v>
      </c>
      <c r="N1028">
        <v>0</v>
      </c>
      <c r="O1028">
        <v>32</v>
      </c>
      <c r="P1028">
        <v>76</v>
      </c>
      <c r="Q1028" t="s">
        <v>99</v>
      </c>
      <c r="R1028">
        <v>30</v>
      </c>
      <c r="S1028" s="19">
        <v>0.77083333333333337</v>
      </c>
      <c r="T1028">
        <v>0</v>
      </c>
      <c r="U1028" s="19">
        <v>0.54166666666666663</v>
      </c>
      <c r="V1028" t="s">
        <v>99</v>
      </c>
      <c r="W1028">
        <v>8</v>
      </c>
      <c r="X1028" t="s">
        <v>102</v>
      </c>
      <c r="Y1028" t="b">
        <v>0</v>
      </c>
    </row>
    <row r="1029" spans="1:25" x14ac:dyDescent="0.55000000000000004">
      <c r="A1029" t="s">
        <v>94</v>
      </c>
      <c r="B1029" t="s">
        <v>173</v>
      </c>
      <c r="C1029" t="s">
        <v>96</v>
      </c>
      <c r="D1029" t="s">
        <v>174</v>
      </c>
      <c r="E1029" t="s">
        <v>286</v>
      </c>
      <c r="F1029" t="s">
        <v>281</v>
      </c>
      <c r="G1029">
        <v>20696</v>
      </c>
      <c r="H1029" t="s">
        <v>284</v>
      </c>
      <c r="I1029">
        <v>1</v>
      </c>
      <c r="J1029" t="s">
        <v>116</v>
      </c>
      <c r="K1029" s="19">
        <v>0.58333333333333337</v>
      </c>
      <c r="L1029" s="19">
        <v>0.9375</v>
      </c>
      <c r="M1029">
        <v>8.5</v>
      </c>
      <c r="N1029">
        <v>0</v>
      </c>
      <c r="O1029">
        <v>32</v>
      </c>
      <c r="P1029">
        <v>76</v>
      </c>
      <c r="Q1029" t="s">
        <v>99</v>
      </c>
      <c r="R1029">
        <v>30</v>
      </c>
      <c r="S1029" s="19">
        <v>0.77083333333333337</v>
      </c>
      <c r="T1029">
        <v>0</v>
      </c>
      <c r="U1029" s="19">
        <v>0.54166666666666663</v>
      </c>
      <c r="V1029" t="s">
        <v>99</v>
      </c>
      <c r="W1029">
        <v>8</v>
      </c>
      <c r="X1029" t="s">
        <v>102</v>
      </c>
      <c r="Y1029" t="b">
        <v>0</v>
      </c>
    </row>
    <row r="1030" spans="1:25" x14ac:dyDescent="0.55000000000000004">
      <c r="A1030" t="s">
        <v>94</v>
      </c>
      <c r="B1030" t="s">
        <v>173</v>
      </c>
      <c r="C1030" t="s">
        <v>96</v>
      </c>
      <c r="D1030" t="s">
        <v>174</v>
      </c>
      <c r="E1030" t="s">
        <v>286</v>
      </c>
      <c r="F1030" t="s">
        <v>281</v>
      </c>
      <c r="G1030">
        <v>21895</v>
      </c>
      <c r="H1030" t="s">
        <v>269</v>
      </c>
      <c r="I1030">
        <v>1</v>
      </c>
      <c r="J1030" t="s">
        <v>103</v>
      </c>
      <c r="K1030" s="19">
        <v>0.58333333333333337</v>
      </c>
      <c r="L1030" s="19">
        <v>0.9375</v>
      </c>
      <c r="M1030">
        <v>8.5</v>
      </c>
      <c r="N1030">
        <v>481.14</v>
      </c>
      <c r="O1030">
        <v>72</v>
      </c>
      <c r="P1030">
        <v>76</v>
      </c>
      <c r="Q1030" t="s">
        <v>99</v>
      </c>
      <c r="R1030">
        <v>30</v>
      </c>
      <c r="S1030" s="19">
        <v>0.77083333333333337</v>
      </c>
      <c r="T1030">
        <v>0</v>
      </c>
      <c r="U1030" s="19">
        <v>0.54166666666666663</v>
      </c>
      <c r="V1030" t="s">
        <v>99</v>
      </c>
      <c r="W1030">
        <v>8</v>
      </c>
      <c r="X1030" t="s">
        <v>102</v>
      </c>
      <c r="Y1030" t="b">
        <v>0</v>
      </c>
    </row>
    <row r="1031" spans="1:25" x14ac:dyDescent="0.55000000000000004">
      <c r="A1031" t="s">
        <v>94</v>
      </c>
      <c r="B1031" t="s">
        <v>173</v>
      </c>
      <c r="C1031" t="s">
        <v>96</v>
      </c>
      <c r="D1031" t="s">
        <v>174</v>
      </c>
      <c r="E1031" t="s">
        <v>286</v>
      </c>
      <c r="F1031" t="s">
        <v>281</v>
      </c>
      <c r="G1031">
        <v>21895</v>
      </c>
      <c r="H1031" t="s">
        <v>269</v>
      </c>
      <c r="I1031">
        <v>2</v>
      </c>
      <c r="J1031" t="s">
        <v>103</v>
      </c>
      <c r="K1031" s="19">
        <v>0.58333333333333337</v>
      </c>
      <c r="L1031" s="19">
        <v>0.9375</v>
      </c>
      <c r="M1031">
        <v>8.5</v>
      </c>
      <c r="N1031">
        <v>481.14</v>
      </c>
      <c r="O1031">
        <v>72</v>
      </c>
      <c r="P1031">
        <v>76</v>
      </c>
      <c r="Q1031" t="s">
        <v>99</v>
      </c>
      <c r="R1031">
        <v>30</v>
      </c>
      <c r="S1031" s="19">
        <v>0.77083333333333337</v>
      </c>
      <c r="T1031">
        <v>0</v>
      </c>
      <c r="U1031" s="19">
        <v>0.41666666666666669</v>
      </c>
      <c r="V1031" t="s">
        <v>99</v>
      </c>
      <c r="W1031">
        <v>8</v>
      </c>
      <c r="X1031" t="s">
        <v>102</v>
      </c>
      <c r="Y1031" t="b">
        <v>0</v>
      </c>
    </row>
    <row r="1032" spans="1:25" x14ac:dyDescent="0.55000000000000004">
      <c r="A1032" t="s">
        <v>94</v>
      </c>
      <c r="B1032" t="s">
        <v>173</v>
      </c>
      <c r="C1032" t="s">
        <v>96</v>
      </c>
      <c r="D1032" t="s">
        <v>174</v>
      </c>
      <c r="E1032" t="s">
        <v>286</v>
      </c>
      <c r="F1032" t="s">
        <v>281</v>
      </c>
      <c r="G1032">
        <v>24531</v>
      </c>
      <c r="H1032" t="s">
        <v>271</v>
      </c>
      <c r="I1032">
        <v>1</v>
      </c>
      <c r="J1032" t="s">
        <v>104</v>
      </c>
      <c r="K1032" s="19">
        <v>0.58333333333333337</v>
      </c>
      <c r="L1032" s="19">
        <v>0.9375</v>
      </c>
      <c r="M1032">
        <v>8.5</v>
      </c>
      <c r="N1032">
        <v>0</v>
      </c>
      <c r="O1032">
        <v>48</v>
      </c>
      <c r="P1032">
        <v>76</v>
      </c>
      <c r="Q1032" t="s">
        <v>99</v>
      </c>
      <c r="R1032">
        <v>30</v>
      </c>
      <c r="S1032" s="19">
        <v>0.77083333333333337</v>
      </c>
      <c r="T1032">
        <v>0</v>
      </c>
      <c r="U1032" s="19">
        <v>0.54166666666666663</v>
      </c>
      <c r="V1032" t="s">
        <v>99</v>
      </c>
      <c r="W1032">
        <v>8</v>
      </c>
      <c r="X1032" t="s">
        <v>102</v>
      </c>
      <c r="Y1032" t="b">
        <v>0</v>
      </c>
    </row>
    <row r="1033" spans="1:25" x14ac:dyDescent="0.55000000000000004">
      <c r="A1033" t="s">
        <v>94</v>
      </c>
      <c r="B1033" t="s">
        <v>173</v>
      </c>
      <c r="C1033" t="s">
        <v>96</v>
      </c>
      <c r="D1033" t="s">
        <v>174</v>
      </c>
      <c r="E1033" t="s">
        <v>286</v>
      </c>
      <c r="F1033" t="s">
        <v>281</v>
      </c>
      <c r="G1033">
        <v>24531</v>
      </c>
      <c r="H1033" t="s">
        <v>271</v>
      </c>
      <c r="I1033">
        <v>1</v>
      </c>
      <c r="J1033" t="s">
        <v>105</v>
      </c>
      <c r="K1033" s="19">
        <v>0.58333333333333337</v>
      </c>
      <c r="L1033" s="19">
        <v>0.9375</v>
      </c>
      <c r="M1033">
        <v>8.5</v>
      </c>
      <c r="N1033">
        <v>0</v>
      </c>
      <c r="O1033">
        <v>48</v>
      </c>
      <c r="P1033">
        <v>76</v>
      </c>
      <c r="Q1033" t="s">
        <v>99</v>
      </c>
      <c r="R1033">
        <v>30</v>
      </c>
      <c r="S1033" s="19">
        <v>0.77083333333333337</v>
      </c>
      <c r="T1033">
        <v>0</v>
      </c>
      <c r="U1033" s="19">
        <v>0.54166666666666663</v>
      </c>
      <c r="V1033" t="s">
        <v>99</v>
      </c>
      <c r="W1033">
        <v>8</v>
      </c>
      <c r="X1033" t="s">
        <v>102</v>
      </c>
      <c r="Y1033" t="b">
        <v>0</v>
      </c>
    </row>
    <row r="1034" spans="1:25" x14ac:dyDescent="0.55000000000000004">
      <c r="A1034" t="s">
        <v>94</v>
      </c>
      <c r="B1034" t="s">
        <v>173</v>
      </c>
      <c r="C1034" t="s">
        <v>96</v>
      </c>
      <c r="D1034" t="s">
        <v>174</v>
      </c>
      <c r="E1034" t="s">
        <v>286</v>
      </c>
      <c r="F1034" t="s">
        <v>281</v>
      </c>
      <c r="G1034">
        <v>24983</v>
      </c>
      <c r="H1034" t="s">
        <v>276</v>
      </c>
      <c r="I1034">
        <v>1</v>
      </c>
      <c r="J1034" t="s">
        <v>101</v>
      </c>
      <c r="K1034" s="19">
        <v>0.58333333333333337</v>
      </c>
      <c r="L1034" s="19">
        <v>0.9375</v>
      </c>
      <c r="M1034">
        <v>8.5</v>
      </c>
      <c r="N1034">
        <v>486.99</v>
      </c>
      <c r="O1034">
        <v>76</v>
      </c>
      <c r="P1034">
        <v>76</v>
      </c>
      <c r="Q1034" t="s">
        <v>99</v>
      </c>
      <c r="R1034">
        <v>30</v>
      </c>
      <c r="S1034" s="19">
        <v>0.77083333333333337</v>
      </c>
      <c r="T1034">
        <v>0</v>
      </c>
      <c r="U1034" s="19">
        <v>0.54166666666666663</v>
      </c>
      <c r="V1034" t="s">
        <v>99</v>
      </c>
      <c r="W1034">
        <v>8</v>
      </c>
      <c r="X1034" t="s">
        <v>102</v>
      </c>
      <c r="Y1034" t="b">
        <v>0</v>
      </c>
    </row>
    <row r="1035" spans="1:25" x14ac:dyDescent="0.55000000000000004">
      <c r="A1035" t="s">
        <v>94</v>
      </c>
      <c r="B1035" t="s">
        <v>173</v>
      </c>
      <c r="C1035" t="s">
        <v>96</v>
      </c>
      <c r="D1035" t="s">
        <v>174</v>
      </c>
      <c r="E1035" t="s">
        <v>286</v>
      </c>
      <c r="F1035" t="s">
        <v>281</v>
      </c>
      <c r="G1035">
        <v>24983</v>
      </c>
      <c r="H1035" t="s">
        <v>276</v>
      </c>
      <c r="I1035">
        <v>2</v>
      </c>
      <c r="J1035" t="s">
        <v>104</v>
      </c>
      <c r="K1035" s="19">
        <v>0.58333333333333337</v>
      </c>
      <c r="L1035" s="19">
        <v>0.9375</v>
      </c>
      <c r="M1035">
        <v>8.5</v>
      </c>
      <c r="N1035">
        <v>486.99</v>
      </c>
      <c r="O1035">
        <v>76</v>
      </c>
      <c r="P1035">
        <v>76</v>
      </c>
      <c r="Q1035" t="s">
        <v>99</v>
      </c>
      <c r="R1035">
        <v>30</v>
      </c>
      <c r="S1035" s="19">
        <v>0.77083333333333337</v>
      </c>
      <c r="T1035">
        <v>0</v>
      </c>
      <c r="U1035" s="19">
        <v>0.54166666666666663</v>
      </c>
      <c r="V1035" t="s">
        <v>99</v>
      </c>
      <c r="W1035">
        <v>8</v>
      </c>
      <c r="X1035" t="s">
        <v>102</v>
      </c>
      <c r="Y1035" t="b">
        <v>0</v>
      </c>
    </row>
    <row r="1036" spans="1:25" x14ac:dyDescent="0.55000000000000004">
      <c r="A1036" t="s">
        <v>94</v>
      </c>
      <c r="B1036" t="s">
        <v>173</v>
      </c>
      <c r="C1036" t="s">
        <v>96</v>
      </c>
      <c r="D1036" t="s">
        <v>174</v>
      </c>
      <c r="E1036" t="s">
        <v>286</v>
      </c>
      <c r="F1036" t="s">
        <v>281</v>
      </c>
      <c r="G1036">
        <v>24984</v>
      </c>
      <c r="H1036" t="s">
        <v>272</v>
      </c>
      <c r="I1036">
        <v>1</v>
      </c>
      <c r="J1036" t="s">
        <v>105</v>
      </c>
      <c r="K1036" s="19">
        <v>0.58333333333333337</v>
      </c>
      <c r="L1036" s="19">
        <v>0.75</v>
      </c>
      <c r="M1036">
        <v>4</v>
      </c>
      <c r="N1036">
        <v>216.44</v>
      </c>
      <c r="O1036">
        <v>76</v>
      </c>
      <c r="P1036">
        <v>76</v>
      </c>
      <c r="Q1036" t="s">
        <v>99</v>
      </c>
      <c r="R1036">
        <v>0</v>
      </c>
      <c r="S1036" s="19">
        <v>0</v>
      </c>
      <c r="T1036">
        <v>0</v>
      </c>
      <c r="U1036" s="19">
        <v>0.54166666666666663</v>
      </c>
      <c r="V1036" t="s">
        <v>99</v>
      </c>
      <c r="W1036">
        <v>4</v>
      </c>
      <c r="X1036" t="s">
        <v>102</v>
      </c>
      <c r="Y1036" t="b">
        <v>0</v>
      </c>
    </row>
    <row r="1037" spans="1:25" x14ac:dyDescent="0.55000000000000004">
      <c r="A1037" t="s">
        <v>94</v>
      </c>
      <c r="B1037" t="s">
        <v>173</v>
      </c>
      <c r="C1037" t="s">
        <v>96</v>
      </c>
      <c r="D1037" t="s">
        <v>174</v>
      </c>
      <c r="E1037" t="s">
        <v>286</v>
      </c>
      <c r="F1037" t="s">
        <v>281</v>
      </c>
      <c r="G1037">
        <v>25182</v>
      </c>
      <c r="H1037" t="s">
        <v>280</v>
      </c>
      <c r="I1037">
        <v>2</v>
      </c>
      <c r="J1037" t="s">
        <v>101</v>
      </c>
      <c r="K1037" s="19">
        <v>0.58333333333333337</v>
      </c>
      <c r="L1037" s="19">
        <v>0.9375</v>
      </c>
      <c r="M1037">
        <v>8.5</v>
      </c>
      <c r="N1037">
        <v>0</v>
      </c>
      <c r="O1037">
        <v>76</v>
      </c>
      <c r="P1037">
        <v>76</v>
      </c>
      <c r="Q1037" t="s">
        <v>99</v>
      </c>
      <c r="R1037">
        <v>30</v>
      </c>
      <c r="S1037" s="19">
        <v>0.72916666666666663</v>
      </c>
      <c r="T1037">
        <v>0</v>
      </c>
      <c r="U1037" s="19">
        <v>0.54166666666666663</v>
      </c>
      <c r="V1037" t="s">
        <v>99</v>
      </c>
      <c r="W1037">
        <v>8</v>
      </c>
      <c r="X1037" t="s">
        <v>102</v>
      </c>
      <c r="Y1037" t="b">
        <v>0</v>
      </c>
    </row>
    <row r="1038" spans="1:25" x14ac:dyDescent="0.55000000000000004">
      <c r="A1038" t="s">
        <v>94</v>
      </c>
      <c r="B1038" t="s">
        <v>173</v>
      </c>
      <c r="C1038" t="s">
        <v>96</v>
      </c>
      <c r="D1038" t="s">
        <v>174</v>
      </c>
      <c r="E1038" t="s">
        <v>286</v>
      </c>
      <c r="F1038" t="s">
        <v>139</v>
      </c>
      <c r="G1038">
        <v>21895</v>
      </c>
      <c r="H1038" t="s">
        <v>269</v>
      </c>
      <c r="I1038">
        <v>1</v>
      </c>
      <c r="J1038" t="s">
        <v>107</v>
      </c>
      <c r="K1038" s="19">
        <v>0.58333333333333337</v>
      </c>
      <c r="L1038" s="19">
        <v>0.9375</v>
      </c>
      <c r="M1038">
        <v>8.5</v>
      </c>
      <c r="N1038">
        <v>481.14</v>
      </c>
      <c r="O1038">
        <v>72</v>
      </c>
      <c r="P1038">
        <v>76</v>
      </c>
      <c r="Q1038" t="s">
        <v>99</v>
      </c>
      <c r="R1038">
        <v>30</v>
      </c>
      <c r="S1038" s="19">
        <v>0.77083333333333337</v>
      </c>
      <c r="T1038">
        <v>0</v>
      </c>
      <c r="U1038" s="19">
        <v>0</v>
      </c>
      <c r="V1038" t="s">
        <v>99</v>
      </c>
      <c r="W1038">
        <v>8</v>
      </c>
      <c r="X1038" t="s">
        <v>102</v>
      </c>
      <c r="Y1038" t="b">
        <v>0</v>
      </c>
    </row>
    <row r="1039" spans="1:25" x14ac:dyDescent="0.55000000000000004">
      <c r="A1039" t="s">
        <v>94</v>
      </c>
      <c r="B1039" t="s">
        <v>173</v>
      </c>
      <c r="C1039" t="s">
        <v>96</v>
      </c>
      <c r="D1039" t="s">
        <v>174</v>
      </c>
      <c r="E1039" t="s">
        <v>286</v>
      </c>
      <c r="F1039" t="s">
        <v>139</v>
      </c>
      <c r="G1039">
        <v>21895</v>
      </c>
      <c r="H1039" t="s">
        <v>269</v>
      </c>
      <c r="I1039">
        <v>1</v>
      </c>
      <c r="J1039" t="s">
        <v>115</v>
      </c>
      <c r="K1039" s="19">
        <v>0.58333333333333337</v>
      </c>
      <c r="L1039" s="19">
        <v>0.9375</v>
      </c>
      <c r="M1039">
        <v>8.5</v>
      </c>
      <c r="N1039">
        <v>641.52</v>
      </c>
      <c r="O1039">
        <v>72</v>
      </c>
      <c r="P1039">
        <v>76</v>
      </c>
      <c r="Q1039" t="s">
        <v>99</v>
      </c>
      <c r="R1039">
        <v>30</v>
      </c>
      <c r="S1039" s="19">
        <v>0.77083333333333337</v>
      </c>
      <c r="T1039">
        <v>0</v>
      </c>
      <c r="U1039" s="19">
        <v>0</v>
      </c>
      <c r="V1039" t="s">
        <v>99</v>
      </c>
      <c r="W1039">
        <v>8</v>
      </c>
      <c r="X1039" t="s">
        <v>102</v>
      </c>
      <c r="Y1039" t="b">
        <v>0</v>
      </c>
    </row>
    <row r="1040" spans="1:25" x14ac:dyDescent="0.55000000000000004">
      <c r="A1040" t="s">
        <v>94</v>
      </c>
      <c r="B1040" t="s">
        <v>173</v>
      </c>
      <c r="C1040" t="s">
        <v>96</v>
      </c>
      <c r="D1040" t="s">
        <v>174</v>
      </c>
      <c r="E1040" t="s">
        <v>286</v>
      </c>
      <c r="F1040" t="s">
        <v>139</v>
      </c>
      <c r="G1040">
        <v>21895</v>
      </c>
      <c r="H1040" t="s">
        <v>269</v>
      </c>
      <c r="I1040">
        <v>1</v>
      </c>
      <c r="J1040" t="s">
        <v>116</v>
      </c>
      <c r="K1040" s="19">
        <v>0.58333333333333337</v>
      </c>
      <c r="L1040" s="19">
        <v>0.9375</v>
      </c>
      <c r="M1040">
        <v>8.5</v>
      </c>
      <c r="N1040">
        <v>748.44</v>
      </c>
      <c r="O1040">
        <v>72</v>
      </c>
      <c r="P1040">
        <v>76</v>
      </c>
      <c r="Q1040" t="s">
        <v>99</v>
      </c>
      <c r="R1040">
        <v>30</v>
      </c>
      <c r="S1040" s="19">
        <v>0.77083333333333337</v>
      </c>
      <c r="T1040">
        <v>0</v>
      </c>
      <c r="U1040" s="19">
        <v>0</v>
      </c>
      <c r="V1040" t="s">
        <v>99</v>
      </c>
      <c r="W1040">
        <v>8</v>
      </c>
      <c r="X1040" t="s">
        <v>102</v>
      </c>
      <c r="Y1040" t="b">
        <v>0</v>
      </c>
    </row>
    <row r="1041" spans="1:25" x14ac:dyDescent="0.55000000000000004">
      <c r="A1041" t="s">
        <v>94</v>
      </c>
      <c r="B1041" t="s">
        <v>173</v>
      </c>
      <c r="C1041" t="s">
        <v>96</v>
      </c>
      <c r="D1041" t="s">
        <v>174</v>
      </c>
      <c r="E1041" t="s">
        <v>286</v>
      </c>
      <c r="F1041" t="s">
        <v>139</v>
      </c>
      <c r="G1041">
        <v>21895</v>
      </c>
      <c r="H1041" t="s">
        <v>269</v>
      </c>
      <c r="I1041">
        <v>2</v>
      </c>
      <c r="J1041" t="s">
        <v>115</v>
      </c>
      <c r="K1041" s="19">
        <v>0.58333333333333337</v>
      </c>
      <c r="L1041" s="19">
        <v>0.9375</v>
      </c>
      <c r="M1041">
        <v>8.5</v>
      </c>
      <c r="N1041">
        <v>641.52</v>
      </c>
      <c r="O1041">
        <v>72</v>
      </c>
      <c r="P1041">
        <v>76</v>
      </c>
      <c r="Q1041" t="s">
        <v>99</v>
      </c>
      <c r="R1041">
        <v>30</v>
      </c>
      <c r="S1041" s="19">
        <v>0.77083333333333337</v>
      </c>
      <c r="T1041">
        <v>0</v>
      </c>
      <c r="U1041" s="19">
        <v>0.54166666666666663</v>
      </c>
      <c r="V1041" t="s">
        <v>99</v>
      </c>
      <c r="W1041">
        <v>8</v>
      </c>
      <c r="X1041" t="s">
        <v>102</v>
      </c>
      <c r="Y1041" t="b">
        <v>0</v>
      </c>
    </row>
    <row r="1042" spans="1:25" x14ac:dyDescent="0.55000000000000004">
      <c r="A1042" t="s">
        <v>94</v>
      </c>
      <c r="B1042" t="s">
        <v>173</v>
      </c>
      <c r="C1042" t="s">
        <v>96</v>
      </c>
      <c r="D1042" t="s">
        <v>174</v>
      </c>
      <c r="E1042" t="s">
        <v>286</v>
      </c>
      <c r="F1042" t="s">
        <v>139</v>
      </c>
      <c r="G1042">
        <v>23679</v>
      </c>
      <c r="H1042" t="s">
        <v>278</v>
      </c>
      <c r="I1042">
        <v>2</v>
      </c>
      <c r="J1042" t="s">
        <v>116</v>
      </c>
      <c r="K1042" s="19">
        <v>0.58333333333333337</v>
      </c>
      <c r="L1042" s="19">
        <v>0.9375</v>
      </c>
      <c r="M1042">
        <v>8.5</v>
      </c>
      <c r="N1042">
        <v>0</v>
      </c>
      <c r="O1042">
        <v>64</v>
      </c>
      <c r="P1042">
        <v>76</v>
      </c>
      <c r="Q1042" t="s">
        <v>99</v>
      </c>
      <c r="R1042">
        <v>30</v>
      </c>
      <c r="S1042" s="19">
        <v>0.77083333333333337</v>
      </c>
      <c r="T1042">
        <v>0</v>
      </c>
      <c r="U1042" s="19">
        <v>0.54166666666666663</v>
      </c>
      <c r="V1042" t="s">
        <v>99</v>
      </c>
      <c r="W1042">
        <v>8</v>
      </c>
      <c r="X1042" t="s">
        <v>102</v>
      </c>
      <c r="Y1042" t="b">
        <v>0</v>
      </c>
    </row>
    <row r="1043" spans="1:25" x14ac:dyDescent="0.55000000000000004">
      <c r="A1043" t="s">
        <v>94</v>
      </c>
      <c r="B1043" t="s">
        <v>173</v>
      </c>
      <c r="C1043" t="s">
        <v>96</v>
      </c>
      <c r="D1043" t="s">
        <v>174</v>
      </c>
      <c r="E1043" t="s">
        <v>286</v>
      </c>
      <c r="F1043" t="s">
        <v>139</v>
      </c>
      <c r="G1043">
        <v>24208</v>
      </c>
      <c r="H1043" t="s">
        <v>285</v>
      </c>
      <c r="I1043">
        <v>1</v>
      </c>
      <c r="J1043" t="s">
        <v>104</v>
      </c>
      <c r="K1043" s="19">
        <v>0.58333333333333337</v>
      </c>
      <c r="L1043" s="19">
        <v>0.9375</v>
      </c>
      <c r="M1043">
        <v>8.5</v>
      </c>
      <c r="N1043">
        <v>0</v>
      </c>
      <c r="O1043">
        <v>32</v>
      </c>
      <c r="P1043">
        <v>76</v>
      </c>
      <c r="Q1043" t="s">
        <v>99</v>
      </c>
      <c r="R1043">
        <v>30</v>
      </c>
      <c r="S1043" s="19">
        <v>0.77083333333333337</v>
      </c>
      <c r="T1043">
        <v>0</v>
      </c>
      <c r="U1043" s="19">
        <v>0.54166666666666663</v>
      </c>
      <c r="V1043" t="s">
        <v>99</v>
      </c>
      <c r="W1043">
        <v>8</v>
      </c>
      <c r="X1043" t="s">
        <v>102</v>
      </c>
      <c r="Y1043" t="b">
        <v>0</v>
      </c>
    </row>
    <row r="1044" spans="1:25" x14ac:dyDescent="0.55000000000000004">
      <c r="A1044" t="s">
        <v>94</v>
      </c>
      <c r="B1044" t="s">
        <v>173</v>
      </c>
      <c r="C1044" t="s">
        <v>96</v>
      </c>
      <c r="D1044" t="s">
        <v>174</v>
      </c>
      <c r="E1044" t="s">
        <v>286</v>
      </c>
      <c r="F1044" t="s">
        <v>139</v>
      </c>
      <c r="G1044">
        <v>24208</v>
      </c>
      <c r="H1044" t="s">
        <v>285</v>
      </c>
      <c r="I1044">
        <v>1</v>
      </c>
      <c r="J1044" t="s">
        <v>105</v>
      </c>
      <c r="K1044" s="19">
        <v>0.58333333333333337</v>
      </c>
      <c r="L1044" s="19">
        <v>0.9375</v>
      </c>
      <c r="M1044">
        <v>8.5</v>
      </c>
      <c r="N1044">
        <v>0</v>
      </c>
      <c r="O1044">
        <v>32</v>
      </c>
      <c r="P1044">
        <v>76</v>
      </c>
      <c r="Q1044" t="s">
        <v>99</v>
      </c>
      <c r="R1044">
        <v>30</v>
      </c>
      <c r="S1044" s="19">
        <v>0.77083333333333337</v>
      </c>
      <c r="T1044">
        <v>0</v>
      </c>
      <c r="U1044" s="19">
        <v>0.54166666666666663</v>
      </c>
      <c r="V1044" t="s">
        <v>99</v>
      </c>
      <c r="W1044">
        <v>8</v>
      </c>
      <c r="X1044" t="s">
        <v>102</v>
      </c>
      <c r="Y1044" t="b">
        <v>0</v>
      </c>
    </row>
    <row r="1045" spans="1:25" x14ac:dyDescent="0.55000000000000004">
      <c r="A1045" t="s">
        <v>94</v>
      </c>
      <c r="B1045" t="s">
        <v>173</v>
      </c>
      <c r="C1045" t="s">
        <v>96</v>
      </c>
      <c r="D1045" t="s">
        <v>174</v>
      </c>
      <c r="E1045" t="s">
        <v>286</v>
      </c>
      <c r="F1045" t="s">
        <v>139</v>
      </c>
      <c r="G1045">
        <v>24780</v>
      </c>
      <c r="H1045" t="s">
        <v>266</v>
      </c>
      <c r="I1045">
        <v>2</v>
      </c>
      <c r="J1045" t="s">
        <v>101</v>
      </c>
      <c r="K1045" s="19">
        <v>0.58333333333333337</v>
      </c>
      <c r="L1045" s="19">
        <v>0.9375</v>
      </c>
      <c r="M1045">
        <v>8.5</v>
      </c>
      <c r="N1045">
        <v>0</v>
      </c>
      <c r="O1045">
        <v>76</v>
      </c>
      <c r="P1045">
        <v>76</v>
      </c>
      <c r="Q1045" t="s">
        <v>99</v>
      </c>
      <c r="R1045">
        <v>30</v>
      </c>
      <c r="S1045" s="19">
        <v>0.77083333333333337</v>
      </c>
      <c r="T1045">
        <v>0</v>
      </c>
      <c r="U1045" s="19">
        <v>0</v>
      </c>
      <c r="V1045" t="s">
        <v>99</v>
      </c>
      <c r="W1045">
        <v>8</v>
      </c>
      <c r="X1045" t="s">
        <v>102</v>
      </c>
      <c r="Y1045" t="b">
        <v>0</v>
      </c>
    </row>
    <row r="1046" spans="1:25" x14ac:dyDescent="0.55000000000000004">
      <c r="A1046" t="s">
        <v>94</v>
      </c>
      <c r="B1046" t="s">
        <v>173</v>
      </c>
      <c r="C1046" t="s">
        <v>96</v>
      </c>
      <c r="D1046" t="s">
        <v>174</v>
      </c>
      <c r="E1046" t="s">
        <v>286</v>
      </c>
      <c r="F1046" t="s">
        <v>139</v>
      </c>
      <c r="G1046">
        <v>24780</v>
      </c>
      <c r="H1046" t="s">
        <v>266</v>
      </c>
      <c r="I1046">
        <v>2</v>
      </c>
      <c r="J1046" t="s">
        <v>104</v>
      </c>
      <c r="K1046" s="19">
        <v>0.58333333333333337</v>
      </c>
      <c r="L1046" s="19">
        <v>0.9375</v>
      </c>
      <c r="M1046">
        <v>8.5</v>
      </c>
      <c r="N1046">
        <v>0</v>
      </c>
      <c r="O1046">
        <v>76</v>
      </c>
      <c r="P1046">
        <v>76</v>
      </c>
      <c r="Q1046" t="s">
        <v>99</v>
      </c>
      <c r="R1046">
        <v>30</v>
      </c>
      <c r="S1046" s="19">
        <v>0.77083333333333337</v>
      </c>
      <c r="T1046">
        <v>0</v>
      </c>
      <c r="U1046" s="19">
        <v>0</v>
      </c>
      <c r="V1046" t="s">
        <v>99</v>
      </c>
      <c r="W1046">
        <v>8</v>
      </c>
      <c r="X1046" t="s">
        <v>102</v>
      </c>
      <c r="Y1046" t="b">
        <v>0</v>
      </c>
    </row>
    <row r="1047" spans="1:25" x14ac:dyDescent="0.55000000000000004">
      <c r="A1047" t="s">
        <v>94</v>
      </c>
      <c r="B1047" t="s">
        <v>173</v>
      </c>
      <c r="C1047" t="s">
        <v>96</v>
      </c>
      <c r="D1047" t="s">
        <v>174</v>
      </c>
      <c r="E1047" t="s">
        <v>286</v>
      </c>
      <c r="F1047" t="s">
        <v>139</v>
      </c>
      <c r="G1047">
        <v>24984</v>
      </c>
      <c r="H1047" t="s">
        <v>272</v>
      </c>
      <c r="I1047">
        <v>1</v>
      </c>
      <c r="J1047" t="s">
        <v>101</v>
      </c>
      <c r="K1047" s="19">
        <v>0.58333333333333337</v>
      </c>
      <c r="L1047" s="19">
        <v>0.9375</v>
      </c>
      <c r="M1047">
        <v>8.5</v>
      </c>
      <c r="N1047">
        <v>486.99</v>
      </c>
      <c r="O1047">
        <v>76</v>
      </c>
      <c r="P1047">
        <v>76</v>
      </c>
      <c r="Q1047" t="s">
        <v>99</v>
      </c>
      <c r="R1047">
        <v>30</v>
      </c>
      <c r="S1047" s="19">
        <v>0.77083333333333337</v>
      </c>
      <c r="T1047">
        <v>0</v>
      </c>
      <c r="U1047" s="19">
        <v>0.54166666666666663</v>
      </c>
      <c r="V1047" t="s">
        <v>99</v>
      </c>
      <c r="W1047">
        <v>8</v>
      </c>
      <c r="X1047" t="s">
        <v>102</v>
      </c>
      <c r="Y1047" t="b">
        <v>0</v>
      </c>
    </row>
    <row r="1048" spans="1:25" x14ac:dyDescent="0.55000000000000004">
      <c r="A1048" t="s">
        <v>94</v>
      </c>
      <c r="B1048" t="s">
        <v>173</v>
      </c>
      <c r="C1048" t="s">
        <v>96</v>
      </c>
      <c r="D1048" t="s">
        <v>174</v>
      </c>
      <c r="E1048" t="s">
        <v>286</v>
      </c>
      <c r="F1048" t="s">
        <v>139</v>
      </c>
      <c r="G1048">
        <v>24984</v>
      </c>
      <c r="H1048" t="s">
        <v>272</v>
      </c>
      <c r="I1048">
        <v>1</v>
      </c>
      <c r="J1048" t="s">
        <v>103</v>
      </c>
      <c r="K1048" s="19">
        <v>0.58333333333333337</v>
      </c>
      <c r="L1048" s="19">
        <v>0.9375</v>
      </c>
      <c r="M1048">
        <v>8.5</v>
      </c>
      <c r="N1048">
        <v>486.99</v>
      </c>
      <c r="O1048">
        <v>76</v>
      </c>
      <c r="P1048">
        <v>76</v>
      </c>
      <c r="Q1048" t="s">
        <v>99</v>
      </c>
      <c r="R1048">
        <v>30</v>
      </c>
      <c r="S1048" s="19">
        <v>0.77083333333333337</v>
      </c>
      <c r="T1048">
        <v>0</v>
      </c>
      <c r="U1048" s="19">
        <v>0.54166666666666663</v>
      </c>
      <c r="V1048" t="s">
        <v>99</v>
      </c>
      <c r="W1048">
        <v>8</v>
      </c>
      <c r="X1048" t="s">
        <v>102</v>
      </c>
      <c r="Y1048" t="b">
        <v>0</v>
      </c>
    </row>
    <row r="1049" spans="1:25" x14ac:dyDescent="0.55000000000000004">
      <c r="A1049" t="s">
        <v>94</v>
      </c>
      <c r="B1049" t="s">
        <v>173</v>
      </c>
      <c r="C1049" t="s">
        <v>96</v>
      </c>
      <c r="D1049" t="s">
        <v>174</v>
      </c>
      <c r="E1049" t="s">
        <v>286</v>
      </c>
      <c r="F1049" t="s">
        <v>139</v>
      </c>
      <c r="G1049">
        <v>24984</v>
      </c>
      <c r="H1049" t="s">
        <v>272</v>
      </c>
      <c r="I1049">
        <v>2</v>
      </c>
      <c r="J1049" t="s">
        <v>107</v>
      </c>
      <c r="K1049" s="19">
        <v>0.58333333333333337</v>
      </c>
      <c r="L1049" s="19">
        <v>0.9375</v>
      </c>
      <c r="M1049">
        <v>8.5</v>
      </c>
      <c r="N1049">
        <v>486.99</v>
      </c>
      <c r="O1049">
        <v>76</v>
      </c>
      <c r="P1049">
        <v>76</v>
      </c>
      <c r="Q1049" t="s">
        <v>99</v>
      </c>
      <c r="R1049">
        <v>30</v>
      </c>
      <c r="S1049" s="19">
        <v>0.77083333333333337</v>
      </c>
      <c r="T1049">
        <v>0</v>
      </c>
      <c r="U1049" s="19">
        <v>0.54166666666666663</v>
      </c>
      <c r="V1049" t="s">
        <v>99</v>
      </c>
      <c r="W1049">
        <v>8</v>
      </c>
      <c r="X1049" t="s">
        <v>102</v>
      </c>
      <c r="Y1049" t="b">
        <v>0</v>
      </c>
    </row>
    <row r="1050" spans="1:25" x14ac:dyDescent="0.55000000000000004">
      <c r="A1050" t="s">
        <v>94</v>
      </c>
      <c r="B1050" t="s">
        <v>173</v>
      </c>
      <c r="C1050" t="s">
        <v>96</v>
      </c>
      <c r="D1050" t="s">
        <v>174</v>
      </c>
      <c r="E1050" t="s">
        <v>286</v>
      </c>
      <c r="F1050" t="s">
        <v>139</v>
      </c>
      <c r="G1050">
        <v>24984</v>
      </c>
      <c r="H1050" t="s">
        <v>272</v>
      </c>
      <c r="I1050">
        <v>2</v>
      </c>
      <c r="J1050" t="s">
        <v>103</v>
      </c>
      <c r="K1050" s="19">
        <v>0.58333333333333337</v>
      </c>
      <c r="L1050" s="19">
        <v>0.9375</v>
      </c>
      <c r="M1050">
        <v>8.5</v>
      </c>
      <c r="N1050">
        <v>486.99</v>
      </c>
      <c r="O1050">
        <v>76</v>
      </c>
      <c r="P1050">
        <v>76</v>
      </c>
      <c r="Q1050" t="s">
        <v>99</v>
      </c>
      <c r="R1050">
        <v>30</v>
      </c>
      <c r="S1050" s="19">
        <v>0.77083333333333337</v>
      </c>
      <c r="T1050">
        <v>0</v>
      </c>
      <c r="U1050" s="19">
        <v>0.54166666666666663</v>
      </c>
      <c r="V1050" t="s">
        <v>99</v>
      </c>
      <c r="W1050">
        <v>8</v>
      </c>
      <c r="X1050" t="s">
        <v>102</v>
      </c>
      <c r="Y1050" t="b">
        <v>0</v>
      </c>
    </row>
    <row r="1051" spans="1:25" x14ac:dyDescent="0.55000000000000004">
      <c r="A1051" t="s">
        <v>94</v>
      </c>
      <c r="B1051" t="s">
        <v>173</v>
      </c>
      <c r="C1051" t="s">
        <v>96</v>
      </c>
      <c r="D1051" t="s">
        <v>174</v>
      </c>
      <c r="E1051" t="s">
        <v>286</v>
      </c>
      <c r="F1051" t="s">
        <v>139</v>
      </c>
      <c r="G1051">
        <v>24984</v>
      </c>
      <c r="H1051" t="s">
        <v>272</v>
      </c>
      <c r="I1051">
        <v>2</v>
      </c>
      <c r="J1051" t="s">
        <v>105</v>
      </c>
      <c r="K1051" s="19">
        <v>0.58333333333333337</v>
      </c>
      <c r="L1051" s="19">
        <v>0.9375</v>
      </c>
      <c r="M1051">
        <v>8.5</v>
      </c>
      <c r="N1051">
        <v>486.99</v>
      </c>
      <c r="O1051">
        <v>76</v>
      </c>
      <c r="P1051">
        <v>76</v>
      </c>
      <c r="Q1051" t="s">
        <v>99</v>
      </c>
      <c r="R1051">
        <v>30</v>
      </c>
      <c r="S1051" s="19">
        <v>0.77083333333333337</v>
      </c>
      <c r="T1051">
        <v>0</v>
      </c>
      <c r="U1051" s="19">
        <v>0.54166666666666663</v>
      </c>
      <c r="V1051" t="s">
        <v>99</v>
      </c>
      <c r="W1051">
        <v>8</v>
      </c>
      <c r="X1051" t="s">
        <v>102</v>
      </c>
      <c r="Y1051" t="b">
        <v>0</v>
      </c>
    </row>
    <row r="1052" spans="1:25" x14ac:dyDescent="0.55000000000000004">
      <c r="A1052" t="s">
        <v>94</v>
      </c>
      <c r="B1052" t="s">
        <v>173</v>
      </c>
      <c r="C1052" t="s">
        <v>96</v>
      </c>
      <c r="D1052" t="s">
        <v>174</v>
      </c>
      <c r="E1052" t="s">
        <v>287</v>
      </c>
      <c r="F1052" t="s">
        <v>99</v>
      </c>
      <c r="G1052">
        <v>20324</v>
      </c>
      <c r="H1052" t="s">
        <v>288</v>
      </c>
      <c r="I1052">
        <v>1</v>
      </c>
      <c r="J1052" t="s">
        <v>107</v>
      </c>
      <c r="K1052" s="19">
        <v>0.33333333333333331</v>
      </c>
      <c r="L1052" s="19">
        <v>0.66666666666666663</v>
      </c>
      <c r="M1052">
        <v>8</v>
      </c>
      <c r="N1052">
        <v>0</v>
      </c>
      <c r="O1052">
        <v>76</v>
      </c>
      <c r="P1052">
        <v>76</v>
      </c>
      <c r="Q1052" t="s">
        <v>99</v>
      </c>
      <c r="R1052">
        <v>30</v>
      </c>
      <c r="S1052" s="19">
        <v>0.54166666666666663</v>
      </c>
      <c r="T1052">
        <v>0</v>
      </c>
      <c r="U1052" s="19">
        <v>0.54166666666666663</v>
      </c>
      <c r="V1052" t="s">
        <v>99</v>
      </c>
      <c r="W1052">
        <v>7.5</v>
      </c>
      <c r="X1052" t="s">
        <v>102</v>
      </c>
      <c r="Y1052" t="b">
        <v>0</v>
      </c>
    </row>
    <row r="1053" spans="1:25" x14ac:dyDescent="0.55000000000000004">
      <c r="A1053" t="s">
        <v>94</v>
      </c>
      <c r="B1053" t="s">
        <v>173</v>
      </c>
      <c r="C1053" t="s">
        <v>96</v>
      </c>
      <c r="D1053" t="s">
        <v>174</v>
      </c>
      <c r="E1053" t="s">
        <v>287</v>
      </c>
      <c r="F1053" t="s">
        <v>99</v>
      </c>
      <c r="G1053">
        <v>20324</v>
      </c>
      <c r="H1053" t="s">
        <v>288</v>
      </c>
      <c r="I1053">
        <v>1</v>
      </c>
      <c r="J1053" t="s">
        <v>101</v>
      </c>
      <c r="K1053" s="19">
        <v>0.33333333333333331</v>
      </c>
      <c r="L1053" s="19">
        <v>0.6875</v>
      </c>
      <c r="M1053">
        <v>8.5</v>
      </c>
      <c r="N1053">
        <v>0</v>
      </c>
      <c r="O1053">
        <v>76</v>
      </c>
      <c r="P1053">
        <v>76</v>
      </c>
      <c r="Q1053" t="s">
        <v>99</v>
      </c>
      <c r="R1053">
        <v>30</v>
      </c>
      <c r="S1053" s="19">
        <v>0.54166666666666663</v>
      </c>
      <c r="T1053">
        <v>0</v>
      </c>
      <c r="U1053" s="19">
        <v>0.54166666666666663</v>
      </c>
      <c r="V1053" t="s">
        <v>99</v>
      </c>
      <c r="W1053">
        <v>8</v>
      </c>
      <c r="X1053" t="s">
        <v>102</v>
      </c>
      <c r="Y1053" t="b">
        <v>0</v>
      </c>
    </row>
    <row r="1054" spans="1:25" x14ac:dyDescent="0.55000000000000004">
      <c r="A1054" t="s">
        <v>94</v>
      </c>
      <c r="B1054" t="s">
        <v>173</v>
      </c>
      <c r="C1054" t="s">
        <v>96</v>
      </c>
      <c r="D1054" t="s">
        <v>174</v>
      </c>
      <c r="E1054" t="s">
        <v>287</v>
      </c>
      <c r="F1054" t="s">
        <v>99</v>
      </c>
      <c r="G1054">
        <v>20324</v>
      </c>
      <c r="H1054" t="s">
        <v>288</v>
      </c>
      <c r="I1054">
        <v>1</v>
      </c>
      <c r="J1054" t="s">
        <v>103</v>
      </c>
      <c r="K1054" s="19">
        <v>0.33333333333333331</v>
      </c>
      <c r="L1054" s="19">
        <v>0.66666666666666663</v>
      </c>
      <c r="M1054">
        <v>8</v>
      </c>
      <c r="N1054">
        <v>0</v>
      </c>
      <c r="O1054">
        <v>76</v>
      </c>
      <c r="P1054">
        <v>76</v>
      </c>
      <c r="Q1054" t="s">
        <v>99</v>
      </c>
      <c r="R1054">
        <v>30</v>
      </c>
      <c r="S1054" s="19">
        <v>0.54166666666666663</v>
      </c>
      <c r="T1054">
        <v>0</v>
      </c>
      <c r="U1054" s="19">
        <v>0.54166666666666663</v>
      </c>
      <c r="V1054" t="s">
        <v>99</v>
      </c>
      <c r="W1054">
        <v>7.5</v>
      </c>
      <c r="X1054" t="s">
        <v>102</v>
      </c>
      <c r="Y1054" t="b">
        <v>0</v>
      </c>
    </row>
    <row r="1055" spans="1:25" x14ac:dyDescent="0.55000000000000004">
      <c r="A1055" t="s">
        <v>94</v>
      </c>
      <c r="B1055" t="s">
        <v>173</v>
      </c>
      <c r="C1055" t="s">
        <v>96</v>
      </c>
      <c r="D1055" t="s">
        <v>174</v>
      </c>
      <c r="E1055" t="s">
        <v>287</v>
      </c>
      <c r="F1055" t="s">
        <v>99</v>
      </c>
      <c r="G1055">
        <v>20324</v>
      </c>
      <c r="H1055" t="s">
        <v>288</v>
      </c>
      <c r="I1055">
        <v>1</v>
      </c>
      <c r="J1055" t="s">
        <v>104</v>
      </c>
      <c r="K1055" s="19">
        <v>0.33333333333333331</v>
      </c>
      <c r="L1055" s="19">
        <v>0.66666666666666663</v>
      </c>
      <c r="M1055">
        <v>8</v>
      </c>
      <c r="N1055">
        <v>0</v>
      </c>
      <c r="O1055">
        <v>76</v>
      </c>
      <c r="P1055">
        <v>76</v>
      </c>
      <c r="Q1055" t="s">
        <v>99</v>
      </c>
      <c r="R1055">
        <v>30</v>
      </c>
      <c r="S1055" s="19">
        <v>0.54166666666666663</v>
      </c>
      <c r="T1055">
        <v>0</v>
      </c>
      <c r="U1055" s="19">
        <v>0.54166666666666663</v>
      </c>
      <c r="V1055" t="s">
        <v>99</v>
      </c>
      <c r="W1055">
        <v>7.5</v>
      </c>
      <c r="X1055" t="s">
        <v>102</v>
      </c>
      <c r="Y1055" t="b">
        <v>0</v>
      </c>
    </row>
    <row r="1056" spans="1:25" x14ac:dyDescent="0.55000000000000004">
      <c r="A1056" t="s">
        <v>94</v>
      </c>
      <c r="B1056" t="s">
        <v>173</v>
      </c>
      <c r="C1056" t="s">
        <v>96</v>
      </c>
      <c r="D1056" t="s">
        <v>174</v>
      </c>
      <c r="E1056" t="s">
        <v>287</v>
      </c>
      <c r="F1056" t="s">
        <v>99</v>
      </c>
      <c r="G1056">
        <v>20324</v>
      </c>
      <c r="H1056" t="s">
        <v>288</v>
      </c>
      <c r="I1056">
        <v>1</v>
      </c>
      <c r="J1056" t="s">
        <v>105</v>
      </c>
      <c r="K1056" s="19">
        <v>0.33333333333333331</v>
      </c>
      <c r="L1056" s="19">
        <v>0.66666666666666663</v>
      </c>
      <c r="M1056">
        <v>8</v>
      </c>
      <c r="N1056">
        <v>0</v>
      </c>
      <c r="O1056">
        <v>76</v>
      </c>
      <c r="P1056">
        <v>76</v>
      </c>
      <c r="Q1056" t="s">
        <v>99</v>
      </c>
      <c r="R1056">
        <v>30</v>
      </c>
      <c r="S1056" s="19">
        <v>0.54166666666666663</v>
      </c>
      <c r="T1056">
        <v>0</v>
      </c>
      <c r="U1056" s="19">
        <v>0.54166666666666663</v>
      </c>
      <c r="V1056" t="s">
        <v>99</v>
      </c>
      <c r="W1056">
        <v>7.5</v>
      </c>
      <c r="X1056" t="s">
        <v>102</v>
      </c>
      <c r="Y1056" t="b">
        <v>0</v>
      </c>
    </row>
    <row r="1057" spans="1:25" x14ac:dyDescent="0.55000000000000004">
      <c r="A1057" t="s">
        <v>94</v>
      </c>
      <c r="B1057" t="s">
        <v>173</v>
      </c>
      <c r="C1057" t="s">
        <v>96</v>
      </c>
      <c r="D1057" t="s">
        <v>174</v>
      </c>
      <c r="E1057" t="s">
        <v>287</v>
      </c>
      <c r="F1057" t="s">
        <v>99</v>
      </c>
      <c r="G1057">
        <v>20324</v>
      </c>
      <c r="H1057" t="s">
        <v>288</v>
      </c>
      <c r="I1057">
        <v>2</v>
      </c>
      <c r="J1057" t="s">
        <v>107</v>
      </c>
      <c r="K1057" s="19">
        <v>0.33333333333333331</v>
      </c>
      <c r="L1057" s="19">
        <v>0.66666666666666663</v>
      </c>
      <c r="M1057">
        <v>8</v>
      </c>
      <c r="N1057">
        <v>0</v>
      </c>
      <c r="O1057">
        <v>76</v>
      </c>
      <c r="P1057">
        <v>76</v>
      </c>
      <c r="Q1057" t="s">
        <v>99</v>
      </c>
      <c r="R1057">
        <v>30</v>
      </c>
      <c r="S1057" s="19">
        <v>0.54166666666666663</v>
      </c>
      <c r="T1057">
        <v>0</v>
      </c>
      <c r="U1057" s="19">
        <v>0.54166666666666663</v>
      </c>
      <c r="V1057" t="s">
        <v>99</v>
      </c>
      <c r="W1057">
        <v>7.5</v>
      </c>
      <c r="X1057" t="s">
        <v>102</v>
      </c>
      <c r="Y1057" t="b">
        <v>0</v>
      </c>
    </row>
    <row r="1058" spans="1:25" x14ac:dyDescent="0.55000000000000004">
      <c r="A1058" t="s">
        <v>94</v>
      </c>
      <c r="B1058" t="s">
        <v>173</v>
      </c>
      <c r="C1058" t="s">
        <v>96</v>
      </c>
      <c r="D1058" t="s">
        <v>174</v>
      </c>
      <c r="E1058" t="s">
        <v>287</v>
      </c>
      <c r="F1058" t="s">
        <v>99</v>
      </c>
      <c r="G1058">
        <v>20324</v>
      </c>
      <c r="H1058" t="s">
        <v>288</v>
      </c>
      <c r="I1058">
        <v>2</v>
      </c>
      <c r="J1058" t="s">
        <v>101</v>
      </c>
      <c r="K1058" s="19">
        <v>0.33333333333333331</v>
      </c>
      <c r="L1058" s="19">
        <v>0.6875</v>
      </c>
      <c r="M1058">
        <v>8.5</v>
      </c>
      <c r="N1058">
        <v>0</v>
      </c>
      <c r="O1058">
        <v>76</v>
      </c>
      <c r="P1058">
        <v>76</v>
      </c>
      <c r="Q1058" t="s">
        <v>99</v>
      </c>
      <c r="R1058">
        <v>30</v>
      </c>
      <c r="S1058" s="19">
        <v>0.54166666666666663</v>
      </c>
      <c r="T1058">
        <v>0</v>
      </c>
      <c r="U1058" s="19">
        <v>0.54166666666666663</v>
      </c>
      <c r="V1058" t="s">
        <v>99</v>
      </c>
      <c r="W1058">
        <v>8</v>
      </c>
      <c r="X1058" t="s">
        <v>102</v>
      </c>
      <c r="Y1058" t="b">
        <v>0</v>
      </c>
    </row>
    <row r="1059" spans="1:25" x14ac:dyDescent="0.55000000000000004">
      <c r="A1059" t="s">
        <v>94</v>
      </c>
      <c r="B1059" t="s">
        <v>173</v>
      </c>
      <c r="C1059" t="s">
        <v>96</v>
      </c>
      <c r="D1059" t="s">
        <v>174</v>
      </c>
      <c r="E1059" t="s">
        <v>287</v>
      </c>
      <c r="F1059" t="s">
        <v>99</v>
      </c>
      <c r="G1059">
        <v>20324</v>
      </c>
      <c r="H1059" t="s">
        <v>288</v>
      </c>
      <c r="I1059">
        <v>2</v>
      </c>
      <c r="J1059" t="s">
        <v>103</v>
      </c>
      <c r="K1059" s="19">
        <v>0.33333333333333331</v>
      </c>
      <c r="L1059" s="19">
        <v>0.66666666666666663</v>
      </c>
      <c r="M1059">
        <v>8</v>
      </c>
      <c r="N1059">
        <v>0</v>
      </c>
      <c r="O1059">
        <v>76</v>
      </c>
      <c r="P1059">
        <v>76</v>
      </c>
      <c r="Q1059" t="s">
        <v>99</v>
      </c>
      <c r="R1059">
        <v>30</v>
      </c>
      <c r="S1059" s="19">
        <v>0.54166666666666663</v>
      </c>
      <c r="T1059">
        <v>0</v>
      </c>
      <c r="U1059" s="19">
        <v>0.54166666666666663</v>
      </c>
      <c r="V1059" t="s">
        <v>99</v>
      </c>
      <c r="W1059">
        <v>7.5</v>
      </c>
      <c r="X1059" t="s">
        <v>102</v>
      </c>
      <c r="Y1059" t="b">
        <v>0</v>
      </c>
    </row>
    <row r="1060" spans="1:25" x14ac:dyDescent="0.55000000000000004">
      <c r="A1060" t="s">
        <v>94</v>
      </c>
      <c r="B1060" t="s">
        <v>173</v>
      </c>
      <c r="C1060" t="s">
        <v>96</v>
      </c>
      <c r="D1060" t="s">
        <v>174</v>
      </c>
      <c r="E1060" t="s">
        <v>287</v>
      </c>
      <c r="F1060" t="s">
        <v>99</v>
      </c>
      <c r="G1060">
        <v>20324</v>
      </c>
      <c r="H1060" t="s">
        <v>288</v>
      </c>
      <c r="I1060">
        <v>2</v>
      </c>
      <c r="J1060" t="s">
        <v>104</v>
      </c>
      <c r="K1060" s="19">
        <v>0.33333333333333331</v>
      </c>
      <c r="L1060" s="19">
        <v>0.66666666666666663</v>
      </c>
      <c r="M1060">
        <v>8</v>
      </c>
      <c r="N1060">
        <v>0</v>
      </c>
      <c r="O1060">
        <v>76</v>
      </c>
      <c r="P1060">
        <v>76</v>
      </c>
      <c r="Q1060" t="s">
        <v>99</v>
      </c>
      <c r="R1060">
        <v>30</v>
      </c>
      <c r="S1060" s="19">
        <v>0.54166666666666663</v>
      </c>
      <c r="T1060">
        <v>0</v>
      </c>
      <c r="U1060" s="19">
        <v>0.54166666666666663</v>
      </c>
      <c r="V1060" t="s">
        <v>99</v>
      </c>
      <c r="W1060">
        <v>7.5</v>
      </c>
      <c r="X1060" t="s">
        <v>102</v>
      </c>
      <c r="Y1060" t="b">
        <v>0</v>
      </c>
    </row>
    <row r="1061" spans="1:25" x14ac:dyDescent="0.55000000000000004">
      <c r="A1061" t="s">
        <v>94</v>
      </c>
      <c r="B1061" t="s">
        <v>173</v>
      </c>
      <c r="C1061" t="s">
        <v>96</v>
      </c>
      <c r="D1061" t="s">
        <v>174</v>
      </c>
      <c r="E1061" t="s">
        <v>287</v>
      </c>
      <c r="F1061" t="s">
        <v>99</v>
      </c>
      <c r="G1061">
        <v>20324</v>
      </c>
      <c r="H1061" t="s">
        <v>288</v>
      </c>
      <c r="I1061">
        <v>2</v>
      </c>
      <c r="J1061" t="s">
        <v>105</v>
      </c>
      <c r="K1061" s="19">
        <v>0.33333333333333331</v>
      </c>
      <c r="L1061" s="19">
        <v>0.66666666666666663</v>
      </c>
      <c r="M1061">
        <v>8</v>
      </c>
      <c r="N1061">
        <v>0</v>
      </c>
      <c r="O1061">
        <v>76</v>
      </c>
      <c r="P1061">
        <v>76</v>
      </c>
      <c r="Q1061" t="s">
        <v>99</v>
      </c>
      <c r="R1061">
        <v>30</v>
      </c>
      <c r="S1061" s="19">
        <v>0.54166666666666663</v>
      </c>
      <c r="T1061">
        <v>0</v>
      </c>
      <c r="U1061" s="19">
        <v>0.54166666666666663</v>
      </c>
      <c r="V1061" t="s">
        <v>99</v>
      </c>
      <c r="W1061">
        <v>7.5</v>
      </c>
      <c r="X1061" t="s">
        <v>102</v>
      </c>
      <c r="Y1061" t="b">
        <v>0</v>
      </c>
    </row>
    <row r="1062" spans="1:25" x14ac:dyDescent="0.55000000000000004">
      <c r="A1062" t="s">
        <v>94</v>
      </c>
      <c r="B1062" t="s">
        <v>173</v>
      </c>
      <c r="C1062" t="s">
        <v>96</v>
      </c>
      <c r="D1062" t="s">
        <v>174</v>
      </c>
      <c r="E1062" t="s">
        <v>289</v>
      </c>
      <c r="F1062" t="s">
        <v>290</v>
      </c>
      <c r="G1062">
        <v>19255</v>
      </c>
      <c r="H1062" t="s">
        <v>235</v>
      </c>
      <c r="I1062">
        <v>1</v>
      </c>
      <c r="J1062" t="s">
        <v>105</v>
      </c>
      <c r="K1062" s="19">
        <v>0.375</v>
      </c>
      <c r="L1062" s="19">
        <v>0.625</v>
      </c>
      <c r="M1062">
        <v>6</v>
      </c>
      <c r="N1062">
        <v>0</v>
      </c>
      <c r="O1062">
        <v>67.5</v>
      </c>
      <c r="P1062">
        <v>76</v>
      </c>
      <c r="Q1062" t="s">
        <v>99</v>
      </c>
      <c r="R1062">
        <v>30</v>
      </c>
      <c r="S1062" s="19">
        <v>0.58333333333333337</v>
      </c>
      <c r="T1062">
        <v>0</v>
      </c>
      <c r="U1062" s="19">
        <v>0</v>
      </c>
      <c r="V1062" t="s">
        <v>99</v>
      </c>
      <c r="W1062">
        <v>5.5</v>
      </c>
      <c r="X1062" t="s">
        <v>102</v>
      </c>
      <c r="Y1062" t="b">
        <v>0</v>
      </c>
    </row>
    <row r="1063" spans="1:25" x14ac:dyDescent="0.55000000000000004">
      <c r="A1063" t="s">
        <v>94</v>
      </c>
      <c r="B1063" t="s">
        <v>173</v>
      </c>
      <c r="C1063" t="s">
        <v>96</v>
      </c>
      <c r="D1063" t="s">
        <v>174</v>
      </c>
      <c r="E1063" t="s">
        <v>289</v>
      </c>
      <c r="F1063" t="s">
        <v>290</v>
      </c>
      <c r="G1063">
        <v>19255</v>
      </c>
      <c r="H1063" t="s">
        <v>235</v>
      </c>
      <c r="I1063">
        <v>2</v>
      </c>
      <c r="J1063" t="s">
        <v>105</v>
      </c>
      <c r="K1063" s="19">
        <v>0.375</v>
      </c>
      <c r="L1063" s="19">
        <v>0.625</v>
      </c>
      <c r="M1063">
        <v>6</v>
      </c>
      <c r="N1063">
        <v>0</v>
      </c>
      <c r="O1063">
        <v>67.5</v>
      </c>
      <c r="P1063">
        <v>76</v>
      </c>
      <c r="Q1063" t="s">
        <v>99</v>
      </c>
      <c r="R1063">
        <v>30</v>
      </c>
      <c r="S1063" s="19">
        <v>0.58333333333333337</v>
      </c>
      <c r="T1063">
        <v>0</v>
      </c>
      <c r="U1063" s="19">
        <v>0</v>
      </c>
      <c r="V1063" t="s">
        <v>99</v>
      </c>
      <c r="W1063">
        <v>5.5</v>
      </c>
      <c r="X1063" t="s">
        <v>102</v>
      </c>
      <c r="Y1063" t="b">
        <v>0</v>
      </c>
    </row>
    <row r="1064" spans="1:25" x14ac:dyDescent="0.55000000000000004">
      <c r="A1064" t="s">
        <v>94</v>
      </c>
      <c r="B1064" t="s">
        <v>173</v>
      </c>
      <c r="C1064" t="s">
        <v>96</v>
      </c>
      <c r="D1064" t="s">
        <v>174</v>
      </c>
      <c r="E1064" t="s">
        <v>289</v>
      </c>
      <c r="F1064" t="s">
        <v>290</v>
      </c>
      <c r="G1064">
        <v>22035</v>
      </c>
      <c r="H1064" t="s">
        <v>179</v>
      </c>
      <c r="I1064">
        <v>1</v>
      </c>
      <c r="J1064" t="s">
        <v>107</v>
      </c>
      <c r="K1064" s="19">
        <v>0.35416666666666669</v>
      </c>
      <c r="L1064" s="19">
        <v>0.60416666666666663</v>
      </c>
      <c r="M1064">
        <v>6</v>
      </c>
      <c r="N1064">
        <v>193.1</v>
      </c>
      <c r="O1064">
        <v>66.5</v>
      </c>
      <c r="P1064">
        <v>76</v>
      </c>
      <c r="Q1064" t="s">
        <v>99</v>
      </c>
      <c r="R1064">
        <v>30</v>
      </c>
      <c r="S1064" s="19">
        <v>0.4375</v>
      </c>
      <c r="T1064">
        <v>0</v>
      </c>
      <c r="U1064" s="19">
        <v>0.54166666666666663</v>
      </c>
      <c r="V1064" t="s">
        <v>99</v>
      </c>
      <c r="W1064">
        <v>5.5</v>
      </c>
      <c r="X1064" t="s">
        <v>102</v>
      </c>
      <c r="Y1064" t="b">
        <v>0</v>
      </c>
    </row>
    <row r="1065" spans="1:25" x14ac:dyDescent="0.55000000000000004">
      <c r="A1065" t="s">
        <v>94</v>
      </c>
      <c r="B1065" t="s">
        <v>173</v>
      </c>
      <c r="C1065" t="s">
        <v>96</v>
      </c>
      <c r="D1065" t="s">
        <v>174</v>
      </c>
      <c r="E1065" t="s">
        <v>289</v>
      </c>
      <c r="F1065" t="s">
        <v>290</v>
      </c>
      <c r="G1065">
        <v>22035</v>
      </c>
      <c r="H1065" t="s">
        <v>179</v>
      </c>
      <c r="I1065">
        <v>2</v>
      </c>
      <c r="J1065" t="s">
        <v>107</v>
      </c>
      <c r="K1065" s="19">
        <v>0.35416666666666669</v>
      </c>
      <c r="L1065" s="19">
        <v>0.60416666666666663</v>
      </c>
      <c r="M1065">
        <v>6</v>
      </c>
      <c r="N1065">
        <v>193.1</v>
      </c>
      <c r="O1065">
        <v>66.5</v>
      </c>
      <c r="P1065">
        <v>76</v>
      </c>
      <c r="Q1065" t="s">
        <v>99</v>
      </c>
      <c r="R1065">
        <v>30</v>
      </c>
      <c r="S1065" s="19">
        <v>0.5625</v>
      </c>
      <c r="T1065">
        <v>0</v>
      </c>
      <c r="U1065" s="19">
        <v>0.54166666666666663</v>
      </c>
      <c r="V1065" t="s">
        <v>99</v>
      </c>
      <c r="W1065">
        <v>5.5</v>
      </c>
      <c r="X1065" t="s">
        <v>102</v>
      </c>
      <c r="Y1065" t="b">
        <v>0</v>
      </c>
    </row>
    <row r="1066" spans="1:25" x14ac:dyDescent="0.55000000000000004">
      <c r="A1066" t="s">
        <v>94</v>
      </c>
      <c r="B1066" t="s">
        <v>173</v>
      </c>
      <c r="C1066" t="s">
        <v>96</v>
      </c>
      <c r="D1066" t="s">
        <v>174</v>
      </c>
      <c r="E1066" t="s">
        <v>289</v>
      </c>
      <c r="F1066" t="s">
        <v>290</v>
      </c>
      <c r="G1066">
        <v>24479</v>
      </c>
      <c r="H1066" t="s">
        <v>187</v>
      </c>
      <c r="I1066">
        <v>1</v>
      </c>
      <c r="J1066" t="s">
        <v>101</v>
      </c>
      <c r="K1066" s="19">
        <v>0.25</v>
      </c>
      <c r="L1066" s="19">
        <v>0.58333333333333337</v>
      </c>
      <c r="M1066">
        <v>8</v>
      </c>
      <c r="N1066">
        <v>263.32</v>
      </c>
      <c r="O1066">
        <v>67.5</v>
      </c>
      <c r="P1066">
        <v>76</v>
      </c>
      <c r="Q1066" t="s">
        <v>99</v>
      </c>
      <c r="R1066">
        <v>30</v>
      </c>
      <c r="S1066" s="19">
        <v>0.4375</v>
      </c>
      <c r="T1066">
        <v>0</v>
      </c>
      <c r="U1066" s="19">
        <v>0.54166666666666663</v>
      </c>
      <c r="V1066" t="s">
        <v>99</v>
      </c>
      <c r="W1066">
        <v>7.5</v>
      </c>
      <c r="X1066" t="s">
        <v>102</v>
      </c>
      <c r="Y1066" t="b">
        <v>0</v>
      </c>
    </row>
    <row r="1067" spans="1:25" x14ac:dyDescent="0.55000000000000004">
      <c r="A1067" t="s">
        <v>94</v>
      </c>
      <c r="B1067" t="s">
        <v>173</v>
      </c>
      <c r="C1067" t="s">
        <v>96</v>
      </c>
      <c r="D1067" t="s">
        <v>174</v>
      </c>
      <c r="E1067" t="s">
        <v>289</v>
      </c>
      <c r="F1067" t="s">
        <v>290</v>
      </c>
      <c r="G1067">
        <v>24479</v>
      </c>
      <c r="H1067" t="s">
        <v>187</v>
      </c>
      <c r="I1067">
        <v>2</v>
      </c>
      <c r="J1067" t="s">
        <v>101</v>
      </c>
      <c r="K1067" s="19">
        <v>0.25</v>
      </c>
      <c r="L1067" s="19">
        <v>0.58333333333333337</v>
      </c>
      <c r="M1067">
        <v>8</v>
      </c>
      <c r="N1067">
        <v>263.32</v>
      </c>
      <c r="O1067">
        <v>67.5</v>
      </c>
      <c r="P1067">
        <v>76</v>
      </c>
      <c r="Q1067" t="s">
        <v>99</v>
      </c>
      <c r="R1067">
        <v>30</v>
      </c>
      <c r="S1067" s="19">
        <v>0.4375</v>
      </c>
      <c r="T1067">
        <v>0</v>
      </c>
      <c r="U1067" s="19">
        <v>0.54166666666666663</v>
      </c>
      <c r="V1067" t="s">
        <v>99</v>
      </c>
      <c r="W1067">
        <v>7.5</v>
      </c>
      <c r="X1067" t="s">
        <v>102</v>
      </c>
      <c r="Y1067" t="b">
        <v>0</v>
      </c>
    </row>
    <row r="1068" spans="1:25" x14ac:dyDescent="0.55000000000000004">
      <c r="A1068" t="s">
        <v>94</v>
      </c>
      <c r="B1068" t="s">
        <v>291</v>
      </c>
      <c r="C1068" t="s">
        <v>292</v>
      </c>
      <c r="D1068" t="s">
        <v>148</v>
      </c>
      <c r="E1068" t="s">
        <v>117</v>
      </c>
      <c r="F1068" t="s">
        <v>99</v>
      </c>
      <c r="H1068" t="s">
        <v>99</v>
      </c>
      <c r="I1068">
        <v>1</v>
      </c>
      <c r="J1068" t="s">
        <v>107</v>
      </c>
      <c r="K1068" s="19">
        <v>0.3125</v>
      </c>
      <c r="L1068" s="19">
        <v>0.60416666666666663</v>
      </c>
      <c r="M1068">
        <v>14</v>
      </c>
      <c r="N1068">
        <v>0</v>
      </c>
      <c r="O1068">
        <v>0</v>
      </c>
      <c r="P1068">
        <v>0</v>
      </c>
      <c r="Q1068" t="s">
        <v>99</v>
      </c>
      <c r="R1068">
        <v>60</v>
      </c>
      <c r="S1068" s="19">
        <v>0.58333333333333337</v>
      </c>
      <c r="U1068" s="19"/>
      <c r="V1068" t="s">
        <v>99</v>
      </c>
      <c r="W1068">
        <v>13</v>
      </c>
      <c r="X1068" t="s">
        <v>102</v>
      </c>
      <c r="Y1068" t="b">
        <v>0</v>
      </c>
    </row>
    <row r="1069" spans="1:25" x14ac:dyDescent="0.55000000000000004">
      <c r="A1069" t="s">
        <v>94</v>
      </c>
      <c r="B1069" t="s">
        <v>291</v>
      </c>
      <c r="C1069" t="s">
        <v>292</v>
      </c>
      <c r="D1069" t="s">
        <v>148</v>
      </c>
      <c r="E1069" t="s">
        <v>117</v>
      </c>
      <c r="F1069" t="s">
        <v>99</v>
      </c>
      <c r="H1069" t="s">
        <v>99</v>
      </c>
      <c r="I1069">
        <v>1</v>
      </c>
      <c r="J1069" t="s">
        <v>101</v>
      </c>
      <c r="K1069" s="19">
        <v>0.29166666666666669</v>
      </c>
      <c r="L1069" s="19">
        <v>0.60416666666666663</v>
      </c>
      <c r="M1069">
        <v>7.5</v>
      </c>
      <c r="N1069">
        <v>0</v>
      </c>
      <c r="O1069">
        <v>0</v>
      </c>
      <c r="P1069">
        <v>0</v>
      </c>
      <c r="Q1069" t="s">
        <v>99</v>
      </c>
      <c r="R1069">
        <v>30</v>
      </c>
      <c r="S1069" s="19">
        <v>0.58333333333333337</v>
      </c>
      <c r="U1069" s="19"/>
      <c r="V1069" t="s">
        <v>99</v>
      </c>
      <c r="W1069">
        <v>7</v>
      </c>
      <c r="X1069" t="s">
        <v>102</v>
      </c>
      <c r="Y1069" t="b">
        <v>0</v>
      </c>
    </row>
    <row r="1070" spans="1:25" x14ac:dyDescent="0.55000000000000004">
      <c r="A1070" t="s">
        <v>94</v>
      </c>
      <c r="B1070" t="s">
        <v>291</v>
      </c>
      <c r="C1070" t="s">
        <v>292</v>
      </c>
      <c r="D1070" t="s">
        <v>148</v>
      </c>
      <c r="E1070" t="s">
        <v>117</v>
      </c>
      <c r="F1070" t="s">
        <v>99</v>
      </c>
      <c r="H1070" t="s">
        <v>99</v>
      </c>
      <c r="I1070">
        <v>1</v>
      </c>
      <c r="J1070" t="s">
        <v>115</v>
      </c>
      <c r="K1070" s="19">
        <v>0.375</v>
      </c>
      <c r="L1070" s="19">
        <v>0.54166666666666663</v>
      </c>
      <c r="M1070">
        <v>4</v>
      </c>
      <c r="N1070">
        <v>0</v>
      </c>
      <c r="O1070">
        <v>0</v>
      </c>
      <c r="P1070">
        <v>0</v>
      </c>
      <c r="Q1070" t="s">
        <v>99</v>
      </c>
      <c r="R1070">
        <v>0</v>
      </c>
      <c r="S1070" s="19">
        <v>0</v>
      </c>
      <c r="U1070" s="19"/>
      <c r="V1070" t="s">
        <v>99</v>
      </c>
      <c r="W1070">
        <v>4</v>
      </c>
      <c r="X1070" t="s">
        <v>102</v>
      </c>
      <c r="Y1070" t="b">
        <v>0</v>
      </c>
    </row>
    <row r="1071" spans="1:25" x14ac:dyDescent="0.55000000000000004">
      <c r="A1071" t="s">
        <v>94</v>
      </c>
      <c r="B1071" t="s">
        <v>291</v>
      </c>
      <c r="C1071" t="s">
        <v>292</v>
      </c>
      <c r="D1071" t="s">
        <v>148</v>
      </c>
      <c r="E1071" t="s">
        <v>117</v>
      </c>
      <c r="F1071" t="s">
        <v>99</v>
      </c>
      <c r="H1071" t="s">
        <v>99</v>
      </c>
      <c r="I1071">
        <v>1</v>
      </c>
      <c r="J1071" t="s">
        <v>116</v>
      </c>
      <c r="K1071" s="19">
        <v>0.375</v>
      </c>
      <c r="L1071" s="19">
        <v>0.54166666666666663</v>
      </c>
      <c r="M1071">
        <v>4</v>
      </c>
      <c r="N1071">
        <v>155.54</v>
      </c>
      <c r="O1071">
        <v>0</v>
      </c>
      <c r="P1071">
        <v>0</v>
      </c>
      <c r="Q1071" t="s">
        <v>99</v>
      </c>
      <c r="R1071">
        <v>0</v>
      </c>
      <c r="S1071" s="19">
        <v>0</v>
      </c>
      <c r="U1071" s="19"/>
      <c r="V1071" t="s">
        <v>99</v>
      </c>
      <c r="W1071">
        <v>4</v>
      </c>
      <c r="X1071" t="s">
        <v>102</v>
      </c>
      <c r="Y1071" t="b">
        <v>0</v>
      </c>
    </row>
    <row r="1072" spans="1:25" x14ac:dyDescent="0.55000000000000004">
      <c r="A1072" t="s">
        <v>94</v>
      </c>
      <c r="B1072" t="s">
        <v>291</v>
      </c>
      <c r="C1072" t="s">
        <v>292</v>
      </c>
      <c r="D1072" t="s">
        <v>148</v>
      </c>
      <c r="E1072" t="s">
        <v>117</v>
      </c>
      <c r="F1072" t="s">
        <v>99</v>
      </c>
      <c r="H1072" t="s">
        <v>99</v>
      </c>
      <c r="I1072">
        <v>1</v>
      </c>
      <c r="J1072" t="s">
        <v>103</v>
      </c>
      <c r="K1072" s="19">
        <v>0.3125</v>
      </c>
      <c r="L1072" s="19">
        <v>0.60416666666666663</v>
      </c>
      <c r="M1072">
        <v>14</v>
      </c>
      <c r="N1072">
        <v>0</v>
      </c>
      <c r="O1072">
        <v>0</v>
      </c>
      <c r="P1072">
        <v>0</v>
      </c>
      <c r="Q1072" t="s">
        <v>99</v>
      </c>
      <c r="R1072">
        <v>60</v>
      </c>
      <c r="S1072" s="19">
        <v>0.58333333333333337</v>
      </c>
      <c r="U1072" s="19"/>
      <c r="V1072" t="s">
        <v>99</v>
      </c>
      <c r="W1072">
        <v>13</v>
      </c>
      <c r="X1072" t="s">
        <v>102</v>
      </c>
      <c r="Y1072" t="b">
        <v>0</v>
      </c>
    </row>
    <row r="1073" spans="1:25" x14ac:dyDescent="0.55000000000000004">
      <c r="A1073" t="s">
        <v>94</v>
      </c>
      <c r="B1073" t="s">
        <v>291</v>
      </c>
      <c r="C1073" t="s">
        <v>292</v>
      </c>
      <c r="D1073" t="s">
        <v>148</v>
      </c>
      <c r="E1073" t="s">
        <v>117</v>
      </c>
      <c r="F1073" t="s">
        <v>99</v>
      </c>
      <c r="H1073" t="s">
        <v>99</v>
      </c>
      <c r="I1073">
        <v>1</v>
      </c>
      <c r="J1073" t="s">
        <v>104</v>
      </c>
      <c r="K1073" s="19">
        <v>0.3125</v>
      </c>
      <c r="L1073" s="19">
        <v>0.60416666666666663</v>
      </c>
      <c r="M1073">
        <v>7</v>
      </c>
      <c r="N1073">
        <v>0</v>
      </c>
      <c r="O1073">
        <v>0</v>
      </c>
      <c r="P1073">
        <v>0</v>
      </c>
      <c r="Q1073" t="s">
        <v>99</v>
      </c>
      <c r="R1073">
        <v>30</v>
      </c>
      <c r="S1073" s="19">
        <v>0.58333333333333337</v>
      </c>
      <c r="U1073" s="19"/>
      <c r="V1073" t="s">
        <v>99</v>
      </c>
      <c r="W1073">
        <v>6.5</v>
      </c>
      <c r="X1073" t="s">
        <v>102</v>
      </c>
      <c r="Y1073" t="b">
        <v>0</v>
      </c>
    </row>
    <row r="1074" spans="1:25" x14ac:dyDescent="0.55000000000000004">
      <c r="A1074" t="s">
        <v>94</v>
      </c>
      <c r="B1074" t="s">
        <v>291</v>
      </c>
      <c r="C1074" t="s">
        <v>292</v>
      </c>
      <c r="D1074" t="s">
        <v>148</v>
      </c>
      <c r="E1074" t="s">
        <v>117</v>
      </c>
      <c r="F1074" t="s">
        <v>99</v>
      </c>
      <c r="H1074" t="s">
        <v>99</v>
      </c>
      <c r="I1074">
        <v>1</v>
      </c>
      <c r="J1074" t="s">
        <v>105</v>
      </c>
      <c r="K1074" s="19">
        <v>0.3125</v>
      </c>
      <c r="L1074" s="19">
        <v>0.60416666666666663</v>
      </c>
      <c r="M1074">
        <v>7</v>
      </c>
      <c r="N1074">
        <v>0</v>
      </c>
      <c r="O1074">
        <v>0</v>
      </c>
      <c r="P1074">
        <v>0</v>
      </c>
      <c r="Q1074" t="s">
        <v>99</v>
      </c>
      <c r="R1074">
        <v>30</v>
      </c>
      <c r="S1074" s="19">
        <v>0.58333333333333337</v>
      </c>
      <c r="U1074" s="19"/>
      <c r="V1074" t="s">
        <v>99</v>
      </c>
      <c r="W1074">
        <v>6.5</v>
      </c>
      <c r="X1074" t="s">
        <v>102</v>
      </c>
      <c r="Y1074" t="b">
        <v>0</v>
      </c>
    </row>
    <row r="1075" spans="1:25" x14ac:dyDescent="0.55000000000000004">
      <c r="A1075" t="s">
        <v>94</v>
      </c>
      <c r="B1075" t="s">
        <v>291</v>
      </c>
      <c r="C1075" t="s">
        <v>292</v>
      </c>
      <c r="D1075" t="s">
        <v>148</v>
      </c>
      <c r="E1075" t="s">
        <v>117</v>
      </c>
      <c r="F1075" t="s">
        <v>99</v>
      </c>
      <c r="H1075" t="s">
        <v>99</v>
      </c>
      <c r="I1075">
        <v>2</v>
      </c>
      <c r="J1075" t="s">
        <v>107</v>
      </c>
      <c r="K1075" s="19">
        <v>0.3125</v>
      </c>
      <c r="L1075" s="19">
        <v>0.60416666666666663</v>
      </c>
      <c r="M1075">
        <v>14</v>
      </c>
      <c r="N1075">
        <v>0</v>
      </c>
      <c r="O1075">
        <v>0</v>
      </c>
      <c r="P1075">
        <v>0</v>
      </c>
      <c r="Q1075" t="s">
        <v>99</v>
      </c>
      <c r="R1075">
        <v>60</v>
      </c>
      <c r="S1075" s="19">
        <v>0.58333333333333337</v>
      </c>
      <c r="U1075" s="19"/>
      <c r="V1075" t="s">
        <v>99</v>
      </c>
      <c r="W1075">
        <v>13</v>
      </c>
      <c r="X1075" t="s">
        <v>102</v>
      </c>
      <c r="Y1075" t="b">
        <v>0</v>
      </c>
    </row>
    <row r="1076" spans="1:25" x14ac:dyDescent="0.55000000000000004">
      <c r="A1076" t="s">
        <v>94</v>
      </c>
      <c r="B1076" t="s">
        <v>291</v>
      </c>
      <c r="C1076" t="s">
        <v>292</v>
      </c>
      <c r="D1076" t="s">
        <v>148</v>
      </c>
      <c r="E1076" t="s">
        <v>117</v>
      </c>
      <c r="F1076" t="s">
        <v>99</v>
      </c>
      <c r="H1076" t="s">
        <v>99</v>
      </c>
      <c r="I1076">
        <v>2</v>
      </c>
      <c r="J1076" t="s">
        <v>101</v>
      </c>
      <c r="K1076" s="19">
        <v>0.29166666666666669</v>
      </c>
      <c r="L1076" s="19">
        <v>0.60416666666666663</v>
      </c>
      <c r="M1076">
        <v>7.5</v>
      </c>
      <c r="N1076">
        <v>0</v>
      </c>
      <c r="O1076">
        <v>0</v>
      </c>
      <c r="P1076">
        <v>0</v>
      </c>
      <c r="Q1076" t="s">
        <v>99</v>
      </c>
      <c r="R1076">
        <v>30</v>
      </c>
      <c r="S1076" s="19">
        <v>0.58333333333333337</v>
      </c>
      <c r="U1076" s="19"/>
      <c r="V1076" t="s">
        <v>99</v>
      </c>
      <c r="W1076">
        <v>7</v>
      </c>
      <c r="X1076" t="s">
        <v>102</v>
      </c>
      <c r="Y1076" t="b">
        <v>0</v>
      </c>
    </row>
    <row r="1077" spans="1:25" x14ac:dyDescent="0.55000000000000004">
      <c r="A1077" t="s">
        <v>94</v>
      </c>
      <c r="B1077" t="s">
        <v>291</v>
      </c>
      <c r="C1077" t="s">
        <v>292</v>
      </c>
      <c r="D1077" t="s">
        <v>148</v>
      </c>
      <c r="E1077" t="s">
        <v>117</v>
      </c>
      <c r="F1077" t="s">
        <v>99</v>
      </c>
      <c r="H1077" t="s">
        <v>99</v>
      </c>
      <c r="I1077">
        <v>2</v>
      </c>
      <c r="J1077" t="s">
        <v>115</v>
      </c>
      <c r="K1077" s="19">
        <v>0.375</v>
      </c>
      <c r="L1077" s="19">
        <v>0.54166666666666663</v>
      </c>
      <c r="M1077">
        <v>4</v>
      </c>
      <c r="N1077">
        <v>0</v>
      </c>
      <c r="O1077">
        <v>0</v>
      </c>
      <c r="P1077">
        <v>0</v>
      </c>
      <c r="Q1077" t="s">
        <v>99</v>
      </c>
      <c r="R1077">
        <v>0</v>
      </c>
      <c r="S1077" s="19">
        <v>0</v>
      </c>
      <c r="U1077" s="19"/>
      <c r="V1077" t="s">
        <v>99</v>
      </c>
      <c r="W1077">
        <v>4</v>
      </c>
      <c r="X1077" t="s">
        <v>102</v>
      </c>
      <c r="Y1077" t="b">
        <v>0</v>
      </c>
    </row>
    <row r="1078" spans="1:25" x14ac:dyDescent="0.55000000000000004">
      <c r="A1078" t="s">
        <v>94</v>
      </c>
      <c r="B1078" t="s">
        <v>291</v>
      </c>
      <c r="C1078" t="s">
        <v>292</v>
      </c>
      <c r="D1078" t="s">
        <v>148</v>
      </c>
      <c r="E1078" t="s">
        <v>117</v>
      </c>
      <c r="F1078" t="s">
        <v>99</v>
      </c>
      <c r="H1078" t="s">
        <v>99</v>
      </c>
      <c r="I1078">
        <v>2</v>
      </c>
      <c r="J1078" t="s">
        <v>116</v>
      </c>
      <c r="K1078" s="19">
        <v>0.375</v>
      </c>
      <c r="L1078" s="19">
        <v>0.54166666666666663</v>
      </c>
      <c r="M1078">
        <v>4</v>
      </c>
      <c r="N1078">
        <v>155.54</v>
      </c>
      <c r="O1078">
        <v>0</v>
      </c>
      <c r="P1078">
        <v>0</v>
      </c>
      <c r="Q1078" t="s">
        <v>99</v>
      </c>
      <c r="R1078">
        <v>0</v>
      </c>
      <c r="S1078" s="19">
        <v>0</v>
      </c>
      <c r="U1078" s="19"/>
      <c r="V1078" t="s">
        <v>99</v>
      </c>
      <c r="W1078">
        <v>4</v>
      </c>
      <c r="X1078" t="s">
        <v>102</v>
      </c>
      <c r="Y1078" t="b">
        <v>0</v>
      </c>
    </row>
    <row r="1079" spans="1:25" x14ac:dyDescent="0.55000000000000004">
      <c r="A1079" t="s">
        <v>94</v>
      </c>
      <c r="B1079" t="s">
        <v>291</v>
      </c>
      <c r="C1079" t="s">
        <v>292</v>
      </c>
      <c r="D1079" t="s">
        <v>148</v>
      </c>
      <c r="E1079" t="s">
        <v>117</v>
      </c>
      <c r="F1079" t="s">
        <v>99</v>
      </c>
      <c r="H1079" t="s">
        <v>99</v>
      </c>
      <c r="I1079">
        <v>2</v>
      </c>
      <c r="J1079" t="s">
        <v>103</v>
      </c>
      <c r="K1079" s="19">
        <v>0.3125</v>
      </c>
      <c r="L1079" s="19">
        <v>0.60416666666666663</v>
      </c>
      <c r="M1079">
        <v>14</v>
      </c>
      <c r="N1079">
        <v>0</v>
      </c>
      <c r="O1079">
        <v>0</v>
      </c>
      <c r="P1079">
        <v>0</v>
      </c>
      <c r="Q1079" t="s">
        <v>99</v>
      </c>
      <c r="R1079">
        <v>60</v>
      </c>
      <c r="S1079" s="19">
        <v>0.58333333333333337</v>
      </c>
      <c r="U1079" s="19"/>
      <c r="V1079" t="s">
        <v>99</v>
      </c>
      <c r="W1079">
        <v>13</v>
      </c>
      <c r="X1079" t="s">
        <v>102</v>
      </c>
      <c r="Y1079" t="b">
        <v>0</v>
      </c>
    </row>
    <row r="1080" spans="1:25" x14ac:dyDescent="0.55000000000000004">
      <c r="A1080" t="s">
        <v>94</v>
      </c>
      <c r="B1080" t="s">
        <v>291</v>
      </c>
      <c r="C1080" t="s">
        <v>292</v>
      </c>
      <c r="D1080" t="s">
        <v>148</v>
      </c>
      <c r="E1080" t="s">
        <v>117</v>
      </c>
      <c r="F1080" t="s">
        <v>99</v>
      </c>
      <c r="H1080" t="s">
        <v>99</v>
      </c>
      <c r="I1080">
        <v>2</v>
      </c>
      <c r="J1080" t="s">
        <v>104</v>
      </c>
      <c r="K1080" s="19">
        <v>0.3125</v>
      </c>
      <c r="L1080" s="19">
        <v>0.60416666666666663</v>
      </c>
      <c r="M1080">
        <v>7</v>
      </c>
      <c r="N1080">
        <v>0</v>
      </c>
      <c r="O1080">
        <v>0</v>
      </c>
      <c r="P1080">
        <v>0</v>
      </c>
      <c r="Q1080" t="s">
        <v>99</v>
      </c>
      <c r="R1080">
        <v>30</v>
      </c>
      <c r="S1080" s="19">
        <v>0.58333333333333337</v>
      </c>
      <c r="U1080" s="19"/>
      <c r="V1080" t="s">
        <v>99</v>
      </c>
      <c r="W1080">
        <v>6.5</v>
      </c>
      <c r="X1080" t="s">
        <v>102</v>
      </c>
      <c r="Y1080" t="b">
        <v>0</v>
      </c>
    </row>
    <row r="1081" spans="1:25" x14ac:dyDescent="0.55000000000000004">
      <c r="A1081" t="s">
        <v>94</v>
      </c>
      <c r="B1081" t="s">
        <v>291</v>
      </c>
      <c r="C1081" t="s">
        <v>292</v>
      </c>
      <c r="D1081" t="s">
        <v>148</v>
      </c>
      <c r="E1081" t="s">
        <v>117</v>
      </c>
      <c r="F1081" t="s">
        <v>99</v>
      </c>
      <c r="H1081" t="s">
        <v>99</v>
      </c>
      <c r="I1081">
        <v>2</v>
      </c>
      <c r="J1081" t="s">
        <v>105</v>
      </c>
      <c r="K1081" s="19">
        <v>0.3125</v>
      </c>
      <c r="L1081" s="19">
        <v>0.60416666666666663</v>
      </c>
      <c r="M1081">
        <v>14</v>
      </c>
      <c r="N1081">
        <v>0</v>
      </c>
      <c r="O1081">
        <v>0</v>
      </c>
      <c r="P1081">
        <v>0</v>
      </c>
      <c r="Q1081" t="s">
        <v>99</v>
      </c>
      <c r="R1081">
        <v>60</v>
      </c>
      <c r="S1081" s="19">
        <v>0.58333333333333337</v>
      </c>
      <c r="U1081" s="19"/>
      <c r="V1081" t="s">
        <v>99</v>
      </c>
      <c r="W1081">
        <v>13</v>
      </c>
      <c r="X1081" t="s">
        <v>102</v>
      </c>
      <c r="Y1081" t="b">
        <v>0</v>
      </c>
    </row>
    <row r="1082" spans="1:25" x14ac:dyDescent="0.55000000000000004">
      <c r="A1082" t="s">
        <v>94</v>
      </c>
      <c r="B1082" t="s">
        <v>291</v>
      </c>
      <c r="C1082" t="s">
        <v>292</v>
      </c>
      <c r="D1082" t="s">
        <v>148</v>
      </c>
      <c r="E1082" t="s">
        <v>117</v>
      </c>
      <c r="F1082" t="s">
        <v>99</v>
      </c>
      <c r="G1082">
        <v>21857</v>
      </c>
      <c r="H1082" t="s">
        <v>293</v>
      </c>
      <c r="I1082">
        <v>1</v>
      </c>
      <c r="J1082" t="s">
        <v>101</v>
      </c>
      <c r="K1082" s="19">
        <v>0.29166666666666669</v>
      </c>
      <c r="L1082" s="19">
        <v>0.60416666666666663</v>
      </c>
      <c r="M1082">
        <v>7.5</v>
      </c>
      <c r="N1082">
        <v>167.44</v>
      </c>
      <c r="O1082">
        <v>30</v>
      </c>
      <c r="P1082">
        <v>76</v>
      </c>
      <c r="Q1082" t="s">
        <v>99</v>
      </c>
      <c r="R1082">
        <v>30</v>
      </c>
      <c r="S1082" s="19">
        <v>0.5</v>
      </c>
      <c r="U1082" s="19"/>
      <c r="V1082" t="s">
        <v>99</v>
      </c>
      <c r="W1082">
        <v>7</v>
      </c>
      <c r="X1082" t="s">
        <v>102</v>
      </c>
      <c r="Y1082" t="b">
        <v>0</v>
      </c>
    </row>
    <row r="1083" spans="1:25" x14ac:dyDescent="0.55000000000000004">
      <c r="A1083" t="s">
        <v>94</v>
      </c>
      <c r="B1083" t="s">
        <v>291</v>
      </c>
      <c r="C1083" t="s">
        <v>292</v>
      </c>
      <c r="D1083" t="s">
        <v>148</v>
      </c>
      <c r="E1083" t="s">
        <v>117</v>
      </c>
      <c r="F1083" t="s">
        <v>99</v>
      </c>
      <c r="G1083">
        <v>21857</v>
      </c>
      <c r="H1083" t="s">
        <v>293</v>
      </c>
      <c r="I1083">
        <v>1</v>
      </c>
      <c r="J1083" t="s">
        <v>104</v>
      </c>
      <c r="K1083" s="19">
        <v>0.3125</v>
      </c>
      <c r="L1083" s="19">
        <v>0.60416666666666663</v>
      </c>
      <c r="M1083">
        <v>7</v>
      </c>
      <c r="N1083">
        <v>155.47999999999999</v>
      </c>
      <c r="O1083">
        <v>30</v>
      </c>
      <c r="P1083">
        <v>76</v>
      </c>
      <c r="Q1083" t="s">
        <v>99</v>
      </c>
      <c r="R1083">
        <v>30</v>
      </c>
      <c r="S1083" s="19">
        <v>0.5</v>
      </c>
      <c r="U1083" s="19"/>
      <c r="V1083" t="s">
        <v>99</v>
      </c>
      <c r="W1083">
        <v>6.5</v>
      </c>
      <c r="X1083" t="s">
        <v>102</v>
      </c>
      <c r="Y1083" t="b">
        <v>0</v>
      </c>
    </row>
    <row r="1084" spans="1:25" x14ac:dyDescent="0.55000000000000004">
      <c r="A1084" t="s">
        <v>94</v>
      </c>
      <c r="B1084" t="s">
        <v>291</v>
      </c>
      <c r="C1084" t="s">
        <v>292</v>
      </c>
      <c r="D1084" t="s">
        <v>148</v>
      </c>
      <c r="E1084" t="s">
        <v>117</v>
      </c>
      <c r="F1084" t="s">
        <v>99</v>
      </c>
      <c r="G1084">
        <v>21857</v>
      </c>
      <c r="H1084" t="s">
        <v>293</v>
      </c>
      <c r="I1084">
        <v>1</v>
      </c>
      <c r="J1084" t="s">
        <v>105</v>
      </c>
      <c r="K1084" s="19">
        <v>0.3125</v>
      </c>
      <c r="L1084" s="19">
        <v>0.60416666666666663</v>
      </c>
      <c r="M1084">
        <v>7</v>
      </c>
      <c r="N1084">
        <v>155.47999999999999</v>
      </c>
      <c r="O1084">
        <v>30</v>
      </c>
      <c r="P1084">
        <v>76</v>
      </c>
      <c r="Q1084" t="s">
        <v>99</v>
      </c>
      <c r="R1084">
        <v>30</v>
      </c>
      <c r="S1084" s="19">
        <v>0.52083333333333337</v>
      </c>
      <c r="U1084" s="19"/>
      <c r="V1084" t="s">
        <v>99</v>
      </c>
      <c r="W1084">
        <v>6.5</v>
      </c>
      <c r="X1084" t="s">
        <v>102</v>
      </c>
      <c r="Y1084" t="b">
        <v>0</v>
      </c>
    </row>
    <row r="1085" spans="1:25" x14ac:dyDescent="0.55000000000000004">
      <c r="A1085" t="s">
        <v>94</v>
      </c>
      <c r="B1085" t="s">
        <v>291</v>
      </c>
      <c r="C1085" t="s">
        <v>292</v>
      </c>
      <c r="D1085" t="s">
        <v>148</v>
      </c>
      <c r="E1085" t="s">
        <v>117</v>
      </c>
      <c r="F1085" t="s">
        <v>99</v>
      </c>
      <c r="G1085">
        <v>21857</v>
      </c>
      <c r="H1085" t="s">
        <v>293</v>
      </c>
      <c r="I1085">
        <v>2</v>
      </c>
      <c r="J1085" t="s">
        <v>101</v>
      </c>
      <c r="K1085" s="19">
        <v>0.29166666666666669</v>
      </c>
      <c r="L1085" s="19">
        <v>0.60416666666666663</v>
      </c>
      <c r="M1085">
        <v>7.5</v>
      </c>
      <c r="N1085">
        <v>167.44</v>
      </c>
      <c r="O1085">
        <v>30</v>
      </c>
      <c r="P1085">
        <v>76</v>
      </c>
      <c r="Q1085" t="s">
        <v>99</v>
      </c>
      <c r="R1085">
        <v>30</v>
      </c>
      <c r="S1085" s="19">
        <v>0.5</v>
      </c>
      <c r="U1085" s="19"/>
      <c r="V1085" t="s">
        <v>99</v>
      </c>
      <c r="W1085">
        <v>7</v>
      </c>
      <c r="X1085" t="s">
        <v>102</v>
      </c>
      <c r="Y1085" t="b">
        <v>0</v>
      </c>
    </row>
    <row r="1086" spans="1:25" x14ac:dyDescent="0.55000000000000004">
      <c r="A1086" t="s">
        <v>94</v>
      </c>
      <c r="B1086" t="s">
        <v>291</v>
      </c>
      <c r="C1086" t="s">
        <v>292</v>
      </c>
      <c r="D1086" t="s">
        <v>148</v>
      </c>
      <c r="E1086" t="s">
        <v>117</v>
      </c>
      <c r="F1086" t="s">
        <v>99</v>
      </c>
      <c r="G1086">
        <v>21857</v>
      </c>
      <c r="H1086" t="s">
        <v>293</v>
      </c>
      <c r="I1086">
        <v>2</v>
      </c>
      <c r="J1086" t="s">
        <v>104</v>
      </c>
      <c r="K1086" s="19">
        <v>0.3125</v>
      </c>
      <c r="L1086" s="19">
        <v>0.60416666666666663</v>
      </c>
      <c r="M1086">
        <v>7</v>
      </c>
      <c r="N1086">
        <v>155.47999999999999</v>
      </c>
      <c r="O1086">
        <v>30</v>
      </c>
      <c r="P1086">
        <v>76</v>
      </c>
      <c r="Q1086" t="s">
        <v>99</v>
      </c>
      <c r="R1086">
        <v>30</v>
      </c>
      <c r="S1086" s="19">
        <v>0.52083333333333337</v>
      </c>
      <c r="U1086" s="19"/>
      <c r="V1086" t="s">
        <v>99</v>
      </c>
      <c r="W1086">
        <v>6.5</v>
      </c>
      <c r="X1086" t="s">
        <v>102</v>
      </c>
      <c r="Y1086" t="b">
        <v>0</v>
      </c>
    </row>
    <row r="1087" spans="1:25" x14ac:dyDescent="0.55000000000000004">
      <c r="A1087" t="s">
        <v>94</v>
      </c>
      <c r="B1087" t="s">
        <v>294</v>
      </c>
      <c r="C1087" t="s">
        <v>292</v>
      </c>
      <c r="D1087" t="s">
        <v>97</v>
      </c>
      <c r="E1087" t="s">
        <v>98</v>
      </c>
      <c r="F1087" t="s">
        <v>99</v>
      </c>
      <c r="G1087">
        <v>15710</v>
      </c>
      <c r="H1087" t="s">
        <v>295</v>
      </c>
      <c r="I1087">
        <v>1</v>
      </c>
      <c r="J1087" t="s">
        <v>107</v>
      </c>
      <c r="K1087" s="19">
        <v>0.33333333333333331</v>
      </c>
      <c r="L1087" s="19">
        <v>0.66666666666666663</v>
      </c>
      <c r="M1087">
        <v>8</v>
      </c>
      <c r="N1087">
        <v>202.87</v>
      </c>
      <c r="O1087">
        <v>76</v>
      </c>
      <c r="P1087">
        <v>76</v>
      </c>
      <c r="Q1087" t="s">
        <v>99</v>
      </c>
      <c r="R1087">
        <v>30</v>
      </c>
      <c r="S1087" s="19">
        <v>0.54166666666666663</v>
      </c>
      <c r="U1087" s="19"/>
      <c r="V1087" t="s">
        <v>99</v>
      </c>
      <c r="W1087">
        <v>7.5</v>
      </c>
      <c r="X1087" t="s">
        <v>102</v>
      </c>
      <c r="Y1087" t="b">
        <v>0</v>
      </c>
    </row>
    <row r="1088" spans="1:25" x14ac:dyDescent="0.55000000000000004">
      <c r="A1088" t="s">
        <v>94</v>
      </c>
      <c r="B1088" t="s">
        <v>294</v>
      </c>
      <c r="C1088" t="s">
        <v>292</v>
      </c>
      <c r="D1088" t="s">
        <v>97</v>
      </c>
      <c r="E1088" t="s">
        <v>98</v>
      </c>
      <c r="F1088" t="s">
        <v>99</v>
      </c>
      <c r="G1088">
        <v>15710</v>
      </c>
      <c r="H1088" t="s">
        <v>295</v>
      </c>
      <c r="I1088">
        <v>1</v>
      </c>
      <c r="J1088" t="s">
        <v>101</v>
      </c>
      <c r="K1088" s="19">
        <v>0.33333333333333331</v>
      </c>
      <c r="L1088" s="19">
        <v>0.6875</v>
      </c>
      <c r="M1088">
        <v>8.5</v>
      </c>
      <c r="N1088">
        <v>216.4</v>
      </c>
      <c r="O1088">
        <v>76</v>
      </c>
      <c r="P1088">
        <v>76</v>
      </c>
      <c r="Q1088" t="s">
        <v>99</v>
      </c>
      <c r="R1088">
        <v>30</v>
      </c>
      <c r="S1088" s="19">
        <v>0.54166666666666663</v>
      </c>
      <c r="U1088" s="19"/>
      <c r="V1088" t="s">
        <v>99</v>
      </c>
      <c r="W1088">
        <v>8</v>
      </c>
      <c r="X1088" t="s">
        <v>102</v>
      </c>
      <c r="Y1088" t="b">
        <v>0</v>
      </c>
    </row>
    <row r="1089" spans="1:25" x14ac:dyDescent="0.55000000000000004">
      <c r="A1089" t="s">
        <v>94</v>
      </c>
      <c r="B1089" t="s">
        <v>294</v>
      </c>
      <c r="C1089" t="s">
        <v>292</v>
      </c>
      <c r="D1089" t="s">
        <v>97</v>
      </c>
      <c r="E1089" t="s">
        <v>98</v>
      </c>
      <c r="F1089" t="s">
        <v>99</v>
      </c>
      <c r="G1089">
        <v>15710</v>
      </c>
      <c r="H1089" t="s">
        <v>295</v>
      </c>
      <c r="I1089">
        <v>1</v>
      </c>
      <c r="J1089" t="s">
        <v>103</v>
      </c>
      <c r="K1089" s="19">
        <v>0.33333333333333331</v>
      </c>
      <c r="L1089" s="19">
        <v>0.66666666666666663</v>
      </c>
      <c r="M1089">
        <v>8</v>
      </c>
      <c r="N1089">
        <v>202.87</v>
      </c>
      <c r="O1089">
        <v>76</v>
      </c>
      <c r="P1089">
        <v>76</v>
      </c>
      <c r="Q1089" t="s">
        <v>99</v>
      </c>
      <c r="R1089">
        <v>30</v>
      </c>
      <c r="S1089" s="19">
        <v>0.54166666666666663</v>
      </c>
      <c r="U1089" s="19"/>
      <c r="V1089" t="s">
        <v>99</v>
      </c>
      <c r="W1089">
        <v>7.5</v>
      </c>
      <c r="X1089" t="s">
        <v>102</v>
      </c>
      <c r="Y1089" t="b">
        <v>0</v>
      </c>
    </row>
    <row r="1090" spans="1:25" x14ac:dyDescent="0.55000000000000004">
      <c r="A1090" t="s">
        <v>94</v>
      </c>
      <c r="B1090" t="s">
        <v>294</v>
      </c>
      <c r="C1090" t="s">
        <v>292</v>
      </c>
      <c r="D1090" t="s">
        <v>97</v>
      </c>
      <c r="E1090" t="s">
        <v>98</v>
      </c>
      <c r="F1090" t="s">
        <v>99</v>
      </c>
      <c r="G1090">
        <v>15710</v>
      </c>
      <c r="H1090" t="s">
        <v>295</v>
      </c>
      <c r="I1090">
        <v>1</v>
      </c>
      <c r="J1090" t="s">
        <v>104</v>
      </c>
      <c r="K1090" s="19">
        <v>0.33333333333333331</v>
      </c>
      <c r="L1090" s="19">
        <v>0.66666666666666663</v>
      </c>
      <c r="M1090">
        <v>8</v>
      </c>
      <c r="N1090">
        <v>202.87</v>
      </c>
      <c r="O1090">
        <v>76</v>
      </c>
      <c r="P1090">
        <v>76</v>
      </c>
      <c r="Q1090" t="s">
        <v>99</v>
      </c>
      <c r="R1090">
        <v>30</v>
      </c>
      <c r="S1090" s="19">
        <v>0.54166666666666663</v>
      </c>
      <c r="U1090" s="19"/>
      <c r="V1090" t="s">
        <v>99</v>
      </c>
      <c r="W1090">
        <v>7.5</v>
      </c>
      <c r="X1090" t="s">
        <v>102</v>
      </c>
      <c r="Y1090" t="b">
        <v>0</v>
      </c>
    </row>
    <row r="1091" spans="1:25" x14ac:dyDescent="0.55000000000000004">
      <c r="A1091" t="s">
        <v>94</v>
      </c>
      <c r="B1091" t="s">
        <v>294</v>
      </c>
      <c r="C1091" t="s">
        <v>292</v>
      </c>
      <c r="D1091" t="s">
        <v>97</v>
      </c>
      <c r="E1091" t="s">
        <v>98</v>
      </c>
      <c r="F1091" t="s">
        <v>99</v>
      </c>
      <c r="G1091">
        <v>15710</v>
      </c>
      <c r="H1091" t="s">
        <v>295</v>
      </c>
      <c r="I1091">
        <v>1</v>
      </c>
      <c r="J1091" t="s">
        <v>105</v>
      </c>
      <c r="K1091" s="19">
        <v>0.33333333333333331</v>
      </c>
      <c r="L1091" s="19">
        <v>0.66666666666666663</v>
      </c>
      <c r="M1091">
        <v>8</v>
      </c>
      <c r="N1091">
        <v>202.87</v>
      </c>
      <c r="O1091">
        <v>76</v>
      </c>
      <c r="P1091">
        <v>76</v>
      </c>
      <c r="Q1091" t="s">
        <v>99</v>
      </c>
      <c r="R1091">
        <v>30</v>
      </c>
      <c r="S1091" s="19">
        <v>0.54166666666666663</v>
      </c>
      <c r="U1091" s="19"/>
      <c r="V1091" t="s">
        <v>99</v>
      </c>
      <c r="W1091">
        <v>7.5</v>
      </c>
      <c r="X1091" t="s">
        <v>102</v>
      </c>
      <c r="Y1091" t="b">
        <v>0</v>
      </c>
    </row>
    <row r="1092" spans="1:25" x14ac:dyDescent="0.55000000000000004">
      <c r="A1092" t="s">
        <v>94</v>
      </c>
      <c r="B1092" t="s">
        <v>294</v>
      </c>
      <c r="C1092" t="s">
        <v>292</v>
      </c>
      <c r="D1092" t="s">
        <v>97</v>
      </c>
      <c r="E1092" t="s">
        <v>98</v>
      </c>
      <c r="F1092" t="s">
        <v>99</v>
      </c>
      <c r="G1092">
        <v>15710</v>
      </c>
      <c r="H1092" t="s">
        <v>295</v>
      </c>
      <c r="I1092">
        <v>2</v>
      </c>
      <c r="J1092" t="s">
        <v>107</v>
      </c>
      <c r="K1092" s="19">
        <v>0.33333333333333331</v>
      </c>
      <c r="L1092" s="19">
        <v>0.66666666666666663</v>
      </c>
      <c r="M1092">
        <v>8</v>
      </c>
      <c r="N1092">
        <v>202.87</v>
      </c>
      <c r="O1092">
        <v>76</v>
      </c>
      <c r="P1092">
        <v>76</v>
      </c>
      <c r="Q1092" t="s">
        <v>99</v>
      </c>
      <c r="R1092">
        <v>30</v>
      </c>
      <c r="S1092" s="19">
        <v>0.54166666666666663</v>
      </c>
      <c r="U1092" s="19"/>
      <c r="V1092" t="s">
        <v>99</v>
      </c>
      <c r="W1092">
        <v>7.5</v>
      </c>
      <c r="X1092" t="s">
        <v>102</v>
      </c>
      <c r="Y1092" t="b">
        <v>0</v>
      </c>
    </row>
    <row r="1093" spans="1:25" x14ac:dyDescent="0.55000000000000004">
      <c r="A1093" t="s">
        <v>94</v>
      </c>
      <c r="B1093" t="s">
        <v>294</v>
      </c>
      <c r="C1093" t="s">
        <v>292</v>
      </c>
      <c r="D1093" t="s">
        <v>97</v>
      </c>
      <c r="E1093" t="s">
        <v>98</v>
      </c>
      <c r="F1093" t="s">
        <v>99</v>
      </c>
      <c r="G1093">
        <v>15710</v>
      </c>
      <c r="H1093" t="s">
        <v>295</v>
      </c>
      <c r="I1093">
        <v>2</v>
      </c>
      <c r="J1093" t="s">
        <v>101</v>
      </c>
      <c r="K1093" s="19">
        <v>0.33333333333333331</v>
      </c>
      <c r="L1093" s="19">
        <v>0.6875</v>
      </c>
      <c r="M1093">
        <v>8.5</v>
      </c>
      <c r="N1093">
        <v>216.4</v>
      </c>
      <c r="O1093">
        <v>76</v>
      </c>
      <c r="P1093">
        <v>76</v>
      </c>
      <c r="Q1093" t="s">
        <v>99</v>
      </c>
      <c r="R1093">
        <v>30</v>
      </c>
      <c r="S1093" s="19">
        <v>0.54166666666666663</v>
      </c>
      <c r="U1093" s="19"/>
      <c r="V1093" t="s">
        <v>99</v>
      </c>
      <c r="W1093">
        <v>8</v>
      </c>
      <c r="X1093" t="s">
        <v>102</v>
      </c>
      <c r="Y1093" t="b">
        <v>0</v>
      </c>
    </row>
    <row r="1094" spans="1:25" x14ac:dyDescent="0.55000000000000004">
      <c r="A1094" t="s">
        <v>94</v>
      </c>
      <c r="B1094" t="s">
        <v>294</v>
      </c>
      <c r="C1094" t="s">
        <v>292</v>
      </c>
      <c r="D1094" t="s">
        <v>97</v>
      </c>
      <c r="E1094" t="s">
        <v>98</v>
      </c>
      <c r="F1094" t="s">
        <v>99</v>
      </c>
      <c r="G1094">
        <v>15710</v>
      </c>
      <c r="H1094" t="s">
        <v>295</v>
      </c>
      <c r="I1094">
        <v>2</v>
      </c>
      <c r="J1094" t="s">
        <v>103</v>
      </c>
      <c r="K1094" s="19">
        <v>0.33333333333333331</v>
      </c>
      <c r="L1094" s="19">
        <v>0.66666666666666663</v>
      </c>
      <c r="M1094">
        <v>8</v>
      </c>
      <c r="N1094">
        <v>202.87</v>
      </c>
      <c r="O1094">
        <v>76</v>
      </c>
      <c r="P1094">
        <v>76</v>
      </c>
      <c r="Q1094" t="s">
        <v>99</v>
      </c>
      <c r="R1094">
        <v>30</v>
      </c>
      <c r="S1094" s="19">
        <v>0.54166666666666663</v>
      </c>
      <c r="U1094" s="19"/>
      <c r="V1094" t="s">
        <v>99</v>
      </c>
      <c r="W1094">
        <v>7.5</v>
      </c>
      <c r="X1094" t="s">
        <v>102</v>
      </c>
      <c r="Y1094" t="b">
        <v>0</v>
      </c>
    </row>
    <row r="1095" spans="1:25" x14ac:dyDescent="0.55000000000000004">
      <c r="A1095" t="s">
        <v>94</v>
      </c>
      <c r="B1095" t="s">
        <v>294</v>
      </c>
      <c r="C1095" t="s">
        <v>292</v>
      </c>
      <c r="D1095" t="s">
        <v>97</v>
      </c>
      <c r="E1095" t="s">
        <v>98</v>
      </c>
      <c r="F1095" t="s">
        <v>99</v>
      </c>
      <c r="G1095">
        <v>15710</v>
      </c>
      <c r="H1095" t="s">
        <v>295</v>
      </c>
      <c r="I1095">
        <v>2</v>
      </c>
      <c r="J1095" t="s">
        <v>104</v>
      </c>
      <c r="K1095" s="19">
        <v>0.33333333333333331</v>
      </c>
      <c r="L1095" s="19">
        <v>0.66666666666666663</v>
      </c>
      <c r="M1095">
        <v>8</v>
      </c>
      <c r="N1095">
        <v>202.87</v>
      </c>
      <c r="O1095">
        <v>76</v>
      </c>
      <c r="P1095">
        <v>76</v>
      </c>
      <c r="Q1095" t="s">
        <v>99</v>
      </c>
      <c r="R1095">
        <v>30</v>
      </c>
      <c r="S1095" s="19">
        <v>0.54166666666666663</v>
      </c>
      <c r="U1095" s="19"/>
      <c r="V1095" t="s">
        <v>99</v>
      </c>
      <c r="W1095">
        <v>7.5</v>
      </c>
      <c r="X1095" t="s">
        <v>102</v>
      </c>
      <c r="Y1095" t="b">
        <v>0</v>
      </c>
    </row>
    <row r="1096" spans="1:25" x14ac:dyDescent="0.55000000000000004">
      <c r="A1096" t="s">
        <v>94</v>
      </c>
      <c r="B1096" t="s">
        <v>294</v>
      </c>
      <c r="C1096" t="s">
        <v>292</v>
      </c>
      <c r="D1096" t="s">
        <v>97</v>
      </c>
      <c r="E1096" t="s">
        <v>98</v>
      </c>
      <c r="F1096" t="s">
        <v>99</v>
      </c>
      <c r="G1096">
        <v>15710</v>
      </c>
      <c r="H1096" t="s">
        <v>295</v>
      </c>
      <c r="I1096">
        <v>2</v>
      </c>
      <c r="J1096" t="s">
        <v>105</v>
      </c>
      <c r="K1096" s="19">
        <v>0.33333333333333331</v>
      </c>
      <c r="L1096" s="19">
        <v>0.66666666666666663</v>
      </c>
      <c r="M1096">
        <v>8</v>
      </c>
      <c r="N1096">
        <v>202.87</v>
      </c>
      <c r="O1096">
        <v>76</v>
      </c>
      <c r="P1096">
        <v>76</v>
      </c>
      <c r="Q1096" t="s">
        <v>99</v>
      </c>
      <c r="R1096">
        <v>30</v>
      </c>
      <c r="S1096" s="19">
        <v>0.54166666666666663</v>
      </c>
      <c r="U1096" s="19"/>
      <c r="V1096" t="s">
        <v>99</v>
      </c>
      <c r="W1096">
        <v>7.5</v>
      </c>
      <c r="X1096" t="s">
        <v>102</v>
      </c>
      <c r="Y1096" t="b">
        <v>0</v>
      </c>
    </row>
    <row r="1097" spans="1:25" x14ac:dyDescent="0.55000000000000004">
      <c r="A1097" t="s">
        <v>94</v>
      </c>
      <c r="B1097" t="s">
        <v>296</v>
      </c>
      <c r="C1097" t="s">
        <v>292</v>
      </c>
      <c r="D1097" t="s">
        <v>111</v>
      </c>
      <c r="E1097" t="s">
        <v>112</v>
      </c>
      <c r="F1097" t="s">
        <v>99</v>
      </c>
      <c r="G1097">
        <v>15702</v>
      </c>
      <c r="H1097" t="s">
        <v>297</v>
      </c>
      <c r="I1097">
        <v>1</v>
      </c>
      <c r="J1097" t="s">
        <v>107</v>
      </c>
      <c r="K1097" s="19">
        <v>0.25</v>
      </c>
      <c r="L1097" s="19">
        <v>0.60416666666666663</v>
      </c>
      <c r="M1097">
        <v>8.5</v>
      </c>
      <c r="N1097">
        <v>233.52</v>
      </c>
      <c r="O1097">
        <v>72</v>
      </c>
      <c r="P1097">
        <v>76</v>
      </c>
      <c r="Q1097" t="s">
        <v>99</v>
      </c>
      <c r="R1097">
        <v>30</v>
      </c>
      <c r="S1097" s="19">
        <v>0.45833333333333331</v>
      </c>
      <c r="U1097" s="19">
        <v>0.41666666666666669</v>
      </c>
      <c r="V1097" t="s">
        <v>99</v>
      </c>
      <c r="W1097">
        <v>8</v>
      </c>
      <c r="X1097" t="s">
        <v>102</v>
      </c>
      <c r="Y1097" t="b">
        <v>0</v>
      </c>
    </row>
    <row r="1098" spans="1:25" x14ac:dyDescent="0.55000000000000004">
      <c r="A1098" t="s">
        <v>94</v>
      </c>
      <c r="B1098" t="s">
        <v>296</v>
      </c>
      <c r="C1098" t="s">
        <v>292</v>
      </c>
      <c r="D1098" t="s">
        <v>111</v>
      </c>
      <c r="E1098" t="s">
        <v>112</v>
      </c>
      <c r="F1098" t="s">
        <v>99</v>
      </c>
      <c r="G1098">
        <v>15702</v>
      </c>
      <c r="H1098" t="s">
        <v>297</v>
      </c>
      <c r="I1098">
        <v>1</v>
      </c>
      <c r="J1098" t="s">
        <v>101</v>
      </c>
      <c r="K1098" s="19">
        <v>0.25</v>
      </c>
      <c r="L1098" s="19">
        <v>0.60416666666666663</v>
      </c>
      <c r="M1098">
        <v>8.5</v>
      </c>
      <c r="N1098">
        <v>233.52</v>
      </c>
      <c r="O1098">
        <v>72</v>
      </c>
      <c r="P1098">
        <v>76</v>
      </c>
      <c r="Q1098" t="s">
        <v>99</v>
      </c>
      <c r="R1098">
        <v>30</v>
      </c>
      <c r="S1098" s="19">
        <v>0.45833333333333331</v>
      </c>
      <c r="U1098" s="19"/>
      <c r="V1098" t="s">
        <v>99</v>
      </c>
      <c r="W1098">
        <v>8</v>
      </c>
      <c r="X1098" t="s">
        <v>102</v>
      </c>
      <c r="Y1098" t="b">
        <v>0</v>
      </c>
    </row>
    <row r="1099" spans="1:25" x14ac:dyDescent="0.55000000000000004">
      <c r="A1099" t="s">
        <v>94</v>
      </c>
      <c r="B1099" t="s">
        <v>296</v>
      </c>
      <c r="C1099" t="s">
        <v>292</v>
      </c>
      <c r="D1099" t="s">
        <v>111</v>
      </c>
      <c r="E1099" t="s">
        <v>112</v>
      </c>
      <c r="F1099" t="s">
        <v>99</v>
      </c>
      <c r="G1099">
        <v>15702</v>
      </c>
      <c r="H1099" t="s">
        <v>297</v>
      </c>
      <c r="I1099">
        <v>1</v>
      </c>
      <c r="J1099" t="s">
        <v>115</v>
      </c>
      <c r="K1099" s="19">
        <v>0.25</v>
      </c>
      <c r="L1099" s="19">
        <v>0.60416666666666663</v>
      </c>
      <c r="M1099">
        <v>8.5</v>
      </c>
      <c r="N1099">
        <v>350.28</v>
      </c>
      <c r="O1099">
        <v>72</v>
      </c>
      <c r="P1099">
        <v>76</v>
      </c>
      <c r="Q1099" t="s">
        <v>99</v>
      </c>
      <c r="R1099">
        <v>30</v>
      </c>
      <c r="S1099" s="19">
        <v>0.45833333333333331</v>
      </c>
      <c r="U1099" s="19">
        <v>0.41666666666666669</v>
      </c>
      <c r="V1099" t="s">
        <v>99</v>
      </c>
      <c r="W1099">
        <v>8</v>
      </c>
      <c r="X1099" t="s">
        <v>102</v>
      </c>
      <c r="Y1099" t="b">
        <v>0</v>
      </c>
    </row>
    <row r="1100" spans="1:25" x14ac:dyDescent="0.55000000000000004">
      <c r="A1100" t="s">
        <v>94</v>
      </c>
      <c r="B1100" t="s">
        <v>296</v>
      </c>
      <c r="C1100" t="s">
        <v>292</v>
      </c>
      <c r="D1100" t="s">
        <v>111</v>
      </c>
      <c r="E1100" t="s">
        <v>112</v>
      </c>
      <c r="F1100" t="s">
        <v>99</v>
      </c>
      <c r="G1100">
        <v>15702</v>
      </c>
      <c r="H1100" t="s">
        <v>297</v>
      </c>
      <c r="I1100">
        <v>1</v>
      </c>
      <c r="J1100" t="s">
        <v>116</v>
      </c>
      <c r="K1100" s="19">
        <v>0.25</v>
      </c>
      <c r="L1100" s="19">
        <v>0.60416666666666663</v>
      </c>
      <c r="M1100">
        <v>8.5</v>
      </c>
      <c r="N1100">
        <v>408.66</v>
      </c>
      <c r="O1100">
        <v>72</v>
      </c>
      <c r="P1100">
        <v>76</v>
      </c>
      <c r="Q1100" t="s">
        <v>99</v>
      </c>
      <c r="R1100">
        <v>30</v>
      </c>
      <c r="S1100" s="19">
        <v>0.45833333333333331</v>
      </c>
      <c r="U1100" s="19">
        <v>0.41666666666666669</v>
      </c>
      <c r="V1100" t="s">
        <v>99</v>
      </c>
      <c r="W1100">
        <v>8</v>
      </c>
      <c r="X1100" t="s">
        <v>102</v>
      </c>
      <c r="Y1100" t="b">
        <v>0</v>
      </c>
    </row>
    <row r="1101" spans="1:25" x14ac:dyDescent="0.55000000000000004">
      <c r="A1101" t="s">
        <v>94</v>
      </c>
      <c r="B1101" t="s">
        <v>296</v>
      </c>
      <c r="C1101" t="s">
        <v>292</v>
      </c>
      <c r="D1101" t="s">
        <v>111</v>
      </c>
      <c r="E1101" t="s">
        <v>112</v>
      </c>
      <c r="F1101" t="s">
        <v>99</v>
      </c>
      <c r="G1101">
        <v>15702</v>
      </c>
      <c r="H1101" t="s">
        <v>297</v>
      </c>
      <c r="I1101">
        <v>1</v>
      </c>
      <c r="J1101" t="s">
        <v>103</v>
      </c>
      <c r="K1101" s="19">
        <v>0.25</v>
      </c>
      <c r="L1101" s="19">
        <v>0.60416666666666663</v>
      </c>
      <c r="M1101">
        <v>8.5</v>
      </c>
      <c r="N1101">
        <v>233.52</v>
      </c>
      <c r="O1101">
        <v>72</v>
      </c>
      <c r="P1101">
        <v>76</v>
      </c>
      <c r="Q1101" t="s">
        <v>99</v>
      </c>
      <c r="R1101">
        <v>30</v>
      </c>
      <c r="S1101" s="19">
        <v>0.45833333333333331</v>
      </c>
      <c r="U1101" s="19">
        <v>0.41666666666666669</v>
      </c>
      <c r="V1101" t="s">
        <v>99</v>
      </c>
      <c r="W1101">
        <v>8</v>
      </c>
      <c r="X1101" t="s">
        <v>102</v>
      </c>
      <c r="Y1101" t="b">
        <v>0</v>
      </c>
    </row>
    <row r="1102" spans="1:25" x14ac:dyDescent="0.55000000000000004">
      <c r="A1102" t="s">
        <v>94</v>
      </c>
      <c r="B1102" t="s">
        <v>296</v>
      </c>
      <c r="C1102" t="s">
        <v>292</v>
      </c>
      <c r="D1102" t="s">
        <v>111</v>
      </c>
      <c r="E1102" t="s">
        <v>112</v>
      </c>
      <c r="F1102" t="s">
        <v>99</v>
      </c>
      <c r="G1102">
        <v>15702</v>
      </c>
      <c r="H1102" t="s">
        <v>297</v>
      </c>
      <c r="I1102">
        <v>2</v>
      </c>
      <c r="J1102" t="s">
        <v>107</v>
      </c>
      <c r="K1102" s="19">
        <v>0.25</v>
      </c>
      <c r="L1102" s="19">
        <v>0.60416666666666663</v>
      </c>
      <c r="M1102">
        <v>8.5</v>
      </c>
      <c r="N1102">
        <v>233.52</v>
      </c>
      <c r="O1102">
        <v>72</v>
      </c>
      <c r="P1102">
        <v>76</v>
      </c>
      <c r="Q1102" t="s">
        <v>99</v>
      </c>
      <c r="R1102">
        <v>30</v>
      </c>
      <c r="S1102" s="19">
        <v>0.45833333333333331</v>
      </c>
      <c r="U1102" s="19">
        <v>0.41666666666666669</v>
      </c>
      <c r="V1102" t="s">
        <v>99</v>
      </c>
      <c r="W1102">
        <v>8</v>
      </c>
      <c r="X1102" t="s">
        <v>102</v>
      </c>
      <c r="Y1102" t="b">
        <v>0</v>
      </c>
    </row>
    <row r="1103" spans="1:25" x14ac:dyDescent="0.55000000000000004">
      <c r="A1103" t="s">
        <v>94</v>
      </c>
      <c r="B1103" t="s">
        <v>296</v>
      </c>
      <c r="C1103" t="s">
        <v>292</v>
      </c>
      <c r="D1103" t="s">
        <v>111</v>
      </c>
      <c r="E1103" t="s">
        <v>112</v>
      </c>
      <c r="F1103" t="s">
        <v>99</v>
      </c>
      <c r="G1103">
        <v>15702</v>
      </c>
      <c r="H1103" t="s">
        <v>297</v>
      </c>
      <c r="I1103">
        <v>2</v>
      </c>
      <c r="J1103" t="s">
        <v>115</v>
      </c>
      <c r="K1103" s="19">
        <v>0.25</v>
      </c>
      <c r="L1103" s="19">
        <v>0.60416666666666663</v>
      </c>
      <c r="M1103">
        <v>8.5</v>
      </c>
      <c r="N1103">
        <v>350.28</v>
      </c>
      <c r="O1103">
        <v>72</v>
      </c>
      <c r="P1103">
        <v>76</v>
      </c>
      <c r="Q1103" t="s">
        <v>99</v>
      </c>
      <c r="R1103">
        <v>30</v>
      </c>
      <c r="S1103" s="19">
        <v>0.45833333333333331</v>
      </c>
      <c r="U1103" s="19">
        <v>0.41666666666666669</v>
      </c>
      <c r="V1103" t="s">
        <v>99</v>
      </c>
      <c r="W1103">
        <v>8</v>
      </c>
      <c r="X1103" t="s">
        <v>102</v>
      </c>
      <c r="Y1103" t="b">
        <v>0</v>
      </c>
    </row>
    <row r="1104" spans="1:25" x14ac:dyDescent="0.55000000000000004">
      <c r="A1104" t="s">
        <v>94</v>
      </c>
      <c r="B1104" t="s">
        <v>296</v>
      </c>
      <c r="C1104" t="s">
        <v>292</v>
      </c>
      <c r="D1104" t="s">
        <v>111</v>
      </c>
      <c r="E1104" t="s">
        <v>112</v>
      </c>
      <c r="F1104" t="s">
        <v>99</v>
      </c>
      <c r="G1104">
        <v>15702</v>
      </c>
      <c r="H1104" t="s">
        <v>297</v>
      </c>
      <c r="I1104">
        <v>2</v>
      </c>
      <c r="J1104" t="s">
        <v>116</v>
      </c>
      <c r="K1104" s="19">
        <v>0.25</v>
      </c>
      <c r="L1104" s="19">
        <v>0.60416666666666663</v>
      </c>
      <c r="M1104">
        <v>8.5</v>
      </c>
      <c r="N1104">
        <v>408.66</v>
      </c>
      <c r="O1104">
        <v>72</v>
      </c>
      <c r="P1104">
        <v>76</v>
      </c>
      <c r="Q1104" t="s">
        <v>99</v>
      </c>
      <c r="R1104">
        <v>30</v>
      </c>
      <c r="S1104" s="19">
        <v>0.45833333333333331</v>
      </c>
      <c r="U1104" s="19">
        <v>0.41666666666666669</v>
      </c>
      <c r="V1104" t="s">
        <v>99</v>
      </c>
      <c r="W1104">
        <v>8</v>
      </c>
      <c r="X1104" t="s">
        <v>102</v>
      </c>
      <c r="Y1104" t="b">
        <v>0</v>
      </c>
    </row>
    <row r="1105" spans="1:25" x14ac:dyDescent="0.55000000000000004">
      <c r="A1105" t="s">
        <v>94</v>
      </c>
      <c r="B1105" t="s">
        <v>296</v>
      </c>
      <c r="C1105" t="s">
        <v>292</v>
      </c>
      <c r="D1105" t="s">
        <v>111</v>
      </c>
      <c r="E1105" t="s">
        <v>112</v>
      </c>
      <c r="F1105" t="s">
        <v>99</v>
      </c>
      <c r="G1105">
        <v>15702</v>
      </c>
      <c r="H1105" t="s">
        <v>297</v>
      </c>
      <c r="I1105">
        <v>2</v>
      </c>
      <c r="J1105" t="s">
        <v>103</v>
      </c>
      <c r="K1105" s="19">
        <v>0.25</v>
      </c>
      <c r="L1105" s="19">
        <v>0.60416666666666663</v>
      </c>
      <c r="M1105">
        <v>8.5</v>
      </c>
      <c r="N1105">
        <v>233.52</v>
      </c>
      <c r="O1105">
        <v>72</v>
      </c>
      <c r="P1105">
        <v>76</v>
      </c>
      <c r="Q1105" t="s">
        <v>99</v>
      </c>
      <c r="R1105">
        <v>30</v>
      </c>
      <c r="S1105" s="19">
        <v>0.45833333333333331</v>
      </c>
      <c r="U1105" s="19">
        <v>0.41666666666666669</v>
      </c>
      <c r="V1105" t="s">
        <v>99</v>
      </c>
      <c r="W1105">
        <v>8</v>
      </c>
      <c r="X1105" t="s">
        <v>102</v>
      </c>
      <c r="Y1105" t="b">
        <v>0</v>
      </c>
    </row>
    <row r="1106" spans="1:25" x14ac:dyDescent="0.55000000000000004">
      <c r="A1106" t="s">
        <v>94</v>
      </c>
      <c r="B1106" t="s">
        <v>296</v>
      </c>
      <c r="C1106" t="s">
        <v>292</v>
      </c>
      <c r="D1106" t="s">
        <v>111</v>
      </c>
      <c r="E1106" t="s">
        <v>117</v>
      </c>
      <c r="F1106" t="s">
        <v>99</v>
      </c>
      <c r="H1106" t="s">
        <v>99</v>
      </c>
      <c r="I1106">
        <v>1</v>
      </c>
      <c r="J1106" t="s">
        <v>116</v>
      </c>
      <c r="K1106" s="19">
        <v>0.25</v>
      </c>
      <c r="L1106" s="19">
        <v>0.60416666666666663</v>
      </c>
      <c r="M1106">
        <v>8.5</v>
      </c>
      <c r="N1106">
        <v>388.78</v>
      </c>
      <c r="O1106">
        <v>0</v>
      </c>
      <c r="P1106">
        <v>0</v>
      </c>
      <c r="Q1106" t="s">
        <v>99</v>
      </c>
      <c r="R1106">
        <v>30</v>
      </c>
      <c r="S1106" s="19">
        <v>0.45833333333333331</v>
      </c>
      <c r="U1106" s="19"/>
      <c r="V1106" t="s">
        <v>99</v>
      </c>
      <c r="W1106">
        <v>8</v>
      </c>
      <c r="X1106" t="s">
        <v>102</v>
      </c>
      <c r="Y1106" t="b">
        <v>0</v>
      </c>
    </row>
    <row r="1107" spans="1:25" x14ac:dyDescent="0.55000000000000004">
      <c r="A1107" t="s">
        <v>94</v>
      </c>
      <c r="B1107" t="s">
        <v>296</v>
      </c>
      <c r="C1107" t="s">
        <v>292</v>
      </c>
      <c r="D1107" t="s">
        <v>111</v>
      </c>
      <c r="E1107" t="s">
        <v>117</v>
      </c>
      <c r="F1107" t="s">
        <v>99</v>
      </c>
      <c r="H1107" t="s">
        <v>99</v>
      </c>
      <c r="I1107">
        <v>2</v>
      </c>
      <c r="J1107" t="s">
        <v>101</v>
      </c>
      <c r="K1107" s="19">
        <v>0.25</v>
      </c>
      <c r="L1107" s="19">
        <v>0.60416666666666663</v>
      </c>
      <c r="M1107">
        <v>8.5</v>
      </c>
      <c r="N1107">
        <v>222.16</v>
      </c>
      <c r="O1107">
        <v>0</v>
      </c>
      <c r="P1107">
        <v>0</v>
      </c>
      <c r="Q1107" t="s">
        <v>99</v>
      </c>
      <c r="R1107">
        <v>30</v>
      </c>
      <c r="S1107" s="19">
        <v>0.45833333333333331</v>
      </c>
      <c r="U1107" s="19"/>
      <c r="V1107" t="s">
        <v>99</v>
      </c>
      <c r="W1107">
        <v>8</v>
      </c>
      <c r="X1107" t="s">
        <v>102</v>
      </c>
      <c r="Y1107" t="b">
        <v>0</v>
      </c>
    </row>
    <row r="1108" spans="1:25" x14ac:dyDescent="0.55000000000000004">
      <c r="A1108" t="s">
        <v>94</v>
      </c>
      <c r="B1108" t="s">
        <v>296</v>
      </c>
      <c r="C1108" t="s">
        <v>292</v>
      </c>
      <c r="D1108" t="s">
        <v>111</v>
      </c>
      <c r="E1108" t="s">
        <v>117</v>
      </c>
      <c r="F1108" t="s">
        <v>99</v>
      </c>
      <c r="H1108" t="s">
        <v>99</v>
      </c>
      <c r="I1108">
        <v>2</v>
      </c>
      <c r="J1108" t="s">
        <v>115</v>
      </c>
      <c r="K1108" s="19">
        <v>0.25</v>
      </c>
      <c r="L1108" s="19">
        <v>0.60416666666666663</v>
      </c>
      <c r="M1108">
        <v>8.5</v>
      </c>
      <c r="N1108">
        <v>333.24</v>
      </c>
      <c r="O1108">
        <v>0</v>
      </c>
      <c r="P1108">
        <v>0</v>
      </c>
      <c r="Q1108" t="s">
        <v>99</v>
      </c>
      <c r="R1108">
        <v>30</v>
      </c>
      <c r="S1108" s="19">
        <v>0.45833333333333331</v>
      </c>
      <c r="U1108" s="19"/>
      <c r="V1108" t="s">
        <v>99</v>
      </c>
      <c r="W1108">
        <v>8</v>
      </c>
      <c r="X1108" t="s">
        <v>102</v>
      </c>
      <c r="Y1108" t="b">
        <v>0</v>
      </c>
    </row>
    <row r="1109" spans="1:25" x14ac:dyDescent="0.55000000000000004">
      <c r="A1109" t="s">
        <v>94</v>
      </c>
      <c r="B1109" t="s">
        <v>296</v>
      </c>
      <c r="C1109" t="s">
        <v>292</v>
      </c>
      <c r="D1109" t="s">
        <v>111</v>
      </c>
      <c r="E1109" t="s">
        <v>117</v>
      </c>
      <c r="F1109" t="s">
        <v>99</v>
      </c>
      <c r="H1109" t="s">
        <v>99</v>
      </c>
      <c r="I1109">
        <v>2</v>
      </c>
      <c r="J1109" t="s">
        <v>116</v>
      </c>
      <c r="K1109" s="19">
        <v>0.25</v>
      </c>
      <c r="L1109" s="19">
        <v>0.60416666666666663</v>
      </c>
      <c r="M1109">
        <v>8.5</v>
      </c>
      <c r="N1109">
        <v>388.78</v>
      </c>
      <c r="O1109">
        <v>0</v>
      </c>
      <c r="P1109">
        <v>0</v>
      </c>
      <c r="Q1109" t="s">
        <v>99</v>
      </c>
      <c r="R1109">
        <v>30</v>
      </c>
      <c r="S1109" s="19">
        <v>0.45833333333333331</v>
      </c>
      <c r="U1109" s="19"/>
      <c r="V1109" t="s">
        <v>99</v>
      </c>
      <c r="W1109">
        <v>8</v>
      </c>
      <c r="X1109" t="s">
        <v>102</v>
      </c>
      <c r="Y1109" t="b">
        <v>0</v>
      </c>
    </row>
    <row r="1110" spans="1:25" x14ac:dyDescent="0.55000000000000004">
      <c r="A1110" t="s">
        <v>94</v>
      </c>
      <c r="B1110" t="s">
        <v>296</v>
      </c>
      <c r="C1110" t="s">
        <v>292</v>
      </c>
      <c r="D1110" t="s">
        <v>111</v>
      </c>
      <c r="E1110" t="s">
        <v>117</v>
      </c>
      <c r="F1110" t="s">
        <v>99</v>
      </c>
      <c r="G1110">
        <v>19009</v>
      </c>
      <c r="H1110" t="s">
        <v>298</v>
      </c>
      <c r="I1110">
        <v>1</v>
      </c>
      <c r="J1110" t="s">
        <v>107</v>
      </c>
      <c r="K1110" s="19">
        <v>0.45833333333333331</v>
      </c>
      <c r="L1110" s="19">
        <v>0.8125</v>
      </c>
      <c r="M1110">
        <v>8.5</v>
      </c>
      <c r="N1110">
        <v>228.96</v>
      </c>
      <c r="O1110">
        <v>60</v>
      </c>
      <c r="P1110">
        <v>76</v>
      </c>
      <c r="Q1110" t="s">
        <v>99</v>
      </c>
      <c r="R1110">
        <v>30</v>
      </c>
      <c r="S1110" s="19">
        <v>0.58333333333333337</v>
      </c>
      <c r="U1110" s="19"/>
      <c r="V1110" t="s">
        <v>99</v>
      </c>
      <c r="W1110">
        <v>8</v>
      </c>
      <c r="X1110" t="s">
        <v>102</v>
      </c>
      <c r="Y1110" t="b">
        <v>0</v>
      </c>
    </row>
    <row r="1111" spans="1:25" x14ac:dyDescent="0.55000000000000004">
      <c r="A1111" t="s">
        <v>94</v>
      </c>
      <c r="B1111" t="s">
        <v>296</v>
      </c>
      <c r="C1111" t="s">
        <v>292</v>
      </c>
      <c r="D1111" t="s">
        <v>111</v>
      </c>
      <c r="E1111" t="s">
        <v>117</v>
      </c>
      <c r="F1111" t="s">
        <v>99</v>
      </c>
      <c r="G1111">
        <v>19009</v>
      </c>
      <c r="H1111" t="s">
        <v>298</v>
      </c>
      <c r="I1111">
        <v>1</v>
      </c>
      <c r="J1111" t="s">
        <v>101</v>
      </c>
      <c r="K1111" s="19">
        <v>0.25</v>
      </c>
      <c r="L1111" s="19">
        <v>0.60416666666666663</v>
      </c>
      <c r="M1111">
        <v>8.5</v>
      </c>
      <c r="N1111">
        <v>228.96</v>
      </c>
      <c r="O1111">
        <v>60</v>
      </c>
      <c r="P1111">
        <v>76</v>
      </c>
      <c r="Q1111" t="s">
        <v>99</v>
      </c>
      <c r="R1111">
        <v>30</v>
      </c>
      <c r="S1111" s="19">
        <v>0.45833333333333331</v>
      </c>
      <c r="U1111" s="19"/>
      <c r="V1111" t="s">
        <v>99</v>
      </c>
      <c r="W1111">
        <v>8</v>
      </c>
      <c r="X1111" t="s">
        <v>102</v>
      </c>
      <c r="Y1111" t="b">
        <v>0</v>
      </c>
    </row>
    <row r="1112" spans="1:25" x14ac:dyDescent="0.55000000000000004">
      <c r="A1112" t="s">
        <v>94</v>
      </c>
      <c r="B1112" t="s">
        <v>296</v>
      </c>
      <c r="C1112" t="s">
        <v>292</v>
      </c>
      <c r="D1112" t="s">
        <v>111</v>
      </c>
      <c r="E1112" t="s">
        <v>117</v>
      </c>
      <c r="F1112" t="s">
        <v>99</v>
      </c>
      <c r="G1112">
        <v>19009</v>
      </c>
      <c r="H1112" t="s">
        <v>298</v>
      </c>
      <c r="I1112">
        <v>1</v>
      </c>
      <c r="J1112" t="s">
        <v>103</v>
      </c>
      <c r="K1112" s="19">
        <v>0.45833333333333331</v>
      </c>
      <c r="L1112" s="19">
        <v>0.8125</v>
      </c>
      <c r="M1112">
        <v>8.5</v>
      </c>
      <c r="N1112">
        <v>228.96</v>
      </c>
      <c r="O1112">
        <v>60</v>
      </c>
      <c r="P1112">
        <v>76</v>
      </c>
      <c r="Q1112" t="s">
        <v>99</v>
      </c>
      <c r="R1112">
        <v>30</v>
      </c>
      <c r="S1112" s="19">
        <v>0.58333333333333337</v>
      </c>
      <c r="U1112" s="19"/>
      <c r="V1112" t="s">
        <v>99</v>
      </c>
      <c r="W1112">
        <v>8</v>
      </c>
      <c r="X1112" t="s">
        <v>102</v>
      </c>
      <c r="Y1112" t="b">
        <v>0</v>
      </c>
    </row>
    <row r="1113" spans="1:25" x14ac:dyDescent="0.55000000000000004">
      <c r="A1113" t="s">
        <v>94</v>
      </c>
      <c r="B1113" t="s">
        <v>296</v>
      </c>
      <c r="C1113" t="s">
        <v>292</v>
      </c>
      <c r="D1113" t="s">
        <v>111</v>
      </c>
      <c r="E1113" t="s">
        <v>117</v>
      </c>
      <c r="F1113" t="s">
        <v>99</v>
      </c>
      <c r="G1113">
        <v>19009</v>
      </c>
      <c r="H1113" t="s">
        <v>298</v>
      </c>
      <c r="I1113">
        <v>1</v>
      </c>
      <c r="J1113" t="s">
        <v>104</v>
      </c>
      <c r="K1113" s="19">
        <v>0.25</v>
      </c>
      <c r="L1113" s="19">
        <v>0.60416666666666663</v>
      </c>
      <c r="M1113">
        <v>8.5</v>
      </c>
      <c r="N1113">
        <v>228.96</v>
      </c>
      <c r="O1113">
        <v>60</v>
      </c>
      <c r="P1113">
        <v>76</v>
      </c>
      <c r="Q1113" t="s">
        <v>99</v>
      </c>
      <c r="R1113">
        <v>30</v>
      </c>
      <c r="S1113" s="19">
        <v>0.45833333333333331</v>
      </c>
      <c r="U1113" s="19">
        <v>0.41666666666666669</v>
      </c>
      <c r="V1113" t="s">
        <v>99</v>
      </c>
      <c r="W1113">
        <v>8</v>
      </c>
      <c r="X1113" t="s">
        <v>102</v>
      </c>
      <c r="Y1113" t="b">
        <v>0</v>
      </c>
    </row>
    <row r="1114" spans="1:25" x14ac:dyDescent="0.55000000000000004">
      <c r="A1114" t="s">
        <v>94</v>
      </c>
      <c r="B1114" t="s">
        <v>296</v>
      </c>
      <c r="C1114" t="s">
        <v>292</v>
      </c>
      <c r="D1114" t="s">
        <v>111</v>
      </c>
      <c r="E1114" t="s">
        <v>117</v>
      </c>
      <c r="F1114" t="s">
        <v>99</v>
      </c>
      <c r="G1114">
        <v>19009</v>
      </c>
      <c r="H1114" t="s">
        <v>298</v>
      </c>
      <c r="I1114">
        <v>1</v>
      </c>
      <c r="J1114" t="s">
        <v>105</v>
      </c>
      <c r="K1114" s="19">
        <v>0.25</v>
      </c>
      <c r="L1114" s="19">
        <v>0.60416666666666663</v>
      </c>
      <c r="M1114">
        <v>8.5</v>
      </c>
      <c r="N1114">
        <v>228.96</v>
      </c>
      <c r="O1114">
        <v>60</v>
      </c>
      <c r="P1114">
        <v>76</v>
      </c>
      <c r="Q1114" t="s">
        <v>99</v>
      </c>
      <c r="R1114">
        <v>30</v>
      </c>
      <c r="S1114" s="19">
        <v>0.45833333333333331</v>
      </c>
      <c r="U1114" s="19"/>
      <c r="V1114" t="s">
        <v>99</v>
      </c>
      <c r="W1114">
        <v>8</v>
      </c>
      <c r="X1114" t="s">
        <v>102</v>
      </c>
      <c r="Y1114" t="b">
        <v>0</v>
      </c>
    </row>
    <row r="1115" spans="1:25" x14ac:dyDescent="0.55000000000000004">
      <c r="A1115" t="s">
        <v>94</v>
      </c>
      <c r="B1115" t="s">
        <v>296</v>
      </c>
      <c r="C1115" t="s">
        <v>292</v>
      </c>
      <c r="D1115" t="s">
        <v>111</v>
      </c>
      <c r="E1115" t="s">
        <v>117</v>
      </c>
      <c r="F1115" t="s">
        <v>99</v>
      </c>
      <c r="G1115">
        <v>19009</v>
      </c>
      <c r="H1115" t="s">
        <v>298</v>
      </c>
      <c r="I1115">
        <v>2</v>
      </c>
      <c r="J1115" t="s">
        <v>107</v>
      </c>
      <c r="K1115" s="19">
        <v>0.45833333333333331</v>
      </c>
      <c r="L1115" s="19">
        <v>0.8125</v>
      </c>
      <c r="M1115">
        <v>8.5</v>
      </c>
      <c r="N1115">
        <v>228.96</v>
      </c>
      <c r="O1115">
        <v>60</v>
      </c>
      <c r="P1115">
        <v>76</v>
      </c>
      <c r="Q1115" t="s">
        <v>99</v>
      </c>
      <c r="R1115">
        <v>30</v>
      </c>
      <c r="S1115" s="19">
        <v>0.58333333333333337</v>
      </c>
      <c r="U1115" s="19"/>
      <c r="V1115" t="s">
        <v>99</v>
      </c>
      <c r="W1115">
        <v>8</v>
      </c>
      <c r="X1115" t="s">
        <v>102</v>
      </c>
      <c r="Y1115" t="b">
        <v>0</v>
      </c>
    </row>
    <row r="1116" spans="1:25" x14ac:dyDescent="0.55000000000000004">
      <c r="A1116" t="s">
        <v>94</v>
      </c>
      <c r="B1116" t="s">
        <v>296</v>
      </c>
      <c r="C1116" t="s">
        <v>292</v>
      </c>
      <c r="D1116" t="s">
        <v>111</v>
      </c>
      <c r="E1116" t="s">
        <v>117</v>
      </c>
      <c r="F1116" t="s">
        <v>99</v>
      </c>
      <c r="G1116">
        <v>19009</v>
      </c>
      <c r="H1116" t="s">
        <v>298</v>
      </c>
      <c r="I1116">
        <v>2</v>
      </c>
      <c r="J1116" t="s">
        <v>101</v>
      </c>
      <c r="K1116" s="19">
        <v>0.45833333333333331</v>
      </c>
      <c r="L1116" s="19">
        <v>0.8125</v>
      </c>
      <c r="M1116">
        <v>8.5</v>
      </c>
      <c r="N1116">
        <v>228.96</v>
      </c>
      <c r="O1116">
        <v>60</v>
      </c>
      <c r="P1116">
        <v>76</v>
      </c>
      <c r="Q1116" t="s">
        <v>99</v>
      </c>
      <c r="R1116">
        <v>30</v>
      </c>
      <c r="S1116" s="19">
        <v>0.58333333333333337</v>
      </c>
      <c r="U1116" s="19"/>
      <c r="V1116" t="s">
        <v>99</v>
      </c>
      <c r="W1116">
        <v>8</v>
      </c>
      <c r="X1116" t="s">
        <v>102</v>
      </c>
      <c r="Y1116" t="b">
        <v>0</v>
      </c>
    </row>
    <row r="1117" spans="1:25" x14ac:dyDescent="0.55000000000000004">
      <c r="A1117" t="s">
        <v>94</v>
      </c>
      <c r="B1117" t="s">
        <v>296</v>
      </c>
      <c r="C1117" t="s">
        <v>292</v>
      </c>
      <c r="D1117" t="s">
        <v>111</v>
      </c>
      <c r="E1117" t="s">
        <v>117</v>
      </c>
      <c r="F1117" t="s">
        <v>99</v>
      </c>
      <c r="G1117">
        <v>19009</v>
      </c>
      <c r="H1117" t="s">
        <v>298</v>
      </c>
      <c r="I1117">
        <v>2</v>
      </c>
      <c r="J1117" t="s">
        <v>115</v>
      </c>
      <c r="K1117" s="19">
        <v>0.45833333333333331</v>
      </c>
      <c r="L1117" s="19">
        <v>0.8125</v>
      </c>
      <c r="M1117">
        <v>8.5</v>
      </c>
      <c r="N1117">
        <v>343.44</v>
      </c>
      <c r="O1117">
        <v>60</v>
      </c>
      <c r="P1117">
        <v>76</v>
      </c>
      <c r="Q1117" t="s">
        <v>99</v>
      </c>
      <c r="R1117">
        <v>30</v>
      </c>
      <c r="S1117" s="19">
        <v>0.58333333333333337</v>
      </c>
      <c r="U1117" s="19"/>
      <c r="V1117" t="s">
        <v>99</v>
      </c>
      <c r="W1117">
        <v>8</v>
      </c>
      <c r="X1117" t="s">
        <v>102</v>
      </c>
      <c r="Y1117" t="b">
        <v>0</v>
      </c>
    </row>
    <row r="1118" spans="1:25" x14ac:dyDescent="0.55000000000000004">
      <c r="A1118" t="s">
        <v>94</v>
      </c>
      <c r="B1118" t="s">
        <v>296</v>
      </c>
      <c r="C1118" t="s">
        <v>292</v>
      </c>
      <c r="D1118" t="s">
        <v>111</v>
      </c>
      <c r="E1118" t="s">
        <v>117</v>
      </c>
      <c r="F1118" t="s">
        <v>99</v>
      </c>
      <c r="G1118">
        <v>19009</v>
      </c>
      <c r="H1118" t="s">
        <v>298</v>
      </c>
      <c r="I1118">
        <v>2</v>
      </c>
      <c r="J1118" t="s">
        <v>116</v>
      </c>
      <c r="K1118" s="19">
        <v>0.45833333333333331</v>
      </c>
      <c r="L1118" s="19">
        <v>0.8125</v>
      </c>
      <c r="M1118">
        <v>8.5</v>
      </c>
      <c r="N1118">
        <v>400.68</v>
      </c>
      <c r="O1118">
        <v>60</v>
      </c>
      <c r="P1118">
        <v>76</v>
      </c>
      <c r="Q1118" t="s">
        <v>99</v>
      </c>
      <c r="R1118">
        <v>30</v>
      </c>
      <c r="S1118" s="19">
        <v>0.58333333333333337</v>
      </c>
      <c r="U1118" s="19"/>
      <c r="V1118" t="s">
        <v>99</v>
      </c>
      <c r="W1118">
        <v>8</v>
      </c>
      <c r="X1118" t="s">
        <v>102</v>
      </c>
      <c r="Y1118" t="b">
        <v>0</v>
      </c>
    </row>
    <row r="1119" spans="1:25" x14ac:dyDescent="0.55000000000000004">
      <c r="A1119" t="s">
        <v>94</v>
      </c>
      <c r="B1119" t="s">
        <v>296</v>
      </c>
      <c r="C1119" t="s">
        <v>292</v>
      </c>
      <c r="D1119" t="s">
        <v>111</v>
      </c>
      <c r="E1119" t="s">
        <v>117</v>
      </c>
      <c r="F1119" t="s">
        <v>99</v>
      </c>
      <c r="G1119">
        <v>19615</v>
      </c>
      <c r="H1119" t="s">
        <v>299</v>
      </c>
      <c r="I1119">
        <v>1</v>
      </c>
      <c r="J1119" t="s">
        <v>107</v>
      </c>
      <c r="K1119" s="19">
        <v>0.25</v>
      </c>
      <c r="L1119" s="19">
        <v>0.60416666666666663</v>
      </c>
      <c r="M1119">
        <v>8.5</v>
      </c>
      <c r="N1119">
        <v>228.96</v>
      </c>
      <c r="O1119">
        <v>60</v>
      </c>
      <c r="P1119">
        <v>76</v>
      </c>
      <c r="Q1119" t="s">
        <v>99</v>
      </c>
      <c r="R1119">
        <v>30</v>
      </c>
      <c r="S1119" s="19">
        <v>0.45833333333333331</v>
      </c>
      <c r="U1119" s="19"/>
      <c r="V1119" t="s">
        <v>99</v>
      </c>
      <c r="W1119">
        <v>8</v>
      </c>
      <c r="X1119" t="s">
        <v>102</v>
      </c>
      <c r="Y1119" t="b">
        <v>0</v>
      </c>
    </row>
    <row r="1120" spans="1:25" x14ac:dyDescent="0.55000000000000004">
      <c r="A1120" t="s">
        <v>94</v>
      </c>
      <c r="B1120" t="s">
        <v>296</v>
      </c>
      <c r="C1120" t="s">
        <v>292</v>
      </c>
      <c r="D1120" t="s">
        <v>111</v>
      </c>
      <c r="E1120" t="s">
        <v>117</v>
      </c>
      <c r="F1120" t="s">
        <v>99</v>
      </c>
      <c r="G1120">
        <v>19615</v>
      </c>
      <c r="H1120" t="s">
        <v>299</v>
      </c>
      <c r="I1120">
        <v>1</v>
      </c>
      <c r="J1120" t="s">
        <v>115</v>
      </c>
      <c r="K1120" s="19">
        <v>0.25</v>
      </c>
      <c r="L1120" s="19">
        <v>0.60416666666666663</v>
      </c>
      <c r="M1120">
        <v>8.5</v>
      </c>
      <c r="N1120">
        <v>343.44</v>
      </c>
      <c r="O1120">
        <v>60</v>
      </c>
      <c r="P1120">
        <v>76</v>
      </c>
      <c r="Q1120" t="s">
        <v>99</v>
      </c>
      <c r="R1120">
        <v>30</v>
      </c>
      <c r="S1120" s="19">
        <v>0.45833333333333331</v>
      </c>
      <c r="U1120" s="19"/>
      <c r="V1120" t="s">
        <v>99</v>
      </c>
      <c r="W1120">
        <v>8</v>
      </c>
      <c r="X1120" t="s">
        <v>102</v>
      </c>
      <c r="Y1120" t="b">
        <v>0</v>
      </c>
    </row>
    <row r="1121" spans="1:25" x14ac:dyDescent="0.55000000000000004">
      <c r="A1121" t="s">
        <v>94</v>
      </c>
      <c r="B1121" t="s">
        <v>296</v>
      </c>
      <c r="C1121" t="s">
        <v>292</v>
      </c>
      <c r="D1121" t="s">
        <v>111</v>
      </c>
      <c r="E1121" t="s">
        <v>117</v>
      </c>
      <c r="F1121" t="s">
        <v>99</v>
      </c>
      <c r="G1121">
        <v>19615</v>
      </c>
      <c r="H1121" t="s">
        <v>299</v>
      </c>
      <c r="I1121">
        <v>1</v>
      </c>
      <c r="J1121" t="s">
        <v>116</v>
      </c>
      <c r="K1121" s="19">
        <v>0.45833333333333331</v>
      </c>
      <c r="L1121" s="19">
        <v>0.8125</v>
      </c>
      <c r="M1121">
        <v>8.5</v>
      </c>
      <c r="N1121">
        <v>400.68</v>
      </c>
      <c r="O1121">
        <v>60</v>
      </c>
      <c r="P1121">
        <v>76</v>
      </c>
      <c r="Q1121" t="s">
        <v>99</v>
      </c>
      <c r="R1121">
        <v>30</v>
      </c>
      <c r="S1121" s="19">
        <v>0.58333333333333337</v>
      </c>
      <c r="U1121" s="19"/>
      <c r="V1121" t="s">
        <v>99</v>
      </c>
      <c r="W1121">
        <v>8</v>
      </c>
      <c r="X1121" t="s">
        <v>102</v>
      </c>
      <c r="Y1121" t="b">
        <v>0</v>
      </c>
    </row>
    <row r="1122" spans="1:25" x14ac:dyDescent="0.55000000000000004">
      <c r="A1122" t="s">
        <v>94</v>
      </c>
      <c r="B1122" t="s">
        <v>296</v>
      </c>
      <c r="C1122" t="s">
        <v>292</v>
      </c>
      <c r="D1122" t="s">
        <v>111</v>
      </c>
      <c r="E1122" t="s">
        <v>117</v>
      </c>
      <c r="F1122" t="s">
        <v>99</v>
      </c>
      <c r="G1122">
        <v>19615</v>
      </c>
      <c r="H1122" t="s">
        <v>299</v>
      </c>
      <c r="I1122">
        <v>1</v>
      </c>
      <c r="J1122" t="s">
        <v>103</v>
      </c>
      <c r="K1122" s="19">
        <v>0.25</v>
      </c>
      <c r="L1122" s="19">
        <v>0.60416666666666663</v>
      </c>
      <c r="M1122">
        <v>8.5</v>
      </c>
      <c r="N1122">
        <v>228.96</v>
      </c>
      <c r="O1122">
        <v>60</v>
      </c>
      <c r="P1122">
        <v>76</v>
      </c>
      <c r="Q1122" t="s">
        <v>99</v>
      </c>
      <c r="R1122">
        <v>30</v>
      </c>
      <c r="S1122" s="19">
        <v>0.45833333333333331</v>
      </c>
      <c r="U1122" s="19"/>
      <c r="V1122" t="s">
        <v>99</v>
      </c>
      <c r="W1122">
        <v>8</v>
      </c>
      <c r="X1122" t="s">
        <v>102</v>
      </c>
      <c r="Y1122" t="b">
        <v>0</v>
      </c>
    </row>
    <row r="1123" spans="1:25" x14ac:dyDescent="0.55000000000000004">
      <c r="A1123" t="s">
        <v>94</v>
      </c>
      <c r="B1123" t="s">
        <v>296</v>
      </c>
      <c r="C1123" t="s">
        <v>292</v>
      </c>
      <c r="D1123" t="s">
        <v>111</v>
      </c>
      <c r="E1123" t="s">
        <v>117</v>
      </c>
      <c r="F1123" t="s">
        <v>99</v>
      </c>
      <c r="G1123">
        <v>19615</v>
      </c>
      <c r="H1123" t="s">
        <v>299</v>
      </c>
      <c r="I1123">
        <v>2</v>
      </c>
      <c r="J1123" t="s">
        <v>107</v>
      </c>
      <c r="K1123" s="19">
        <v>0.25</v>
      </c>
      <c r="L1123" s="19">
        <v>0.60416666666666663</v>
      </c>
      <c r="M1123">
        <v>8.5</v>
      </c>
      <c r="N1123">
        <v>228.96</v>
      </c>
      <c r="O1123">
        <v>60</v>
      </c>
      <c r="P1123">
        <v>76</v>
      </c>
      <c r="Q1123" t="s">
        <v>99</v>
      </c>
      <c r="R1123">
        <v>30</v>
      </c>
      <c r="S1123" s="19">
        <v>0.45833333333333331</v>
      </c>
      <c r="U1123" s="19"/>
      <c r="V1123" t="s">
        <v>99</v>
      </c>
      <c r="W1123">
        <v>8</v>
      </c>
      <c r="X1123" t="s">
        <v>102</v>
      </c>
      <c r="Y1123" t="b">
        <v>0</v>
      </c>
    </row>
    <row r="1124" spans="1:25" x14ac:dyDescent="0.55000000000000004">
      <c r="A1124" t="s">
        <v>94</v>
      </c>
      <c r="B1124" t="s">
        <v>296</v>
      </c>
      <c r="C1124" t="s">
        <v>292</v>
      </c>
      <c r="D1124" t="s">
        <v>111</v>
      </c>
      <c r="E1124" t="s">
        <v>117</v>
      </c>
      <c r="F1124" t="s">
        <v>99</v>
      </c>
      <c r="G1124">
        <v>19615</v>
      </c>
      <c r="H1124" t="s">
        <v>299</v>
      </c>
      <c r="I1124">
        <v>2</v>
      </c>
      <c r="J1124" t="s">
        <v>103</v>
      </c>
      <c r="K1124" s="19">
        <v>0.25</v>
      </c>
      <c r="L1124" s="19">
        <v>0.60416666666666663</v>
      </c>
      <c r="M1124">
        <v>8.5</v>
      </c>
      <c r="N1124">
        <v>228.96</v>
      </c>
      <c r="O1124">
        <v>60</v>
      </c>
      <c r="P1124">
        <v>76</v>
      </c>
      <c r="Q1124" t="s">
        <v>99</v>
      </c>
      <c r="R1124">
        <v>30</v>
      </c>
      <c r="S1124" s="19">
        <v>0.45833333333333331</v>
      </c>
      <c r="U1124" s="19"/>
      <c r="V1124" t="s">
        <v>99</v>
      </c>
      <c r="W1124">
        <v>8</v>
      </c>
      <c r="X1124" t="s">
        <v>102</v>
      </c>
      <c r="Y1124" t="b">
        <v>0</v>
      </c>
    </row>
    <row r="1125" spans="1:25" x14ac:dyDescent="0.55000000000000004">
      <c r="A1125" t="s">
        <v>94</v>
      </c>
      <c r="B1125" t="s">
        <v>296</v>
      </c>
      <c r="C1125" t="s">
        <v>292</v>
      </c>
      <c r="D1125" t="s">
        <v>111</v>
      </c>
      <c r="E1125" t="s">
        <v>117</v>
      </c>
      <c r="F1125" t="s">
        <v>99</v>
      </c>
      <c r="G1125">
        <v>19615</v>
      </c>
      <c r="H1125" t="s">
        <v>299</v>
      </c>
      <c r="I1125">
        <v>2</v>
      </c>
      <c r="J1125" t="s">
        <v>104</v>
      </c>
      <c r="K1125" s="19">
        <v>0.25</v>
      </c>
      <c r="L1125" s="19">
        <v>0.60416666666666663</v>
      </c>
      <c r="M1125">
        <v>8.5</v>
      </c>
      <c r="N1125">
        <v>228.96</v>
      </c>
      <c r="O1125">
        <v>60</v>
      </c>
      <c r="P1125">
        <v>76</v>
      </c>
      <c r="Q1125" t="s">
        <v>99</v>
      </c>
      <c r="R1125">
        <v>30</v>
      </c>
      <c r="S1125" s="19">
        <v>0.45833333333333331</v>
      </c>
      <c r="U1125" s="19"/>
      <c r="V1125" t="s">
        <v>99</v>
      </c>
      <c r="W1125">
        <v>8</v>
      </c>
      <c r="X1125" t="s">
        <v>102</v>
      </c>
      <c r="Y1125" t="b">
        <v>0</v>
      </c>
    </row>
    <row r="1126" spans="1:25" x14ac:dyDescent="0.55000000000000004">
      <c r="A1126" t="s">
        <v>94</v>
      </c>
      <c r="B1126" t="s">
        <v>296</v>
      </c>
      <c r="C1126" t="s">
        <v>292</v>
      </c>
      <c r="D1126" t="s">
        <v>111</v>
      </c>
      <c r="E1126" t="s">
        <v>117</v>
      </c>
      <c r="F1126" t="s">
        <v>99</v>
      </c>
      <c r="G1126">
        <v>19615</v>
      </c>
      <c r="H1126" t="s">
        <v>299</v>
      </c>
      <c r="I1126">
        <v>2</v>
      </c>
      <c r="J1126" t="s">
        <v>105</v>
      </c>
      <c r="K1126" s="19">
        <v>0.25</v>
      </c>
      <c r="L1126" s="19">
        <v>0.60416666666666663</v>
      </c>
      <c r="M1126">
        <v>8.5</v>
      </c>
      <c r="N1126">
        <v>228.96</v>
      </c>
      <c r="O1126">
        <v>60</v>
      </c>
      <c r="P1126">
        <v>76</v>
      </c>
      <c r="Q1126" t="s">
        <v>99</v>
      </c>
      <c r="R1126">
        <v>30</v>
      </c>
      <c r="S1126" s="19">
        <v>0.45833333333333331</v>
      </c>
      <c r="U1126" s="19"/>
      <c r="V1126" t="s">
        <v>99</v>
      </c>
      <c r="W1126">
        <v>8</v>
      </c>
      <c r="X1126" t="s">
        <v>102</v>
      </c>
      <c r="Y1126" t="b">
        <v>0</v>
      </c>
    </row>
    <row r="1127" spans="1:25" x14ac:dyDescent="0.55000000000000004">
      <c r="A1127" t="s">
        <v>94</v>
      </c>
      <c r="B1127" t="s">
        <v>296</v>
      </c>
      <c r="C1127" t="s">
        <v>292</v>
      </c>
      <c r="D1127" t="s">
        <v>111</v>
      </c>
      <c r="E1127" t="s">
        <v>117</v>
      </c>
      <c r="F1127" t="s">
        <v>99</v>
      </c>
      <c r="G1127">
        <v>21597</v>
      </c>
      <c r="H1127" t="s">
        <v>300</v>
      </c>
      <c r="I1127">
        <v>1</v>
      </c>
      <c r="J1127" t="s">
        <v>101</v>
      </c>
      <c r="K1127" s="19">
        <v>0.45833333333333331</v>
      </c>
      <c r="L1127" s="19">
        <v>0.8125</v>
      </c>
      <c r="M1127">
        <v>8.5</v>
      </c>
      <c r="N1127">
        <v>228.96</v>
      </c>
      <c r="O1127">
        <v>48</v>
      </c>
      <c r="P1127">
        <v>76</v>
      </c>
      <c r="Q1127" t="s">
        <v>99</v>
      </c>
      <c r="R1127">
        <v>30</v>
      </c>
      <c r="S1127" s="19">
        <v>0.63541666666666663</v>
      </c>
      <c r="U1127" s="19"/>
      <c r="V1127" t="s">
        <v>99</v>
      </c>
      <c r="W1127">
        <v>8</v>
      </c>
      <c r="X1127" t="s">
        <v>102</v>
      </c>
      <c r="Y1127" t="b">
        <v>0</v>
      </c>
    </row>
    <row r="1128" spans="1:25" x14ac:dyDescent="0.55000000000000004">
      <c r="A1128" t="s">
        <v>94</v>
      </c>
      <c r="B1128" t="s">
        <v>296</v>
      </c>
      <c r="C1128" t="s">
        <v>292</v>
      </c>
      <c r="D1128" t="s">
        <v>111</v>
      </c>
      <c r="E1128" t="s">
        <v>117</v>
      </c>
      <c r="F1128" t="s">
        <v>99</v>
      </c>
      <c r="G1128">
        <v>21597</v>
      </c>
      <c r="H1128" t="s">
        <v>300</v>
      </c>
      <c r="I1128">
        <v>1</v>
      </c>
      <c r="J1128" t="s">
        <v>115</v>
      </c>
      <c r="K1128" s="19">
        <v>0.45833333333333331</v>
      </c>
      <c r="L1128" s="19">
        <v>0.8125</v>
      </c>
      <c r="M1128">
        <v>8.5</v>
      </c>
      <c r="N1128">
        <v>343.44</v>
      </c>
      <c r="O1128">
        <v>48</v>
      </c>
      <c r="P1128">
        <v>76</v>
      </c>
      <c r="Q1128" t="s">
        <v>99</v>
      </c>
      <c r="R1128">
        <v>30</v>
      </c>
      <c r="S1128" s="19">
        <v>0.58333333333333337</v>
      </c>
      <c r="U1128" s="19"/>
      <c r="V1128" t="s">
        <v>99</v>
      </c>
      <c r="W1128">
        <v>8</v>
      </c>
      <c r="X1128" t="s">
        <v>102</v>
      </c>
      <c r="Y1128" t="b">
        <v>0</v>
      </c>
    </row>
    <row r="1129" spans="1:25" x14ac:dyDescent="0.55000000000000004">
      <c r="A1129" t="s">
        <v>94</v>
      </c>
      <c r="B1129" t="s">
        <v>296</v>
      </c>
      <c r="C1129" t="s">
        <v>292</v>
      </c>
      <c r="D1129" t="s">
        <v>111</v>
      </c>
      <c r="E1129" t="s">
        <v>117</v>
      </c>
      <c r="F1129" t="s">
        <v>99</v>
      </c>
      <c r="G1129">
        <v>21597</v>
      </c>
      <c r="H1129" t="s">
        <v>300</v>
      </c>
      <c r="I1129">
        <v>1</v>
      </c>
      <c r="J1129" t="s">
        <v>104</v>
      </c>
      <c r="K1129" s="19">
        <v>0.45833333333333331</v>
      </c>
      <c r="L1129" s="19">
        <v>0.8125</v>
      </c>
      <c r="M1129">
        <v>8.5</v>
      </c>
      <c r="N1129">
        <v>228.96</v>
      </c>
      <c r="O1129">
        <v>48</v>
      </c>
      <c r="P1129">
        <v>76</v>
      </c>
      <c r="Q1129" t="s">
        <v>99</v>
      </c>
      <c r="R1129">
        <v>30</v>
      </c>
      <c r="S1129" s="19">
        <v>0.58333333333333337</v>
      </c>
      <c r="U1129" s="19"/>
      <c r="V1129" t="s">
        <v>99</v>
      </c>
      <c r="W1129">
        <v>8</v>
      </c>
      <c r="X1129" t="s">
        <v>102</v>
      </c>
      <c r="Y1129" t="b">
        <v>0</v>
      </c>
    </row>
    <row r="1130" spans="1:25" x14ac:dyDescent="0.55000000000000004">
      <c r="A1130" t="s">
        <v>94</v>
      </c>
      <c r="B1130" t="s">
        <v>296</v>
      </c>
      <c r="C1130" t="s">
        <v>292</v>
      </c>
      <c r="D1130" t="s">
        <v>111</v>
      </c>
      <c r="E1130" t="s">
        <v>117</v>
      </c>
      <c r="F1130" t="s">
        <v>99</v>
      </c>
      <c r="G1130">
        <v>21597</v>
      </c>
      <c r="H1130" t="s">
        <v>300</v>
      </c>
      <c r="I1130">
        <v>1</v>
      </c>
      <c r="J1130" t="s">
        <v>105</v>
      </c>
      <c r="K1130" s="19">
        <v>0.45833333333333331</v>
      </c>
      <c r="L1130" s="19">
        <v>0.8125</v>
      </c>
      <c r="M1130">
        <v>8.5</v>
      </c>
      <c r="N1130">
        <v>228.96</v>
      </c>
      <c r="O1130">
        <v>48</v>
      </c>
      <c r="P1130">
        <v>76</v>
      </c>
      <c r="Q1130" t="s">
        <v>99</v>
      </c>
      <c r="R1130">
        <v>30</v>
      </c>
      <c r="S1130" s="19">
        <v>0.58333333333333337</v>
      </c>
      <c r="U1130" s="19"/>
      <c r="V1130" t="s">
        <v>99</v>
      </c>
      <c r="W1130">
        <v>8</v>
      </c>
      <c r="X1130" t="s">
        <v>102</v>
      </c>
      <c r="Y1130" t="b">
        <v>0</v>
      </c>
    </row>
    <row r="1131" spans="1:25" x14ac:dyDescent="0.55000000000000004">
      <c r="A1131" t="s">
        <v>94</v>
      </c>
      <c r="B1131" t="s">
        <v>296</v>
      </c>
      <c r="C1131" t="s">
        <v>292</v>
      </c>
      <c r="D1131" t="s">
        <v>111</v>
      </c>
      <c r="E1131" t="s">
        <v>117</v>
      </c>
      <c r="F1131" t="s">
        <v>99</v>
      </c>
      <c r="G1131">
        <v>21597</v>
      </c>
      <c r="H1131" t="s">
        <v>300</v>
      </c>
      <c r="I1131">
        <v>2</v>
      </c>
      <c r="J1131" t="s">
        <v>103</v>
      </c>
      <c r="K1131" s="19">
        <v>0.45833333333333331</v>
      </c>
      <c r="L1131" s="19">
        <v>0.8125</v>
      </c>
      <c r="M1131">
        <v>8.5</v>
      </c>
      <c r="N1131">
        <v>228.96</v>
      </c>
      <c r="O1131">
        <v>48</v>
      </c>
      <c r="P1131">
        <v>76</v>
      </c>
      <c r="Q1131" t="s">
        <v>99</v>
      </c>
      <c r="R1131">
        <v>30</v>
      </c>
      <c r="S1131" s="19">
        <v>0.58333333333333337</v>
      </c>
      <c r="U1131" s="19"/>
      <c r="V1131" t="s">
        <v>99</v>
      </c>
      <c r="W1131">
        <v>8</v>
      </c>
      <c r="X1131" t="s">
        <v>102</v>
      </c>
      <c r="Y1131" t="b">
        <v>0</v>
      </c>
    </row>
    <row r="1132" spans="1:25" x14ac:dyDescent="0.55000000000000004">
      <c r="A1132" t="s">
        <v>94</v>
      </c>
      <c r="B1132" t="s">
        <v>296</v>
      </c>
      <c r="C1132" t="s">
        <v>292</v>
      </c>
      <c r="D1132" t="s">
        <v>111</v>
      </c>
      <c r="E1132" t="s">
        <v>117</v>
      </c>
      <c r="F1132" t="s">
        <v>99</v>
      </c>
      <c r="G1132">
        <v>21597</v>
      </c>
      <c r="H1132" t="s">
        <v>300</v>
      </c>
      <c r="I1132">
        <v>2</v>
      </c>
      <c r="J1132" t="s">
        <v>104</v>
      </c>
      <c r="K1132" s="19">
        <v>0.45833333333333331</v>
      </c>
      <c r="L1132" s="19">
        <v>0.8125</v>
      </c>
      <c r="M1132">
        <v>8.5</v>
      </c>
      <c r="N1132">
        <v>228.96</v>
      </c>
      <c r="O1132">
        <v>48</v>
      </c>
      <c r="P1132">
        <v>76</v>
      </c>
      <c r="Q1132" t="s">
        <v>99</v>
      </c>
      <c r="R1132">
        <v>30</v>
      </c>
      <c r="S1132" s="19">
        <v>0.58333333333333337</v>
      </c>
      <c r="U1132" s="19"/>
      <c r="V1132" t="s">
        <v>99</v>
      </c>
      <c r="W1132">
        <v>8</v>
      </c>
      <c r="X1132" t="s">
        <v>102</v>
      </c>
      <c r="Y1132" t="b">
        <v>0</v>
      </c>
    </row>
    <row r="1133" spans="1:25" x14ac:dyDescent="0.55000000000000004">
      <c r="A1133" t="s">
        <v>94</v>
      </c>
      <c r="B1133" t="s">
        <v>296</v>
      </c>
      <c r="C1133" t="s">
        <v>292</v>
      </c>
      <c r="D1133" t="s">
        <v>111</v>
      </c>
      <c r="E1133" t="s">
        <v>117</v>
      </c>
      <c r="F1133" t="s">
        <v>99</v>
      </c>
      <c r="G1133">
        <v>21597</v>
      </c>
      <c r="H1133" t="s">
        <v>300</v>
      </c>
      <c r="I1133">
        <v>2</v>
      </c>
      <c r="J1133" t="s">
        <v>105</v>
      </c>
      <c r="K1133" s="19">
        <v>0.45833333333333331</v>
      </c>
      <c r="L1133" s="19">
        <v>0.8125</v>
      </c>
      <c r="M1133">
        <v>8.5</v>
      </c>
      <c r="N1133">
        <v>228.96</v>
      </c>
      <c r="O1133">
        <v>48</v>
      </c>
      <c r="P1133">
        <v>76</v>
      </c>
      <c r="Q1133" t="s">
        <v>99</v>
      </c>
      <c r="R1133">
        <v>30</v>
      </c>
      <c r="S1133" s="19">
        <v>0.58333333333333337</v>
      </c>
      <c r="U1133" s="19"/>
      <c r="V1133" t="s">
        <v>99</v>
      </c>
      <c r="W1133">
        <v>8</v>
      </c>
      <c r="X1133" t="s">
        <v>102</v>
      </c>
      <c r="Y1133" t="b">
        <v>0</v>
      </c>
    </row>
    <row r="1134" spans="1:25" x14ac:dyDescent="0.55000000000000004">
      <c r="A1134" t="s">
        <v>94</v>
      </c>
      <c r="B1134" t="s">
        <v>301</v>
      </c>
      <c r="C1134" t="s">
        <v>292</v>
      </c>
      <c r="D1134" t="s">
        <v>160</v>
      </c>
      <c r="E1134" t="s">
        <v>161</v>
      </c>
      <c r="F1134" t="s">
        <v>99</v>
      </c>
      <c r="G1134">
        <v>18814</v>
      </c>
      <c r="H1134" t="s">
        <v>302</v>
      </c>
      <c r="I1134">
        <v>2</v>
      </c>
      <c r="J1134" t="s">
        <v>107</v>
      </c>
      <c r="K1134" s="19">
        <v>0.33333333333333331</v>
      </c>
      <c r="L1134" s="19">
        <v>0.6875</v>
      </c>
      <c r="M1134">
        <v>8.5</v>
      </c>
      <c r="N1134">
        <v>303.27999999999997</v>
      </c>
      <c r="O1134">
        <v>72</v>
      </c>
      <c r="P1134">
        <v>76</v>
      </c>
      <c r="Q1134" t="s">
        <v>99</v>
      </c>
      <c r="R1134">
        <v>30</v>
      </c>
      <c r="S1134" s="19">
        <v>0.54166666666666663</v>
      </c>
      <c r="T1134">
        <v>0</v>
      </c>
      <c r="U1134" s="19">
        <v>0.41666666666666669</v>
      </c>
      <c r="V1134" t="s">
        <v>99</v>
      </c>
      <c r="W1134">
        <v>8</v>
      </c>
      <c r="X1134" t="s">
        <v>102</v>
      </c>
      <c r="Y1134" t="b">
        <v>0</v>
      </c>
    </row>
    <row r="1135" spans="1:25" x14ac:dyDescent="0.55000000000000004">
      <c r="A1135" t="s">
        <v>94</v>
      </c>
      <c r="B1135" t="s">
        <v>301</v>
      </c>
      <c r="C1135" t="s">
        <v>292</v>
      </c>
      <c r="D1135" t="s">
        <v>160</v>
      </c>
      <c r="E1135" t="s">
        <v>164</v>
      </c>
      <c r="F1135" t="s">
        <v>99</v>
      </c>
      <c r="G1135">
        <v>18814</v>
      </c>
      <c r="H1135" t="s">
        <v>302</v>
      </c>
      <c r="I1135">
        <v>1</v>
      </c>
      <c r="J1135" t="s">
        <v>107</v>
      </c>
      <c r="K1135" s="19">
        <v>0.33333333333333331</v>
      </c>
      <c r="L1135" s="19">
        <v>0.6875</v>
      </c>
      <c r="M1135">
        <v>8.5</v>
      </c>
      <c r="N1135">
        <v>303.27999999999997</v>
      </c>
      <c r="O1135">
        <v>72</v>
      </c>
      <c r="P1135">
        <v>76</v>
      </c>
      <c r="Q1135" t="s">
        <v>99</v>
      </c>
      <c r="R1135">
        <v>30</v>
      </c>
      <c r="S1135" s="19">
        <v>0.54166666666666663</v>
      </c>
      <c r="U1135" s="19"/>
      <c r="V1135" t="s">
        <v>99</v>
      </c>
      <c r="W1135">
        <v>8</v>
      </c>
      <c r="X1135" t="s">
        <v>102</v>
      </c>
      <c r="Y1135" t="b">
        <v>0</v>
      </c>
    </row>
    <row r="1136" spans="1:25" x14ac:dyDescent="0.55000000000000004">
      <c r="A1136" t="s">
        <v>94</v>
      </c>
      <c r="B1136" t="s">
        <v>301</v>
      </c>
      <c r="C1136" t="s">
        <v>292</v>
      </c>
      <c r="D1136" t="s">
        <v>160</v>
      </c>
      <c r="E1136" t="s">
        <v>164</v>
      </c>
      <c r="F1136" t="s">
        <v>99</v>
      </c>
      <c r="G1136">
        <v>18814</v>
      </c>
      <c r="H1136" t="s">
        <v>302</v>
      </c>
      <c r="I1136">
        <v>1</v>
      </c>
      <c r="J1136" t="s">
        <v>115</v>
      </c>
      <c r="K1136" s="19">
        <v>0.33333333333333331</v>
      </c>
      <c r="L1136" s="19">
        <v>0.6875</v>
      </c>
      <c r="M1136">
        <v>8.5</v>
      </c>
      <c r="N1136">
        <v>454.92</v>
      </c>
      <c r="O1136">
        <v>72</v>
      </c>
      <c r="P1136">
        <v>76</v>
      </c>
      <c r="Q1136" t="s">
        <v>99</v>
      </c>
      <c r="R1136">
        <v>30</v>
      </c>
      <c r="S1136" s="19">
        <v>0.54166666666666663</v>
      </c>
      <c r="U1136" s="19"/>
      <c r="V1136" t="s">
        <v>99</v>
      </c>
      <c r="W1136">
        <v>8</v>
      </c>
      <c r="X1136" t="s">
        <v>102</v>
      </c>
      <c r="Y1136" t="b">
        <v>0</v>
      </c>
    </row>
    <row r="1137" spans="1:25" x14ac:dyDescent="0.55000000000000004">
      <c r="A1137" t="s">
        <v>94</v>
      </c>
      <c r="B1137" t="s">
        <v>301</v>
      </c>
      <c r="C1137" t="s">
        <v>292</v>
      </c>
      <c r="D1137" t="s">
        <v>160</v>
      </c>
      <c r="E1137" t="s">
        <v>164</v>
      </c>
      <c r="F1137" t="s">
        <v>99</v>
      </c>
      <c r="G1137">
        <v>18814</v>
      </c>
      <c r="H1137" t="s">
        <v>302</v>
      </c>
      <c r="I1137">
        <v>1</v>
      </c>
      <c r="J1137" t="s">
        <v>116</v>
      </c>
      <c r="K1137" s="19">
        <v>0.33333333333333331</v>
      </c>
      <c r="L1137" s="19">
        <v>0.6875</v>
      </c>
      <c r="M1137">
        <v>8.5</v>
      </c>
      <c r="N1137">
        <v>530.74</v>
      </c>
      <c r="O1137">
        <v>72</v>
      </c>
      <c r="P1137">
        <v>76</v>
      </c>
      <c r="Q1137" t="s">
        <v>99</v>
      </c>
      <c r="R1137">
        <v>30</v>
      </c>
      <c r="S1137" s="19">
        <v>0.54166666666666663</v>
      </c>
      <c r="U1137" s="19"/>
      <c r="V1137" t="s">
        <v>99</v>
      </c>
      <c r="W1137">
        <v>8</v>
      </c>
      <c r="X1137" t="s">
        <v>102</v>
      </c>
      <c r="Y1137" t="b">
        <v>0</v>
      </c>
    </row>
    <row r="1138" spans="1:25" x14ac:dyDescent="0.55000000000000004">
      <c r="A1138" t="s">
        <v>94</v>
      </c>
      <c r="B1138" t="s">
        <v>301</v>
      </c>
      <c r="C1138" t="s">
        <v>292</v>
      </c>
      <c r="D1138" t="s">
        <v>160</v>
      </c>
      <c r="E1138" t="s">
        <v>164</v>
      </c>
      <c r="F1138" t="s">
        <v>99</v>
      </c>
      <c r="G1138">
        <v>18814</v>
      </c>
      <c r="H1138" t="s">
        <v>302</v>
      </c>
      <c r="I1138">
        <v>1</v>
      </c>
      <c r="J1138" t="s">
        <v>103</v>
      </c>
      <c r="K1138" s="19">
        <v>0.33333333333333331</v>
      </c>
      <c r="L1138" s="19">
        <v>0.6875</v>
      </c>
      <c r="M1138">
        <v>8.5</v>
      </c>
      <c r="N1138">
        <v>303.27999999999997</v>
      </c>
      <c r="O1138">
        <v>72</v>
      </c>
      <c r="P1138">
        <v>76</v>
      </c>
      <c r="Q1138" t="s">
        <v>99</v>
      </c>
      <c r="R1138">
        <v>30</v>
      </c>
      <c r="S1138" s="19">
        <v>0.54166666666666663</v>
      </c>
      <c r="U1138" s="19"/>
      <c r="V1138" t="s">
        <v>99</v>
      </c>
      <c r="W1138">
        <v>8</v>
      </c>
      <c r="X1138" t="s">
        <v>102</v>
      </c>
      <c r="Y1138" t="b">
        <v>0</v>
      </c>
    </row>
    <row r="1139" spans="1:25" x14ac:dyDescent="0.55000000000000004">
      <c r="A1139" t="s">
        <v>94</v>
      </c>
      <c r="B1139" t="s">
        <v>301</v>
      </c>
      <c r="C1139" t="s">
        <v>292</v>
      </c>
      <c r="D1139" t="s">
        <v>160</v>
      </c>
      <c r="E1139" t="s">
        <v>164</v>
      </c>
      <c r="F1139" t="s">
        <v>99</v>
      </c>
      <c r="G1139">
        <v>18814</v>
      </c>
      <c r="H1139" t="s">
        <v>302</v>
      </c>
      <c r="I1139">
        <v>1</v>
      </c>
      <c r="J1139" t="s">
        <v>105</v>
      </c>
      <c r="K1139" s="19">
        <v>0.33333333333333331</v>
      </c>
      <c r="L1139" s="19">
        <v>0.6875</v>
      </c>
      <c r="M1139">
        <v>8.5</v>
      </c>
      <c r="N1139">
        <v>303.27999999999997</v>
      </c>
      <c r="O1139">
        <v>72</v>
      </c>
      <c r="P1139">
        <v>76</v>
      </c>
      <c r="Q1139" t="s">
        <v>99</v>
      </c>
      <c r="R1139">
        <v>30</v>
      </c>
      <c r="S1139" s="19">
        <v>0.54166666666666663</v>
      </c>
      <c r="U1139" s="19"/>
      <c r="V1139" t="s">
        <v>99</v>
      </c>
      <c r="W1139">
        <v>8</v>
      </c>
      <c r="X1139" t="s">
        <v>102</v>
      </c>
      <c r="Y1139" t="b">
        <v>0</v>
      </c>
    </row>
    <row r="1140" spans="1:25" x14ac:dyDescent="0.55000000000000004">
      <c r="A1140" t="s">
        <v>94</v>
      </c>
      <c r="B1140" t="s">
        <v>301</v>
      </c>
      <c r="C1140" t="s">
        <v>292</v>
      </c>
      <c r="D1140" t="s">
        <v>160</v>
      </c>
      <c r="E1140" t="s">
        <v>164</v>
      </c>
      <c r="F1140" t="s">
        <v>99</v>
      </c>
      <c r="G1140">
        <v>18814</v>
      </c>
      <c r="H1140" t="s">
        <v>302</v>
      </c>
      <c r="I1140">
        <v>2</v>
      </c>
      <c r="J1140" t="s">
        <v>103</v>
      </c>
      <c r="K1140" s="19">
        <v>0.33333333333333331</v>
      </c>
      <c r="L1140" s="19">
        <v>0.6875</v>
      </c>
      <c r="M1140">
        <v>8.5</v>
      </c>
      <c r="N1140">
        <v>303.27999999999997</v>
      </c>
      <c r="O1140">
        <v>72</v>
      </c>
      <c r="P1140">
        <v>76</v>
      </c>
      <c r="Q1140" t="s">
        <v>99</v>
      </c>
      <c r="R1140">
        <v>30</v>
      </c>
      <c r="S1140" s="19">
        <v>0.54166666666666663</v>
      </c>
      <c r="U1140" s="19"/>
      <c r="V1140" t="s">
        <v>99</v>
      </c>
      <c r="W1140">
        <v>8</v>
      </c>
      <c r="X1140" t="s">
        <v>102</v>
      </c>
      <c r="Y1140" t="b">
        <v>0</v>
      </c>
    </row>
    <row r="1141" spans="1:25" x14ac:dyDescent="0.55000000000000004">
      <c r="A1141" t="s">
        <v>94</v>
      </c>
      <c r="B1141" t="s">
        <v>301</v>
      </c>
      <c r="C1141" t="s">
        <v>292</v>
      </c>
      <c r="D1141" t="s">
        <v>160</v>
      </c>
      <c r="E1141" t="s">
        <v>164</v>
      </c>
      <c r="F1141" t="s">
        <v>99</v>
      </c>
      <c r="G1141">
        <v>18814</v>
      </c>
      <c r="H1141" t="s">
        <v>302</v>
      </c>
      <c r="I1141">
        <v>2</v>
      </c>
      <c r="J1141" t="s">
        <v>104</v>
      </c>
      <c r="K1141" s="19">
        <v>0.33333333333333331</v>
      </c>
      <c r="L1141" s="19">
        <v>0.6875</v>
      </c>
      <c r="M1141">
        <v>8.5</v>
      </c>
      <c r="N1141">
        <v>303.27999999999997</v>
      </c>
      <c r="O1141">
        <v>72</v>
      </c>
      <c r="P1141">
        <v>76</v>
      </c>
      <c r="Q1141" t="s">
        <v>99</v>
      </c>
      <c r="R1141">
        <v>30</v>
      </c>
      <c r="S1141" s="19">
        <v>0.54166666666666663</v>
      </c>
      <c r="U1141" s="19"/>
      <c r="V1141" t="s">
        <v>99</v>
      </c>
      <c r="W1141">
        <v>8</v>
      </c>
      <c r="X1141" t="s">
        <v>102</v>
      </c>
      <c r="Y1141" t="b">
        <v>0</v>
      </c>
    </row>
    <row r="1142" spans="1:25" x14ac:dyDescent="0.55000000000000004">
      <c r="A1142" t="s">
        <v>94</v>
      </c>
      <c r="B1142" t="s">
        <v>301</v>
      </c>
      <c r="C1142" t="s">
        <v>292</v>
      </c>
      <c r="D1142" t="s">
        <v>160</v>
      </c>
      <c r="E1142" t="s">
        <v>164</v>
      </c>
      <c r="F1142" t="s">
        <v>99</v>
      </c>
      <c r="G1142">
        <v>18814</v>
      </c>
      <c r="H1142" t="s">
        <v>302</v>
      </c>
      <c r="I1142">
        <v>2</v>
      </c>
      <c r="J1142" t="s">
        <v>105</v>
      </c>
      <c r="K1142" s="19">
        <v>0.33333333333333331</v>
      </c>
      <c r="L1142" s="19">
        <v>0.6875</v>
      </c>
      <c r="M1142">
        <v>8.5</v>
      </c>
      <c r="N1142">
        <v>303.27999999999997</v>
      </c>
      <c r="O1142">
        <v>72</v>
      </c>
      <c r="P1142">
        <v>76</v>
      </c>
      <c r="Q1142" t="s">
        <v>99</v>
      </c>
      <c r="R1142">
        <v>30</v>
      </c>
      <c r="S1142" s="19">
        <v>0.54166666666666663</v>
      </c>
      <c r="U1142" s="19"/>
      <c r="V1142" t="s">
        <v>99</v>
      </c>
      <c r="W1142">
        <v>8</v>
      </c>
      <c r="X1142" t="s">
        <v>102</v>
      </c>
      <c r="Y1142" t="b">
        <v>0</v>
      </c>
    </row>
    <row r="1143" spans="1:25" x14ac:dyDescent="0.55000000000000004">
      <c r="A1143" t="s">
        <v>94</v>
      </c>
      <c r="B1143" t="s">
        <v>301</v>
      </c>
      <c r="C1143" t="s">
        <v>292</v>
      </c>
      <c r="D1143" t="s">
        <v>160</v>
      </c>
      <c r="E1143" t="s">
        <v>164</v>
      </c>
      <c r="F1143" t="s">
        <v>99</v>
      </c>
      <c r="G1143">
        <v>20834</v>
      </c>
      <c r="H1143" t="s">
        <v>303</v>
      </c>
      <c r="I1143">
        <v>1</v>
      </c>
      <c r="J1143" t="s">
        <v>101</v>
      </c>
      <c r="K1143" s="19">
        <v>0.33333333333333331</v>
      </c>
      <c r="L1143" s="19">
        <v>0.6875</v>
      </c>
      <c r="M1143">
        <v>8.5</v>
      </c>
      <c r="N1143">
        <v>248.88</v>
      </c>
      <c r="O1143">
        <v>40</v>
      </c>
      <c r="P1143">
        <v>76</v>
      </c>
      <c r="Q1143" t="s">
        <v>99</v>
      </c>
      <c r="R1143">
        <v>30</v>
      </c>
      <c r="S1143" s="19">
        <v>0.54166666666666663</v>
      </c>
      <c r="U1143" s="19"/>
      <c r="V1143" t="s">
        <v>99</v>
      </c>
      <c r="W1143">
        <v>8</v>
      </c>
      <c r="X1143" t="s">
        <v>102</v>
      </c>
      <c r="Y1143" t="b">
        <v>0</v>
      </c>
    </row>
    <row r="1144" spans="1:25" x14ac:dyDescent="0.55000000000000004">
      <c r="A1144" t="s">
        <v>94</v>
      </c>
      <c r="B1144" t="s">
        <v>301</v>
      </c>
      <c r="C1144" t="s">
        <v>292</v>
      </c>
      <c r="D1144" t="s">
        <v>160</v>
      </c>
      <c r="E1144" t="s">
        <v>164</v>
      </c>
      <c r="F1144" t="s">
        <v>99</v>
      </c>
      <c r="G1144">
        <v>20834</v>
      </c>
      <c r="H1144" t="s">
        <v>303</v>
      </c>
      <c r="I1144">
        <v>1</v>
      </c>
      <c r="J1144" t="s">
        <v>104</v>
      </c>
      <c r="K1144" s="19">
        <v>0.33333333333333331</v>
      </c>
      <c r="L1144" s="19">
        <v>0.6875</v>
      </c>
      <c r="M1144">
        <v>8.5</v>
      </c>
      <c r="N1144">
        <v>248.88</v>
      </c>
      <c r="O1144">
        <v>40</v>
      </c>
      <c r="P1144">
        <v>76</v>
      </c>
      <c r="Q1144" t="s">
        <v>99</v>
      </c>
      <c r="R1144">
        <v>30</v>
      </c>
      <c r="S1144" s="19">
        <v>0.54166666666666663</v>
      </c>
      <c r="U1144" s="19"/>
      <c r="V1144" t="s">
        <v>99</v>
      </c>
      <c r="W1144">
        <v>8</v>
      </c>
      <c r="X1144" t="s">
        <v>102</v>
      </c>
      <c r="Y1144" t="b">
        <v>0</v>
      </c>
    </row>
    <row r="1145" spans="1:25" x14ac:dyDescent="0.55000000000000004">
      <c r="A1145" t="s">
        <v>94</v>
      </c>
      <c r="B1145" t="s">
        <v>301</v>
      </c>
      <c r="C1145" t="s">
        <v>292</v>
      </c>
      <c r="D1145" t="s">
        <v>160</v>
      </c>
      <c r="E1145" t="s">
        <v>164</v>
      </c>
      <c r="F1145" t="s">
        <v>99</v>
      </c>
      <c r="G1145">
        <v>20834</v>
      </c>
      <c r="H1145" t="s">
        <v>303</v>
      </c>
      <c r="I1145">
        <v>2</v>
      </c>
      <c r="J1145" t="s">
        <v>101</v>
      </c>
      <c r="K1145" s="19">
        <v>0.33333333333333331</v>
      </c>
      <c r="L1145" s="19">
        <v>0.6875</v>
      </c>
      <c r="M1145">
        <v>8.5</v>
      </c>
      <c r="N1145">
        <v>248.88</v>
      </c>
      <c r="O1145">
        <v>40</v>
      </c>
      <c r="P1145">
        <v>76</v>
      </c>
      <c r="Q1145" t="s">
        <v>99</v>
      </c>
      <c r="R1145">
        <v>30</v>
      </c>
      <c r="S1145" s="19">
        <v>0.54166666666666663</v>
      </c>
      <c r="U1145" s="19"/>
      <c r="V1145" t="s">
        <v>99</v>
      </c>
      <c r="W1145">
        <v>8</v>
      </c>
      <c r="X1145" t="s">
        <v>102</v>
      </c>
      <c r="Y1145" t="b">
        <v>0</v>
      </c>
    </row>
    <row r="1146" spans="1:25" x14ac:dyDescent="0.55000000000000004">
      <c r="A1146" t="s">
        <v>94</v>
      </c>
      <c r="B1146" t="s">
        <v>301</v>
      </c>
      <c r="C1146" t="s">
        <v>292</v>
      </c>
      <c r="D1146" t="s">
        <v>160</v>
      </c>
      <c r="E1146" t="s">
        <v>164</v>
      </c>
      <c r="F1146" t="s">
        <v>99</v>
      </c>
      <c r="G1146">
        <v>20834</v>
      </c>
      <c r="H1146" t="s">
        <v>303</v>
      </c>
      <c r="I1146">
        <v>2</v>
      </c>
      <c r="J1146" t="s">
        <v>115</v>
      </c>
      <c r="K1146" s="19">
        <v>0.33333333333333331</v>
      </c>
      <c r="L1146" s="19">
        <v>0.6875</v>
      </c>
      <c r="M1146">
        <v>8.5</v>
      </c>
      <c r="N1146">
        <v>373.32</v>
      </c>
      <c r="O1146">
        <v>40</v>
      </c>
      <c r="P1146">
        <v>76</v>
      </c>
      <c r="Q1146" t="s">
        <v>99</v>
      </c>
      <c r="R1146">
        <v>30</v>
      </c>
      <c r="S1146" s="19">
        <v>0.54166666666666663</v>
      </c>
      <c r="U1146" s="19"/>
      <c r="V1146" t="s">
        <v>99</v>
      </c>
      <c r="W1146">
        <v>8</v>
      </c>
      <c r="X1146" t="s">
        <v>102</v>
      </c>
      <c r="Y1146" t="b">
        <v>0</v>
      </c>
    </row>
    <row r="1147" spans="1:25" x14ac:dyDescent="0.55000000000000004">
      <c r="A1147" t="s">
        <v>94</v>
      </c>
      <c r="B1147" t="s">
        <v>301</v>
      </c>
      <c r="C1147" t="s">
        <v>292</v>
      </c>
      <c r="D1147" t="s">
        <v>160</v>
      </c>
      <c r="E1147" t="s">
        <v>164</v>
      </c>
      <c r="F1147" t="s">
        <v>99</v>
      </c>
      <c r="G1147">
        <v>20834</v>
      </c>
      <c r="H1147" t="s">
        <v>303</v>
      </c>
      <c r="I1147">
        <v>2</v>
      </c>
      <c r="J1147" t="s">
        <v>116</v>
      </c>
      <c r="K1147" s="19">
        <v>0.33333333333333331</v>
      </c>
      <c r="L1147" s="19">
        <v>0.6875</v>
      </c>
      <c r="M1147">
        <v>8.5</v>
      </c>
      <c r="N1147">
        <v>435.54</v>
      </c>
      <c r="O1147">
        <v>40</v>
      </c>
      <c r="P1147">
        <v>76</v>
      </c>
      <c r="Q1147" t="s">
        <v>99</v>
      </c>
      <c r="R1147">
        <v>30</v>
      </c>
      <c r="S1147" s="19">
        <v>0.54166666666666663</v>
      </c>
      <c r="U1147" s="19"/>
      <c r="V1147" t="s">
        <v>99</v>
      </c>
      <c r="W1147">
        <v>8</v>
      </c>
      <c r="X1147" t="s">
        <v>102</v>
      </c>
      <c r="Y1147" t="b">
        <v>0</v>
      </c>
    </row>
    <row r="1148" spans="1:25" x14ac:dyDescent="0.55000000000000004">
      <c r="A1148" t="s">
        <v>94</v>
      </c>
      <c r="B1148" t="s">
        <v>301</v>
      </c>
      <c r="C1148" t="s">
        <v>292</v>
      </c>
      <c r="D1148" t="s">
        <v>160</v>
      </c>
      <c r="E1148" t="s">
        <v>164</v>
      </c>
      <c r="F1148" t="s">
        <v>99</v>
      </c>
      <c r="G1148">
        <v>21876</v>
      </c>
      <c r="H1148" t="s">
        <v>304</v>
      </c>
      <c r="I1148">
        <v>2</v>
      </c>
      <c r="J1148" t="s">
        <v>107</v>
      </c>
      <c r="K1148" s="19">
        <v>0.33333333333333331</v>
      </c>
      <c r="L1148" s="19">
        <v>0.6875</v>
      </c>
      <c r="M1148">
        <v>8.5</v>
      </c>
      <c r="N1148">
        <v>280.88</v>
      </c>
      <c r="O1148">
        <v>64</v>
      </c>
      <c r="P1148">
        <v>76</v>
      </c>
      <c r="Q1148" t="s">
        <v>99</v>
      </c>
      <c r="R1148">
        <v>30</v>
      </c>
      <c r="S1148" s="19">
        <v>0.54166666666666663</v>
      </c>
      <c r="T1148">
        <v>0</v>
      </c>
      <c r="U1148" s="19"/>
      <c r="V1148" t="s">
        <v>99</v>
      </c>
      <c r="W1148">
        <v>8</v>
      </c>
      <c r="X1148" t="s">
        <v>102</v>
      </c>
      <c r="Y1148" t="b">
        <v>0</v>
      </c>
    </row>
    <row r="1149" spans="1:25" x14ac:dyDescent="0.55000000000000004">
      <c r="A1149" t="s">
        <v>94</v>
      </c>
      <c r="B1149" t="s">
        <v>305</v>
      </c>
      <c r="C1149" t="s">
        <v>292</v>
      </c>
      <c r="D1149" t="s">
        <v>170</v>
      </c>
      <c r="E1149" t="s">
        <v>117</v>
      </c>
      <c r="F1149" t="s">
        <v>99</v>
      </c>
      <c r="G1149">
        <v>19509</v>
      </c>
      <c r="H1149" t="s">
        <v>306</v>
      </c>
      <c r="I1149">
        <v>1</v>
      </c>
      <c r="J1149" t="s">
        <v>107</v>
      </c>
      <c r="K1149" s="19">
        <v>0.3125</v>
      </c>
      <c r="L1149" s="19">
        <v>0.58333333333333337</v>
      </c>
      <c r="M1149">
        <v>6.5</v>
      </c>
      <c r="N1149">
        <v>154.56</v>
      </c>
      <c r="O1149">
        <v>76</v>
      </c>
      <c r="P1149">
        <v>76</v>
      </c>
      <c r="Q1149" t="s">
        <v>99</v>
      </c>
      <c r="R1149">
        <v>30</v>
      </c>
      <c r="S1149" s="19">
        <v>0.52083333333333337</v>
      </c>
      <c r="U1149" s="19"/>
      <c r="V1149" t="s">
        <v>99</v>
      </c>
      <c r="W1149">
        <v>6</v>
      </c>
      <c r="X1149" t="s">
        <v>102</v>
      </c>
      <c r="Y1149" t="b">
        <v>0</v>
      </c>
    </row>
    <row r="1150" spans="1:25" x14ac:dyDescent="0.55000000000000004">
      <c r="A1150" t="s">
        <v>94</v>
      </c>
      <c r="B1150" t="s">
        <v>305</v>
      </c>
      <c r="C1150" t="s">
        <v>292</v>
      </c>
      <c r="D1150" t="s">
        <v>170</v>
      </c>
      <c r="E1150" t="s">
        <v>117</v>
      </c>
      <c r="F1150" t="s">
        <v>99</v>
      </c>
      <c r="G1150">
        <v>19509</v>
      </c>
      <c r="H1150" t="s">
        <v>306</v>
      </c>
      <c r="I1150">
        <v>1</v>
      </c>
      <c r="J1150" t="s">
        <v>101</v>
      </c>
      <c r="K1150" s="19">
        <v>0.3125</v>
      </c>
      <c r="L1150" s="19">
        <v>0.66666666666666663</v>
      </c>
      <c r="M1150">
        <v>8.5</v>
      </c>
      <c r="N1150">
        <v>206.08</v>
      </c>
      <c r="O1150">
        <v>76</v>
      </c>
      <c r="P1150">
        <v>76</v>
      </c>
      <c r="Q1150" t="s">
        <v>99</v>
      </c>
      <c r="R1150">
        <v>30</v>
      </c>
      <c r="S1150" s="19">
        <v>0.52083333333333337</v>
      </c>
      <c r="U1150" s="19"/>
      <c r="V1150" t="s">
        <v>99</v>
      </c>
      <c r="W1150">
        <v>8</v>
      </c>
      <c r="X1150" t="s">
        <v>102</v>
      </c>
      <c r="Y1150" t="b">
        <v>0</v>
      </c>
    </row>
    <row r="1151" spans="1:25" x14ac:dyDescent="0.55000000000000004">
      <c r="A1151" t="s">
        <v>94</v>
      </c>
      <c r="B1151" t="s">
        <v>305</v>
      </c>
      <c r="C1151" t="s">
        <v>292</v>
      </c>
      <c r="D1151" t="s">
        <v>170</v>
      </c>
      <c r="E1151" t="s">
        <v>117</v>
      </c>
      <c r="F1151" t="s">
        <v>99</v>
      </c>
      <c r="G1151">
        <v>19509</v>
      </c>
      <c r="H1151" t="s">
        <v>306</v>
      </c>
      <c r="I1151">
        <v>1</v>
      </c>
      <c r="J1151" t="s">
        <v>103</v>
      </c>
      <c r="K1151" s="19">
        <v>0.3125</v>
      </c>
      <c r="L1151" s="19">
        <v>0.66666666666666663</v>
      </c>
      <c r="M1151">
        <v>8.5</v>
      </c>
      <c r="N1151">
        <v>206.08</v>
      </c>
      <c r="O1151">
        <v>76</v>
      </c>
      <c r="P1151">
        <v>76</v>
      </c>
      <c r="Q1151" t="s">
        <v>99</v>
      </c>
      <c r="R1151">
        <v>30</v>
      </c>
      <c r="S1151" s="19">
        <v>0.52083333333333337</v>
      </c>
      <c r="U1151" s="19"/>
      <c r="V1151" t="s">
        <v>99</v>
      </c>
      <c r="W1151">
        <v>8</v>
      </c>
      <c r="X1151" t="s">
        <v>102</v>
      </c>
      <c r="Y1151" t="b">
        <v>0</v>
      </c>
    </row>
    <row r="1152" spans="1:25" x14ac:dyDescent="0.55000000000000004">
      <c r="A1152" t="s">
        <v>94</v>
      </c>
      <c r="B1152" t="s">
        <v>305</v>
      </c>
      <c r="C1152" t="s">
        <v>292</v>
      </c>
      <c r="D1152" t="s">
        <v>170</v>
      </c>
      <c r="E1152" t="s">
        <v>117</v>
      </c>
      <c r="F1152" t="s">
        <v>99</v>
      </c>
      <c r="G1152">
        <v>19509</v>
      </c>
      <c r="H1152" t="s">
        <v>306</v>
      </c>
      <c r="I1152">
        <v>1</v>
      </c>
      <c r="J1152" t="s">
        <v>104</v>
      </c>
      <c r="K1152" s="19">
        <v>0.3125</v>
      </c>
      <c r="L1152" s="19">
        <v>0.66666666666666663</v>
      </c>
      <c r="M1152">
        <v>8.5</v>
      </c>
      <c r="N1152">
        <v>206.08</v>
      </c>
      <c r="O1152">
        <v>76</v>
      </c>
      <c r="P1152">
        <v>76</v>
      </c>
      <c r="Q1152" t="s">
        <v>99</v>
      </c>
      <c r="R1152">
        <v>30</v>
      </c>
      <c r="S1152" s="19">
        <v>0.52083333333333337</v>
      </c>
      <c r="U1152" s="19"/>
      <c r="V1152" t="s">
        <v>99</v>
      </c>
      <c r="W1152">
        <v>8</v>
      </c>
      <c r="X1152" t="s">
        <v>102</v>
      </c>
      <c r="Y1152" t="b">
        <v>0</v>
      </c>
    </row>
    <row r="1153" spans="1:25" x14ac:dyDescent="0.55000000000000004">
      <c r="A1153" t="s">
        <v>94</v>
      </c>
      <c r="B1153" t="s">
        <v>305</v>
      </c>
      <c r="C1153" t="s">
        <v>292</v>
      </c>
      <c r="D1153" t="s">
        <v>170</v>
      </c>
      <c r="E1153" t="s">
        <v>117</v>
      </c>
      <c r="F1153" t="s">
        <v>99</v>
      </c>
      <c r="G1153">
        <v>19509</v>
      </c>
      <c r="H1153" t="s">
        <v>306</v>
      </c>
      <c r="I1153">
        <v>1</v>
      </c>
      <c r="J1153" t="s">
        <v>105</v>
      </c>
      <c r="K1153" s="19">
        <v>0.3125</v>
      </c>
      <c r="L1153" s="19">
        <v>0.66666666666666663</v>
      </c>
      <c r="M1153">
        <v>8.5</v>
      </c>
      <c r="N1153">
        <v>206.08</v>
      </c>
      <c r="O1153">
        <v>76</v>
      </c>
      <c r="P1153">
        <v>76</v>
      </c>
      <c r="Q1153" t="s">
        <v>99</v>
      </c>
      <c r="R1153">
        <v>30</v>
      </c>
      <c r="S1153" s="19">
        <v>0.52083333333333337</v>
      </c>
      <c r="U1153" s="19"/>
      <c r="V1153" t="s">
        <v>99</v>
      </c>
      <c r="W1153">
        <v>8</v>
      </c>
      <c r="X1153" t="s">
        <v>102</v>
      </c>
      <c r="Y1153" t="b">
        <v>0</v>
      </c>
    </row>
    <row r="1154" spans="1:25" x14ac:dyDescent="0.55000000000000004">
      <c r="A1154" t="s">
        <v>94</v>
      </c>
      <c r="B1154" t="s">
        <v>305</v>
      </c>
      <c r="C1154" t="s">
        <v>292</v>
      </c>
      <c r="D1154" t="s">
        <v>170</v>
      </c>
      <c r="E1154" t="s">
        <v>117</v>
      </c>
      <c r="F1154" t="s">
        <v>99</v>
      </c>
      <c r="G1154">
        <v>19509</v>
      </c>
      <c r="H1154" t="s">
        <v>306</v>
      </c>
      <c r="I1154">
        <v>2</v>
      </c>
      <c r="J1154" t="s">
        <v>107</v>
      </c>
      <c r="K1154" s="19">
        <v>0.3125</v>
      </c>
      <c r="L1154" s="19">
        <v>0.58333333333333337</v>
      </c>
      <c r="M1154">
        <v>6.5</v>
      </c>
      <c r="N1154">
        <v>154.56</v>
      </c>
      <c r="O1154">
        <v>76</v>
      </c>
      <c r="P1154">
        <v>76</v>
      </c>
      <c r="Q1154" t="s">
        <v>99</v>
      </c>
      <c r="R1154">
        <v>30</v>
      </c>
      <c r="S1154" s="19">
        <v>0.52083333333333337</v>
      </c>
      <c r="U1154" s="19"/>
      <c r="V1154" t="s">
        <v>99</v>
      </c>
      <c r="W1154">
        <v>6</v>
      </c>
      <c r="X1154" t="s">
        <v>102</v>
      </c>
      <c r="Y1154" t="b">
        <v>0</v>
      </c>
    </row>
    <row r="1155" spans="1:25" x14ac:dyDescent="0.55000000000000004">
      <c r="A1155" t="s">
        <v>94</v>
      </c>
      <c r="B1155" t="s">
        <v>305</v>
      </c>
      <c r="C1155" t="s">
        <v>292</v>
      </c>
      <c r="D1155" t="s">
        <v>170</v>
      </c>
      <c r="E1155" t="s">
        <v>117</v>
      </c>
      <c r="F1155" t="s">
        <v>99</v>
      </c>
      <c r="G1155">
        <v>19509</v>
      </c>
      <c r="H1155" t="s">
        <v>306</v>
      </c>
      <c r="I1155">
        <v>2</v>
      </c>
      <c r="J1155" t="s">
        <v>101</v>
      </c>
      <c r="K1155" s="19">
        <v>0.3125</v>
      </c>
      <c r="L1155" s="19">
        <v>0.66666666666666663</v>
      </c>
      <c r="M1155">
        <v>8.5</v>
      </c>
      <c r="N1155">
        <v>206.08</v>
      </c>
      <c r="O1155">
        <v>76</v>
      </c>
      <c r="P1155">
        <v>76</v>
      </c>
      <c r="Q1155" t="s">
        <v>99</v>
      </c>
      <c r="R1155">
        <v>30</v>
      </c>
      <c r="S1155" s="19">
        <v>0.52083333333333337</v>
      </c>
      <c r="U1155" s="19"/>
      <c r="V1155" t="s">
        <v>99</v>
      </c>
      <c r="W1155">
        <v>8</v>
      </c>
      <c r="X1155" t="s">
        <v>102</v>
      </c>
      <c r="Y1155" t="b">
        <v>0</v>
      </c>
    </row>
    <row r="1156" spans="1:25" x14ac:dyDescent="0.55000000000000004">
      <c r="A1156" t="s">
        <v>94</v>
      </c>
      <c r="B1156" t="s">
        <v>305</v>
      </c>
      <c r="C1156" t="s">
        <v>292</v>
      </c>
      <c r="D1156" t="s">
        <v>170</v>
      </c>
      <c r="E1156" t="s">
        <v>117</v>
      </c>
      <c r="F1156" t="s">
        <v>99</v>
      </c>
      <c r="G1156">
        <v>19509</v>
      </c>
      <c r="H1156" t="s">
        <v>306</v>
      </c>
      <c r="I1156">
        <v>2</v>
      </c>
      <c r="J1156" t="s">
        <v>103</v>
      </c>
      <c r="K1156" s="19">
        <v>0.3125</v>
      </c>
      <c r="L1156" s="19">
        <v>0.66666666666666663</v>
      </c>
      <c r="M1156">
        <v>8.5</v>
      </c>
      <c r="N1156">
        <v>206.08</v>
      </c>
      <c r="O1156">
        <v>76</v>
      </c>
      <c r="P1156">
        <v>76</v>
      </c>
      <c r="Q1156" t="s">
        <v>99</v>
      </c>
      <c r="R1156">
        <v>30</v>
      </c>
      <c r="S1156" s="19">
        <v>0.52083333333333337</v>
      </c>
      <c r="U1156" s="19"/>
      <c r="V1156" t="s">
        <v>99</v>
      </c>
      <c r="W1156">
        <v>8</v>
      </c>
      <c r="X1156" t="s">
        <v>102</v>
      </c>
      <c r="Y1156" t="b">
        <v>0</v>
      </c>
    </row>
    <row r="1157" spans="1:25" x14ac:dyDescent="0.55000000000000004">
      <c r="A1157" t="s">
        <v>94</v>
      </c>
      <c r="B1157" t="s">
        <v>305</v>
      </c>
      <c r="C1157" t="s">
        <v>292</v>
      </c>
      <c r="D1157" t="s">
        <v>170</v>
      </c>
      <c r="E1157" t="s">
        <v>117</v>
      </c>
      <c r="F1157" t="s">
        <v>99</v>
      </c>
      <c r="G1157">
        <v>19509</v>
      </c>
      <c r="H1157" t="s">
        <v>306</v>
      </c>
      <c r="I1157">
        <v>2</v>
      </c>
      <c r="J1157" t="s">
        <v>104</v>
      </c>
      <c r="K1157" s="19">
        <v>0.3125</v>
      </c>
      <c r="L1157" s="19">
        <v>0.66666666666666663</v>
      </c>
      <c r="M1157">
        <v>8.5</v>
      </c>
      <c r="N1157">
        <v>206.08</v>
      </c>
      <c r="O1157">
        <v>76</v>
      </c>
      <c r="P1157">
        <v>76</v>
      </c>
      <c r="Q1157" t="s">
        <v>99</v>
      </c>
      <c r="R1157">
        <v>30</v>
      </c>
      <c r="S1157" s="19">
        <v>0.52083333333333337</v>
      </c>
      <c r="U1157" s="19"/>
      <c r="V1157" t="s">
        <v>99</v>
      </c>
      <c r="W1157">
        <v>8</v>
      </c>
      <c r="X1157" t="s">
        <v>102</v>
      </c>
      <c r="Y1157" t="b">
        <v>0</v>
      </c>
    </row>
    <row r="1158" spans="1:25" x14ac:dyDescent="0.55000000000000004">
      <c r="A1158" t="s">
        <v>94</v>
      </c>
      <c r="B1158" t="s">
        <v>305</v>
      </c>
      <c r="C1158" t="s">
        <v>292</v>
      </c>
      <c r="D1158" t="s">
        <v>170</v>
      </c>
      <c r="E1158" t="s">
        <v>117</v>
      </c>
      <c r="F1158" t="s">
        <v>99</v>
      </c>
      <c r="G1158">
        <v>19509</v>
      </c>
      <c r="H1158" t="s">
        <v>306</v>
      </c>
      <c r="I1158">
        <v>2</v>
      </c>
      <c r="J1158" t="s">
        <v>105</v>
      </c>
      <c r="K1158" s="19">
        <v>0.3125</v>
      </c>
      <c r="L1158" s="19">
        <v>0.66666666666666663</v>
      </c>
      <c r="M1158">
        <v>8.5</v>
      </c>
      <c r="N1158">
        <v>206.08</v>
      </c>
      <c r="O1158">
        <v>76</v>
      </c>
      <c r="P1158">
        <v>76</v>
      </c>
      <c r="Q1158" t="s">
        <v>99</v>
      </c>
      <c r="R1158">
        <v>30</v>
      </c>
      <c r="S1158" s="19">
        <v>0.52083333333333337</v>
      </c>
      <c r="U1158" s="19"/>
      <c r="V1158" t="s">
        <v>99</v>
      </c>
      <c r="W1158">
        <v>8</v>
      </c>
      <c r="X1158" t="s">
        <v>102</v>
      </c>
      <c r="Y1158" t="b">
        <v>0</v>
      </c>
    </row>
    <row r="1159" spans="1:25" x14ac:dyDescent="0.55000000000000004">
      <c r="A1159" t="s">
        <v>94</v>
      </c>
      <c r="B1159" t="s">
        <v>307</v>
      </c>
      <c r="C1159" t="s">
        <v>308</v>
      </c>
      <c r="D1159" t="s">
        <v>97</v>
      </c>
      <c r="E1159" t="s">
        <v>98</v>
      </c>
      <c r="F1159" t="s">
        <v>99</v>
      </c>
      <c r="H1159" t="s">
        <v>99</v>
      </c>
      <c r="I1159">
        <v>1</v>
      </c>
      <c r="J1159" t="s">
        <v>107</v>
      </c>
      <c r="K1159" s="19">
        <v>0.33333333333333331</v>
      </c>
      <c r="L1159" s="19">
        <v>0.66666666666666663</v>
      </c>
      <c r="M1159">
        <v>8</v>
      </c>
      <c r="N1159">
        <v>231.15</v>
      </c>
      <c r="O1159">
        <v>0</v>
      </c>
      <c r="P1159">
        <v>0</v>
      </c>
      <c r="Q1159" t="s">
        <v>99</v>
      </c>
      <c r="R1159">
        <v>30</v>
      </c>
      <c r="S1159" s="19">
        <v>0.54166666666666663</v>
      </c>
      <c r="T1159">
        <v>0</v>
      </c>
      <c r="U1159" s="19">
        <v>0.54166666666666663</v>
      </c>
      <c r="V1159" t="s">
        <v>99</v>
      </c>
      <c r="W1159">
        <v>7.5</v>
      </c>
      <c r="X1159" t="s">
        <v>102</v>
      </c>
      <c r="Y1159" t="b">
        <v>0</v>
      </c>
    </row>
    <row r="1160" spans="1:25" x14ac:dyDescent="0.55000000000000004">
      <c r="A1160" t="s">
        <v>94</v>
      </c>
      <c r="B1160" t="s">
        <v>307</v>
      </c>
      <c r="C1160" t="s">
        <v>308</v>
      </c>
      <c r="D1160" t="s">
        <v>97</v>
      </c>
      <c r="E1160" t="s">
        <v>98</v>
      </c>
      <c r="F1160" t="s">
        <v>99</v>
      </c>
      <c r="H1160" t="s">
        <v>99</v>
      </c>
      <c r="I1160">
        <v>1</v>
      </c>
      <c r="J1160" t="s">
        <v>103</v>
      </c>
      <c r="K1160" s="19">
        <v>0.33333333333333331</v>
      </c>
      <c r="L1160" s="19">
        <v>0.66666666666666663</v>
      </c>
      <c r="M1160">
        <v>8</v>
      </c>
      <c r="N1160">
        <v>218.93</v>
      </c>
      <c r="O1160">
        <v>0</v>
      </c>
      <c r="P1160">
        <v>0</v>
      </c>
      <c r="Q1160" t="s">
        <v>99</v>
      </c>
      <c r="R1160">
        <v>30</v>
      </c>
      <c r="S1160" s="19">
        <v>0.54166666666666663</v>
      </c>
      <c r="T1160">
        <v>0</v>
      </c>
      <c r="U1160" s="19">
        <v>0.54166666666666663</v>
      </c>
      <c r="V1160" t="s">
        <v>99</v>
      </c>
      <c r="W1160">
        <v>7.5</v>
      </c>
      <c r="X1160" t="s">
        <v>102</v>
      </c>
      <c r="Y1160" t="b">
        <v>0</v>
      </c>
    </row>
    <row r="1161" spans="1:25" x14ac:dyDescent="0.55000000000000004">
      <c r="A1161" t="s">
        <v>94</v>
      </c>
      <c r="B1161" t="s">
        <v>307</v>
      </c>
      <c r="C1161" t="s">
        <v>308</v>
      </c>
      <c r="D1161" t="s">
        <v>97</v>
      </c>
      <c r="E1161" t="s">
        <v>98</v>
      </c>
      <c r="F1161" t="s">
        <v>99</v>
      </c>
      <c r="H1161" t="s">
        <v>99</v>
      </c>
      <c r="I1161">
        <v>2</v>
      </c>
      <c r="J1161" t="s">
        <v>101</v>
      </c>
      <c r="K1161" s="19">
        <v>0.33333333333333331</v>
      </c>
      <c r="L1161" s="19">
        <v>0.66666666666666663</v>
      </c>
      <c r="M1161">
        <v>8</v>
      </c>
      <c r="N1161">
        <v>231.15</v>
      </c>
      <c r="O1161">
        <v>0</v>
      </c>
      <c r="P1161">
        <v>0</v>
      </c>
      <c r="Q1161" t="s">
        <v>99</v>
      </c>
      <c r="R1161">
        <v>30</v>
      </c>
      <c r="S1161" s="19">
        <v>0.54166666666666663</v>
      </c>
      <c r="T1161">
        <v>0</v>
      </c>
      <c r="U1161" s="19">
        <v>0.54166666666666663</v>
      </c>
      <c r="V1161" t="s">
        <v>99</v>
      </c>
      <c r="W1161">
        <v>7.5</v>
      </c>
      <c r="X1161" t="s">
        <v>102</v>
      </c>
      <c r="Y1161" t="b">
        <v>0</v>
      </c>
    </row>
    <row r="1162" spans="1:25" x14ac:dyDescent="0.55000000000000004">
      <c r="A1162" t="s">
        <v>94</v>
      </c>
      <c r="B1162" t="s">
        <v>307</v>
      </c>
      <c r="C1162" t="s">
        <v>308</v>
      </c>
      <c r="D1162" t="s">
        <v>97</v>
      </c>
      <c r="E1162" t="s">
        <v>98</v>
      </c>
      <c r="F1162" t="s">
        <v>99</v>
      </c>
      <c r="H1162" t="s">
        <v>99</v>
      </c>
      <c r="I1162">
        <v>2</v>
      </c>
      <c r="J1162" t="s">
        <v>104</v>
      </c>
      <c r="K1162" s="19">
        <v>0.33333333333333331</v>
      </c>
      <c r="L1162" s="19">
        <v>0.66666666666666663</v>
      </c>
      <c r="M1162">
        <v>8</v>
      </c>
      <c r="N1162">
        <v>218.93</v>
      </c>
      <c r="O1162">
        <v>0</v>
      </c>
      <c r="P1162">
        <v>0</v>
      </c>
      <c r="Q1162" t="s">
        <v>99</v>
      </c>
      <c r="R1162">
        <v>30</v>
      </c>
      <c r="S1162" s="19">
        <v>0.54166666666666663</v>
      </c>
      <c r="T1162">
        <v>0</v>
      </c>
      <c r="U1162" s="19">
        <v>0.54166666666666663</v>
      </c>
      <c r="V1162" t="s">
        <v>99</v>
      </c>
      <c r="W1162">
        <v>7.5</v>
      </c>
      <c r="X1162" t="s">
        <v>102</v>
      </c>
      <c r="Y1162" t="b">
        <v>0</v>
      </c>
    </row>
    <row r="1163" spans="1:25" x14ac:dyDescent="0.55000000000000004">
      <c r="A1163" t="s">
        <v>94</v>
      </c>
      <c r="B1163" t="s">
        <v>307</v>
      </c>
      <c r="C1163" t="s">
        <v>308</v>
      </c>
      <c r="D1163" t="s">
        <v>97</v>
      </c>
      <c r="E1163" t="s">
        <v>98</v>
      </c>
      <c r="F1163" t="s">
        <v>99</v>
      </c>
      <c r="G1163">
        <v>17512</v>
      </c>
      <c r="H1163" t="s">
        <v>309</v>
      </c>
      <c r="I1163">
        <v>1</v>
      </c>
      <c r="J1163" t="s">
        <v>101</v>
      </c>
      <c r="K1163" s="19">
        <v>0.33333333333333331</v>
      </c>
      <c r="L1163" s="19">
        <v>0.6875</v>
      </c>
      <c r="M1163">
        <v>8.5</v>
      </c>
      <c r="N1163">
        <v>249.04</v>
      </c>
      <c r="O1163">
        <v>48</v>
      </c>
      <c r="P1163">
        <v>76</v>
      </c>
      <c r="Q1163" t="s">
        <v>99</v>
      </c>
      <c r="R1163">
        <v>30</v>
      </c>
      <c r="S1163" s="19">
        <v>0.54166666666666663</v>
      </c>
      <c r="T1163">
        <v>0</v>
      </c>
      <c r="U1163" s="19">
        <v>0</v>
      </c>
      <c r="V1163" t="s">
        <v>99</v>
      </c>
      <c r="W1163">
        <v>8</v>
      </c>
      <c r="X1163" t="s">
        <v>102</v>
      </c>
      <c r="Y1163" t="b">
        <v>0</v>
      </c>
    </row>
    <row r="1164" spans="1:25" x14ac:dyDescent="0.55000000000000004">
      <c r="A1164" t="s">
        <v>94</v>
      </c>
      <c r="B1164" t="s">
        <v>307</v>
      </c>
      <c r="C1164" t="s">
        <v>308</v>
      </c>
      <c r="D1164" t="s">
        <v>97</v>
      </c>
      <c r="E1164" t="s">
        <v>98</v>
      </c>
      <c r="F1164" t="s">
        <v>99</v>
      </c>
      <c r="G1164">
        <v>17512</v>
      </c>
      <c r="H1164" t="s">
        <v>309</v>
      </c>
      <c r="I1164">
        <v>1</v>
      </c>
      <c r="J1164" t="s">
        <v>104</v>
      </c>
      <c r="K1164" s="19">
        <v>0.33333333333333331</v>
      </c>
      <c r="L1164" s="19">
        <v>0.6875</v>
      </c>
      <c r="M1164">
        <v>8.5</v>
      </c>
      <c r="N1164">
        <v>249.04</v>
      </c>
      <c r="O1164">
        <v>48</v>
      </c>
      <c r="P1164">
        <v>76</v>
      </c>
      <c r="Q1164" t="s">
        <v>99</v>
      </c>
      <c r="R1164">
        <v>30</v>
      </c>
      <c r="S1164" s="19">
        <v>0.54166666666666663</v>
      </c>
      <c r="T1164">
        <v>0</v>
      </c>
      <c r="U1164" s="19">
        <v>0</v>
      </c>
      <c r="V1164" t="s">
        <v>99</v>
      </c>
      <c r="W1164">
        <v>8</v>
      </c>
      <c r="X1164" t="s">
        <v>102</v>
      </c>
      <c r="Y1164" t="b">
        <v>0</v>
      </c>
    </row>
    <row r="1165" spans="1:25" x14ac:dyDescent="0.55000000000000004">
      <c r="A1165" t="s">
        <v>94</v>
      </c>
      <c r="B1165" t="s">
        <v>307</v>
      </c>
      <c r="C1165" t="s">
        <v>308</v>
      </c>
      <c r="D1165" t="s">
        <v>97</v>
      </c>
      <c r="E1165" t="s">
        <v>98</v>
      </c>
      <c r="F1165" t="s">
        <v>99</v>
      </c>
      <c r="G1165">
        <v>17512</v>
      </c>
      <c r="H1165" t="s">
        <v>309</v>
      </c>
      <c r="I1165">
        <v>1</v>
      </c>
      <c r="J1165" t="s">
        <v>105</v>
      </c>
      <c r="K1165" s="19">
        <v>0.33333333333333331</v>
      </c>
      <c r="L1165" s="19">
        <v>0.6875</v>
      </c>
      <c r="M1165">
        <v>8.5</v>
      </c>
      <c r="N1165">
        <v>249.04</v>
      </c>
      <c r="O1165">
        <v>48</v>
      </c>
      <c r="P1165">
        <v>76</v>
      </c>
      <c r="Q1165" t="s">
        <v>99</v>
      </c>
      <c r="R1165">
        <v>30</v>
      </c>
      <c r="S1165" s="19">
        <v>0.54166666666666663</v>
      </c>
      <c r="T1165">
        <v>0</v>
      </c>
      <c r="U1165" s="19">
        <v>0</v>
      </c>
      <c r="V1165" t="s">
        <v>99</v>
      </c>
      <c r="W1165">
        <v>8</v>
      </c>
      <c r="X1165" t="s">
        <v>102</v>
      </c>
      <c r="Y1165" t="b">
        <v>0</v>
      </c>
    </row>
    <row r="1166" spans="1:25" x14ac:dyDescent="0.55000000000000004">
      <c r="A1166" t="s">
        <v>94</v>
      </c>
      <c r="B1166" t="s">
        <v>307</v>
      </c>
      <c r="C1166" t="s">
        <v>308</v>
      </c>
      <c r="D1166" t="s">
        <v>97</v>
      </c>
      <c r="E1166" t="s">
        <v>98</v>
      </c>
      <c r="F1166" t="s">
        <v>99</v>
      </c>
      <c r="G1166">
        <v>17512</v>
      </c>
      <c r="H1166" t="s">
        <v>309</v>
      </c>
      <c r="I1166">
        <v>2</v>
      </c>
      <c r="J1166" t="s">
        <v>107</v>
      </c>
      <c r="K1166" s="19">
        <v>0.33333333333333331</v>
      </c>
      <c r="L1166" s="19">
        <v>0.6875</v>
      </c>
      <c r="M1166">
        <v>8.5</v>
      </c>
      <c r="N1166">
        <v>249.04</v>
      </c>
      <c r="O1166">
        <v>48</v>
      </c>
      <c r="P1166">
        <v>76</v>
      </c>
      <c r="Q1166" t="s">
        <v>99</v>
      </c>
      <c r="R1166">
        <v>30</v>
      </c>
      <c r="S1166" s="19">
        <v>0.54166666666666663</v>
      </c>
      <c r="T1166">
        <v>0</v>
      </c>
      <c r="U1166" s="19">
        <v>0</v>
      </c>
      <c r="V1166" t="s">
        <v>99</v>
      </c>
      <c r="W1166">
        <v>8</v>
      </c>
      <c r="X1166" t="s">
        <v>102</v>
      </c>
      <c r="Y1166" t="b">
        <v>0</v>
      </c>
    </row>
    <row r="1167" spans="1:25" x14ac:dyDescent="0.55000000000000004">
      <c r="A1167" t="s">
        <v>94</v>
      </c>
      <c r="B1167" t="s">
        <v>307</v>
      </c>
      <c r="C1167" t="s">
        <v>308</v>
      </c>
      <c r="D1167" t="s">
        <v>97</v>
      </c>
      <c r="E1167" t="s">
        <v>98</v>
      </c>
      <c r="F1167" t="s">
        <v>99</v>
      </c>
      <c r="G1167">
        <v>17512</v>
      </c>
      <c r="H1167" t="s">
        <v>309</v>
      </c>
      <c r="I1167">
        <v>2</v>
      </c>
      <c r="J1167" t="s">
        <v>103</v>
      </c>
      <c r="K1167" s="19">
        <v>0.33333333333333331</v>
      </c>
      <c r="L1167" s="19">
        <v>0.6875</v>
      </c>
      <c r="M1167">
        <v>8.5</v>
      </c>
      <c r="N1167">
        <v>249.04</v>
      </c>
      <c r="O1167">
        <v>48</v>
      </c>
      <c r="P1167">
        <v>76</v>
      </c>
      <c r="Q1167" t="s">
        <v>99</v>
      </c>
      <c r="R1167">
        <v>30</v>
      </c>
      <c r="S1167" s="19">
        <v>0.54166666666666663</v>
      </c>
      <c r="T1167">
        <v>0</v>
      </c>
      <c r="U1167" s="19">
        <v>0</v>
      </c>
      <c r="V1167" t="s">
        <v>99</v>
      </c>
      <c r="W1167">
        <v>8</v>
      </c>
      <c r="X1167" t="s">
        <v>102</v>
      </c>
      <c r="Y1167" t="b">
        <v>0</v>
      </c>
    </row>
    <row r="1168" spans="1:25" x14ac:dyDescent="0.55000000000000004">
      <c r="A1168" t="s">
        <v>94</v>
      </c>
      <c r="B1168" t="s">
        <v>307</v>
      </c>
      <c r="C1168" t="s">
        <v>308</v>
      </c>
      <c r="D1168" t="s">
        <v>97</v>
      </c>
      <c r="E1168" t="s">
        <v>98</v>
      </c>
      <c r="F1168" t="s">
        <v>99</v>
      </c>
      <c r="G1168">
        <v>17512</v>
      </c>
      <c r="H1168" t="s">
        <v>309</v>
      </c>
      <c r="I1168">
        <v>2</v>
      </c>
      <c r="J1168" t="s">
        <v>105</v>
      </c>
      <c r="K1168" s="19">
        <v>0.33333333333333331</v>
      </c>
      <c r="L1168" s="19">
        <v>0.6875</v>
      </c>
      <c r="M1168">
        <v>8.5</v>
      </c>
      <c r="N1168">
        <v>249.04</v>
      </c>
      <c r="O1168">
        <v>48</v>
      </c>
      <c r="P1168">
        <v>76</v>
      </c>
      <c r="Q1168" t="s">
        <v>99</v>
      </c>
      <c r="R1168">
        <v>30</v>
      </c>
      <c r="S1168" s="19">
        <v>0.54166666666666663</v>
      </c>
      <c r="T1168">
        <v>0</v>
      </c>
      <c r="U1168" s="19">
        <v>0</v>
      </c>
      <c r="V1168" t="s">
        <v>99</v>
      </c>
      <c r="W1168">
        <v>8</v>
      </c>
      <c r="X1168" t="s">
        <v>102</v>
      </c>
      <c r="Y1168" t="b">
        <v>0</v>
      </c>
    </row>
    <row r="1169" spans="1:25" x14ac:dyDescent="0.55000000000000004">
      <c r="A1169" t="s">
        <v>94</v>
      </c>
      <c r="B1169" t="s">
        <v>310</v>
      </c>
      <c r="C1169" t="s">
        <v>308</v>
      </c>
      <c r="D1169" t="s">
        <v>156</v>
      </c>
      <c r="E1169" t="s">
        <v>117</v>
      </c>
      <c r="F1169" t="s">
        <v>99</v>
      </c>
      <c r="H1169" t="s">
        <v>99</v>
      </c>
      <c r="I1169">
        <v>1</v>
      </c>
      <c r="J1169" t="s">
        <v>101</v>
      </c>
      <c r="K1169" s="19">
        <v>0.29166666666666669</v>
      </c>
      <c r="L1169" s="19">
        <v>0.60416666666666663</v>
      </c>
      <c r="M1169">
        <v>7.5</v>
      </c>
      <c r="N1169">
        <v>197.33</v>
      </c>
      <c r="O1169">
        <v>0</v>
      </c>
      <c r="P1169">
        <v>0</v>
      </c>
      <c r="Q1169" t="s">
        <v>99</v>
      </c>
      <c r="R1169">
        <v>30</v>
      </c>
      <c r="S1169" s="19">
        <v>0.5</v>
      </c>
      <c r="T1169">
        <v>0</v>
      </c>
      <c r="U1169" s="19">
        <v>0</v>
      </c>
      <c r="V1169" t="s">
        <v>99</v>
      </c>
      <c r="W1169">
        <v>7</v>
      </c>
      <c r="X1169" t="s">
        <v>102</v>
      </c>
      <c r="Y1169" t="b">
        <v>0</v>
      </c>
    </row>
    <row r="1170" spans="1:25" x14ac:dyDescent="0.55000000000000004">
      <c r="A1170" t="s">
        <v>94</v>
      </c>
      <c r="B1170" t="s">
        <v>310</v>
      </c>
      <c r="C1170" t="s">
        <v>308</v>
      </c>
      <c r="D1170" t="s">
        <v>156</v>
      </c>
      <c r="E1170" t="s">
        <v>117</v>
      </c>
      <c r="F1170" t="s">
        <v>99</v>
      </c>
      <c r="H1170" t="s">
        <v>99</v>
      </c>
      <c r="I1170">
        <v>1</v>
      </c>
      <c r="J1170" t="s">
        <v>104</v>
      </c>
      <c r="K1170" s="19">
        <v>0.29166666666666669</v>
      </c>
      <c r="L1170" s="19">
        <v>0.60416666666666663</v>
      </c>
      <c r="M1170">
        <v>7.5</v>
      </c>
      <c r="N1170">
        <v>197.33</v>
      </c>
      <c r="O1170">
        <v>0</v>
      </c>
      <c r="P1170">
        <v>0</v>
      </c>
      <c r="Q1170" t="s">
        <v>99</v>
      </c>
      <c r="R1170">
        <v>30</v>
      </c>
      <c r="S1170" s="19">
        <v>0.5</v>
      </c>
      <c r="T1170">
        <v>0</v>
      </c>
      <c r="U1170" s="19">
        <v>0</v>
      </c>
      <c r="V1170" t="s">
        <v>99</v>
      </c>
      <c r="W1170">
        <v>7</v>
      </c>
      <c r="X1170" t="s">
        <v>102</v>
      </c>
      <c r="Y1170" t="b">
        <v>0</v>
      </c>
    </row>
    <row r="1171" spans="1:25" x14ac:dyDescent="0.55000000000000004">
      <c r="A1171" t="s">
        <v>94</v>
      </c>
      <c r="B1171" t="s">
        <v>310</v>
      </c>
      <c r="C1171" t="s">
        <v>308</v>
      </c>
      <c r="D1171" t="s">
        <v>156</v>
      </c>
      <c r="E1171" t="s">
        <v>117</v>
      </c>
      <c r="F1171" t="s">
        <v>99</v>
      </c>
      <c r="H1171" t="s">
        <v>99</v>
      </c>
      <c r="I1171">
        <v>2</v>
      </c>
      <c r="J1171" t="s">
        <v>101</v>
      </c>
      <c r="K1171" s="19">
        <v>0.29166666666666669</v>
      </c>
      <c r="L1171" s="19">
        <v>0.60416666666666663</v>
      </c>
      <c r="M1171">
        <v>7.5</v>
      </c>
      <c r="N1171">
        <v>197.33</v>
      </c>
      <c r="O1171">
        <v>0</v>
      </c>
      <c r="P1171">
        <v>0</v>
      </c>
      <c r="Q1171" t="s">
        <v>99</v>
      </c>
      <c r="R1171">
        <v>30</v>
      </c>
      <c r="S1171" s="19">
        <v>0.5</v>
      </c>
      <c r="T1171">
        <v>0</v>
      </c>
      <c r="U1171" s="19">
        <v>0</v>
      </c>
      <c r="V1171" t="s">
        <v>99</v>
      </c>
      <c r="W1171">
        <v>7</v>
      </c>
      <c r="X1171" t="s">
        <v>102</v>
      </c>
      <c r="Y1171" t="b">
        <v>0</v>
      </c>
    </row>
    <row r="1172" spans="1:25" x14ac:dyDescent="0.55000000000000004">
      <c r="A1172" t="s">
        <v>94</v>
      </c>
      <c r="B1172" t="s">
        <v>310</v>
      </c>
      <c r="C1172" t="s">
        <v>308</v>
      </c>
      <c r="D1172" t="s">
        <v>156</v>
      </c>
      <c r="E1172" t="s">
        <v>117</v>
      </c>
      <c r="F1172" t="s">
        <v>99</v>
      </c>
      <c r="H1172" t="s">
        <v>99</v>
      </c>
      <c r="I1172">
        <v>2</v>
      </c>
      <c r="J1172" t="s">
        <v>104</v>
      </c>
      <c r="K1172" s="19">
        <v>0.29166666666666669</v>
      </c>
      <c r="L1172" s="19">
        <v>0.60416666666666663</v>
      </c>
      <c r="M1172">
        <v>7.5</v>
      </c>
      <c r="N1172">
        <v>197.33</v>
      </c>
      <c r="O1172">
        <v>0</v>
      </c>
      <c r="P1172">
        <v>0</v>
      </c>
      <c r="Q1172" t="s">
        <v>99</v>
      </c>
      <c r="R1172">
        <v>30</v>
      </c>
      <c r="S1172" s="19">
        <v>0.5</v>
      </c>
      <c r="T1172">
        <v>0</v>
      </c>
      <c r="U1172" s="19">
        <v>0</v>
      </c>
      <c r="V1172" t="s">
        <v>99</v>
      </c>
      <c r="W1172">
        <v>7</v>
      </c>
      <c r="X1172" t="s">
        <v>102</v>
      </c>
      <c r="Y1172" t="b">
        <v>0</v>
      </c>
    </row>
    <row r="1173" spans="1:25" x14ac:dyDescent="0.55000000000000004">
      <c r="A1173" t="s">
        <v>94</v>
      </c>
      <c r="B1173" t="s">
        <v>310</v>
      </c>
      <c r="C1173" t="s">
        <v>308</v>
      </c>
      <c r="D1173" t="s">
        <v>156</v>
      </c>
      <c r="E1173" t="s">
        <v>117</v>
      </c>
      <c r="F1173" t="s">
        <v>99</v>
      </c>
      <c r="G1173">
        <v>15754</v>
      </c>
      <c r="H1173" t="s">
        <v>311</v>
      </c>
      <c r="I1173">
        <v>1</v>
      </c>
      <c r="J1173" t="s">
        <v>107</v>
      </c>
      <c r="K1173" s="19">
        <v>0.25</v>
      </c>
      <c r="L1173" s="19">
        <v>0.52083333333333337</v>
      </c>
      <c r="M1173">
        <v>6.5</v>
      </c>
      <c r="N1173">
        <v>174.3</v>
      </c>
      <c r="O1173">
        <v>60</v>
      </c>
      <c r="P1173">
        <v>76</v>
      </c>
      <c r="Q1173" t="s">
        <v>99</v>
      </c>
      <c r="R1173">
        <v>30</v>
      </c>
      <c r="S1173" s="19">
        <v>0.45833333333333331</v>
      </c>
      <c r="T1173">
        <v>0</v>
      </c>
      <c r="U1173" s="19">
        <v>0.54166666666666663</v>
      </c>
      <c r="V1173" t="s">
        <v>99</v>
      </c>
      <c r="W1173">
        <v>6</v>
      </c>
      <c r="X1173" t="s">
        <v>102</v>
      </c>
      <c r="Y1173" t="b">
        <v>0</v>
      </c>
    </row>
    <row r="1174" spans="1:25" x14ac:dyDescent="0.55000000000000004">
      <c r="A1174" t="s">
        <v>94</v>
      </c>
      <c r="B1174" t="s">
        <v>310</v>
      </c>
      <c r="C1174" t="s">
        <v>308</v>
      </c>
      <c r="D1174" t="s">
        <v>156</v>
      </c>
      <c r="E1174" t="s">
        <v>117</v>
      </c>
      <c r="F1174" t="s">
        <v>99</v>
      </c>
      <c r="G1174">
        <v>15754</v>
      </c>
      <c r="H1174" t="s">
        <v>311</v>
      </c>
      <c r="I1174">
        <v>1</v>
      </c>
      <c r="J1174" t="s">
        <v>101</v>
      </c>
      <c r="K1174" s="19">
        <v>0.25</v>
      </c>
      <c r="L1174" s="19">
        <v>0.60416666666666663</v>
      </c>
      <c r="M1174">
        <v>8.5</v>
      </c>
      <c r="N1174">
        <v>232.4</v>
      </c>
      <c r="O1174">
        <v>60</v>
      </c>
      <c r="P1174">
        <v>76</v>
      </c>
      <c r="Q1174" t="s">
        <v>99</v>
      </c>
      <c r="R1174">
        <v>30</v>
      </c>
      <c r="S1174" s="19">
        <v>0.45833333333333331</v>
      </c>
      <c r="T1174">
        <v>0</v>
      </c>
      <c r="U1174" s="19">
        <v>0</v>
      </c>
      <c r="V1174" t="s">
        <v>99</v>
      </c>
      <c r="W1174">
        <v>8</v>
      </c>
      <c r="X1174" t="s">
        <v>102</v>
      </c>
      <c r="Y1174" t="b">
        <v>0</v>
      </c>
    </row>
    <row r="1175" spans="1:25" x14ac:dyDescent="0.55000000000000004">
      <c r="A1175" t="s">
        <v>94</v>
      </c>
      <c r="B1175" t="s">
        <v>310</v>
      </c>
      <c r="C1175" t="s">
        <v>308</v>
      </c>
      <c r="D1175" t="s">
        <v>156</v>
      </c>
      <c r="E1175" t="s">
        <v>117</v>
      </c>
      <c r="F1175" t="s">
        <v>99</v>
      </c>
      <c r="G1175">
        <v>15754</v>
      </c>
      <c r="H1175" t="s">
        <v>311</v>
      </c>
      <c r="I1175">
        <v>1</v>
      </c>
      <c r="J1175" t="s">
        <v>103</v>
      </c>
      <c r="K1175" s="19">
        <v>0.25</v>
      </c>
      <c r="L1175" s="19">
        <v>0.60416666666666663</v>
      </c>
      <c r="M1175">
        <v>8.5</v>
      </c>
      <c r="N1175">
        <v>232.4</v>
      </c>
      <c r="O1175">
        <v>60</v>
      </c>
      <c r="P1175">
        <v>76</v>
      </c>
      <c r="Q1175" t="s">
        <v>99</v>
      </c>
      <c r="R1175">
        <v>30</v>
      </c>
      <c r="S1175" s="19">
        <v>0.45833333333333331</v>
      </c>
      <c r="T1175">
        <v>0</v>
      </c>
      <c r="U1175" s="19">
        <v>0</v>
      </c>
      <c r="V1175" t="s">
        <v>99</v>
      </c>
      <c r="W1175">
        <v>8</v>
      </c>
      <c r="X1175" t="s">
        <v>102</v>
      </c>
      <c r="Y1175" t="b">
        <v>0</v>
      </c>
    </row>
    <row r="1176" spans="1:25" x14ac:dyDescent="0.55000000000000004">
      <c r="A1176" t="s">
        <v>94</v>
      </c>
      <c r="B1176" t="s">
        <v>310</v>
      </c>
      <c r="C1176" t="s">
        <v>308</v>
      </c>
      <c r="D1176" t="s">
        <v>156</v>
      </c>
      <c r="E1176" t="s">
        <v>117</v>
      </c>
      <c r="F1176" t="s">
        <v>99</v>
      </c>
      <c r="G1176">
        <v>15754</v>
      </c>
      <c r="H1176" t="s">
        <v>311</v>
      </c>
      <c r="I1176">
        <v>1</v>
      </c>
      <c r="J1176" t="s">
        <v>104</v>
      </c>
      <c r="K1176" s="19">
        <v>0.25</v>
      </c>
      <c r="L1176" s="19">
        <v>0.60416666666666663</v>
      </c>
      <c r="M1176">
        <v>8.5</v>
      </c>
      <c r="N1176">
        <v>232.4</v>
      </c>
      <c r="O1176">
        <v>60</v>
      </c>
      <c r="P1176">
        <v>76</v>
      </c>
      <c r="Q1176" t="s">
        <v>99</v>
      </c>
      <c r="R1176">
        <v>30</v>
      </c>
      <c r="S1176" s="19">
        <v>0.45833333333333331</v>
      </c>
      <c r="T1176">
        <v>0</v>
      </c>
      <c r="U1176" s="19">
        <v>0</v>
      </c>
      <c r="V1176" t="s">
        <v>99</v>
      </c>
      <c r="W1176">
        <v>8</v>
      </c>
      <c r="X1176" t="s">
        <v>102</v>
      </c>
      <c r="Y1176" t="b">
        <v>0</v>
      </c>
    </row>
    <row r="1177" spans="1:25" x14ac:dyDescent="0.55000000000000004">
      <c r="A1177" t="s">
        <v>94</v>
      </c>
      <c r="B1177" t="s">
        <v>310</v>
      </c>
      <c r="C1177" t="s">
        <v>308</v>
      </c>
      <c r="D1177" t="s">
        <v>156</v>
      </c>
      <c r="E1177" t="s">
        <v>117</v>
      </c>
      <c r="F1177" t="s">
        <v>99</v>
      </c>
      <c r="G1177">
        <v>15754</v>
      </c>
      <c r="H1177" t="s">
        <v>311</v>
      </c>
      <c r="I1177">
        <v>1</v>
      </c>
      <c r="J1177" t="s">
        <v>105</v>
      </c>
      <c r="K1177" s="19">
        <v>0.25</v>
      </c>
      <c r="L1177" s="19">
        <v>0.60416666666666663</v>
      </c>
      <c r="M1177">
        <v>8.5</v>
      </c>
      <c r="N1177">
        <v>232.4</v>
      </c>
      <c r="O1177">
        <v>60</v>
      </c>
      <c r="P1177">
        <v>76</v>
      </c>
      <c r="Q1177" t="s">
        <v>99</v>
      </c>
      <c r="R1177">
        <v>30</v>
      </c>
      <c r="S1177" s="19">
        <v>0.45833333333333331</v>
      </c>
      <c r="T1177">
        <v>0</v>
      </c>
      <c r="U1177" s="19">
        <v>0</v>
      </c>
      <c r="V1177" t="s">
        <v>99</v>
      </c>
      <c r="W1177">
        <v>8</v>
      </c>
      <c r="X1177" t="s">
        <v>102</v>
      </c>
      <c r="Y1177" t="b">
        <v>0</v>
      </c>
    </row>
    <row r="1178" spans="1:25" x14ac:dyDescent="0.55000000000000004">
      <c r="A1178" t="s">
        <v>94</v>
      </c>
      <c r="B1178" t="s">
        <v>310</v>
      </c>
      <c r="C1178" t="s">
        <v>308</v>
      </c>
      <c r="D1178" t="s">
        <v>156</v>
      </c>
      <c r="E1178" t="s">
        <v>117</v>
      </c>
      <c r="F1178" t="s">
        <v>99</v>
      </c>
      <c r="G1178">
        <v>15754</v>
      </c>
      <c r="H1178" t="s">
        <v>311</v>
      </c>
      <c r="I1178">
        <v>2</v>
      </c>
      <c r="J1178" t="s">
        <v>107</v>
      </c>
      <c r="K1178" s="19">
        <v>0.25</v>
      </c>
      <c r="L1178" s="19">
        <v>0.52083333333333337</v>
      </c>
      <c r="M1178">
        <v>6.5</v>
      </c>
      <c r="N1178">
        <v>174.3</v>
      </c>
      <c r="O1178">
        <v>60</v>
      </c>
      <c r="P1178">
        <v>76</v>
      </c>
      <c r="Q1178" t="s">
        <v>99</v>
      </c>
      <c r="R1178">
        <v>30</v>
      </c>
      <c r="S1178" s="19">
        <v>0.45833333333333331</v>
      </c>
      <c r="T1178">
        <v>0</v>
      </c>
      <c r="U1178" s="19">
        <v>0.54166666666666663</v>
      </c>
      <c r="V1178" t="s">
        <v>99</v>
      </c>
      <c r="W1178">
        <v>6</v>
      </c>
      <c r="X1178" t="s">
        <v>102</v>
      </c>
      <c r="Y1178" t="b">
        <v>0</v>
      </c>
    </row>
    <row r="1179" spans="1:25" x14ac:dyDescent="0.55000000000000004">
      <c r="A1179" t="s">
        <v>94</v>
      </c>
      <c r="B1179" t="s">
        <v>310</v>
      </c>
      <c r="C1179" t="s">
        <v>308</v>
      </c>
      <c r="D1179" t="s">
        <v>156</v>
      </c>
      <c r="E1179" t="s">
        <v>117</v>
      </c>
      <c r="F1179" t="s">
        <v>99</v>
      </c>
      <c r="G1179">
        <v>15754</v>
      </c>
      <c r="H1179" t="s">
        <v>311</v>
      </c>
      <c r="I1179">
        <v>2</v>
      </c>
      <c r="J1179" t="s">
        <v>101</v>
      </c>
      <c r="K1179" s="19">
        <v>0.25</v>
      </c>
      <c r="L1179" s="19">
        <v>0.60416666666666663</v>
      </c>
      <c r="M1179">
        <v>8.5</v>
      </c>
      <c r="N1179">
        <v>232.4</v>
      </c>
      <c r="O1179">
        <v>60</v>
      </c>
      <c r="P1179">
        <v>76</v>
      </c>
      <c r="Q1179" t="s">
        <v>99</v>
      </c>
      <c r="R1179">
        <v>30</v>
      </c>
      <c r="S1179" s="19">
        <v>0.45833333333333331</v>
      </c>
      <c r="T1179">
        <v>0</v>
      </c>
      <c r="U1179" s="19">
        <v>0</v>
      </c>
      <c r="V1179" t="s">
        <v>99</v>
      </c>
      <c r="W1179">
        <v>8</v>
      </c>
      <c r="X1179" t="s">
        <v>102</v>
      </c>
      <c r="Y1179" t="b">
        <v>0</v>
      </c>
    </row>
    <row r="1180" spans="1:25" x14ac:dyDescent="0.55000000000000004">
      <c r="A1180" t="s">
        <v>94</v>
      </c>
      <c r="B1180" t="s">
        <v>310</v>
      </c>
      <c r="C1180" t="s">
        <v>308</v>
      </c>
      <c r="D1180" t="s">
        <v>156</v>
      </c>
      <c r="E1180" t="s">
        <v>117</v>
      </c>
      <c r="F1180" t="s">
        <v>99</v>
      </c>
      <c r="G1180">
        <v>15754</v>
      </c>
      <c r="H1180" t="s">
        <v>311</v>
      </c>
      <c r="I1180">
        <v>2</v>
      </c>
      <c r="J1180" t="s">
        <v>103</v>
      </c>
      <c r="K1180" s="19">
        <v>0.25</v>
      </c>
      <c r="L1180" s="19">
        <v>0.60416666666666663</v>
      </c>
      <c r="M1180">
        <v>8.5</v>
      </c>
      <c r="N1180">
        <v>232.4</v>
      </c>
      <c r="O1180">
        <v>60</v>
      </c>
      <c r="P1180">
        <v>76</v>
      </c>
      <c r="Q1180" t="s">
        <v>99</v>
      </c>
      <c r="R1180">
        <v>30</v>
      </c>
      <c r="S1180" s="19">
        <v>0.45833333333333331</v>
      </c>
      <c r="T1180">
        <v>0</v>
      </c>
      <c r="U1180" s="19">
        <v>0</v>
      </c>
      <c r="V1180" t="s">
        <v>99</v>
      </c>
      <c r="W1180">
        <v>8</v>
      </c>
      <c r="X1180" t="s">
        <v>102</v>
      </c>
      <c r="Y1180" t="b">
        <v>0</v>
      </c>
    </row>
    <row r="1181" spans="1:25" x14ac:dyDescent="0.55000000000000004">
      <c r="A1181" t="s">
        <v>94</v>
      </c>
      <c r="B1181" t="s">
        <v>310</v>
      </c>
      <c r="C1181" t="s">
        <v>308</v>
      </c>
      <c r="D1181" t="s">
        <v>156</v>
      </c>
      <c r="E1181" t="s">
        <v>117</v>
      </c>
      <c r="F1181" t="s">
        <v>99</v>
      </c>
      <c r="G1181">
        <v>15754</v>
      </c>
      <c r="H1181" t="s">
        <v>311</v>
      </c>
      <c r="I1181">
        <v>2</v>
      </c>
      <c r="J1181" t="s">
        <v>104</v>
      </c>
      <c r="K1181" s="19">
        <v>0.25</v>
      </c>
      <c r="L1181" s="19">
        <v>0.60416666666666663</v>
      </c>
      <c r="M1181">
        <v>8.5</v>
      </c>
      <c r="N1181">
        <v>232.4</v>
      </c>
      <c r="O1181">
        <v>60</v>
      </c>
      <c r="P1181">
        <v>76</v>
      </c>
      <c r="Q1181" t="s">
        <v>99</v>
      </c>
      <c r="R1181">
        <v>30</v>
      </c>
      <c r="S1181" s="19">
        <v>0.45833333333333331</v>
      </c>
      <c r="T1181">
        <v>0</v>
      </c>
      <c r="U1181" s="19">
        <v>0</v>
      </c>
      <c r="V1181" t="s">
        <v>99</v>
      </c>
      <c r="W1181">
        <v>8</v>
      </c>
      <c r="X1181" t="s">
        <v>102</v>
      </c>
      <c r="Y1181" t="b">
        <v>0</v>
      </c>
    </row>
    <row r="1182" spans="1:25" x14ac:dyDescent="0.55000000000000004">
      <c r="A1182" t="s">
        <v>94</v>
      </c>
      <c r="B1182" t="s">
        <v>310</v>
      </c>
      <c r="C1182" t="s">
        <v>308</v>
      </c>
      <c r="D1182" t="s">
        <v>156</v>
      </c>
      <c r="E1182" t="s">
        <v>117</v>
      </c>
      <c r="F1182" t="s">
        <v>99</v>
      </c>
      <c r="G1182">
        <v>15754</v>
      </c>
      <c r="H1182" t="s">
        <v>311</v>
      </c>
      <c r="I1182">
        <v>2</v>
      </c>
      <c r="J1182" t="s">
        <v>105</v>
      </c>
      <c r="K1182" s="19">
        <v>0.25</v>
      </c>
      <c r="L1182" s="19">
        <v>0.60416666666666663</v>
      </c>
      <c r="M1182">
        <v>8.5</v>
      </c>
      <c r="N1182">
        <v>232.4</v>
      </c>
      <c r="O1182">
        <v>60</v>
      </c>
      <c r="P1182">
        <v>76</v>
      </c>
      <c r="Q1182" t="s">
        <v>99</v>
      </c>
      <c r="R1182">
        <v>30</v>
      </c>
      <c r="S1182" s="19">
        <v>0.45833333333333331</v>
      </c>
      <c r="T1182">
        <v>0</v>
      </c>
      <c r="U1182" s="19">
        <v>0</v>
      </c>
      <c r="V1182" t="s">
        <v>99</v>
      </c>
      <c r="W1182">
        <v>8</v>
      </c>
      <c r="X1182" t="s">
        <v>102</v>
      </c>
      <c r="Y1182" t="b">
        <v>0</v>
      </c>
    </row>
    <row r="1183" spans="1:25" x14ac:dyDescent="0.55000000000000004">
      <c r="A1183" t="s">
        <v>94</v>
      </c>
      <c r="B1183" t="s">
        <v>310</v>
      </c>
      <c r="C1183" t="s">
        <v>308</v>
      </c>
      <c r="D1183" t="s">
        <v>156</v>
      </c>
      <c r="E1183" t="s">
        <v>117</v>
      </c>
      <c r="F1183" t="s">
        <v>99</v>
      </c>
      <c r="G1183">
        <v>21898</v>
      </c>
      <c r="H1183" t="s">
        <v>312</v>
      </c>
      <c r="I1183">
        <v>1</v>
      </c>
      <c r="J1183" t="s">
        <v>107</v>
      </c>
      <c r="K1183" s="19">
        <v>0.29166666666666669</v>
      </c>
      <c r="L1183" s="19">
        <v>0.60416666666666663</v>
      </c>
      <c r="M1183">
        <v>7.5</v>
      </c>
      <c r="N1183">
        <v>203.35</v>
      </c>
      <c r="O1183">
        <v>50</v>
      </c>
      <c r="P1183">
        <v>76</v>
      </c>
      <c r="Q1183" t="s">
        <v>99</v>
      </c>
      <c r="R1183">
        <v>30</v>
      </c>
      <c r="S1183" s="19">
        <v>0.5</v>
      </c>
      <c r="T1183">
        <v>0</v>
      </c>
      <c r="U1183" s="19">
        <v>0.54166666666666663</v>
      </c>
      <c r="V1183" t="s">
        <v>99</v>
      </c>
      <c r="W1183">
        <v>7</v>
      </c>
      <c r="X1183" t="s">
        <v>102</v>
      </c>
      <c r="Y1183" t="b">
        <v>0</v>
      </c>
    </row>
    <row r="1184" spans="1:25" x14ac:dyDescent="0.55000000000000004">
      <c r="A1184" t="s">
        <v>94</v>
      </c>
      <c r="B1184" t="s">
        <v>310</v>
      </c>
      <c r="C1184" t="s">
        <v>308</v>
      </c>
      <c r="D1184" t="s">
        <v>156</v>
      </c>
      <c r="E1184" t="s">
        <v>117</v>
      </c>
      <c r="F1184" t="s">
        <v>99</v>
      </c>
      <c r="G1184">
        <v>21898</v>
      </c>
      <c r="H1184" t="s">
        <v>312</v>
      </c>
      <c r="I1184">
        <v>1</v>
      </c>
      <c r="J1184" t="s">
        <v>101</v>
      </c>
      <c r="K1184" s="19">
        <v>0.29166666666666669</v>
      </c>
      <c r="L1184" s="19">
        <v>0.60416666666666663</v>
      </c>
      <c r="M1184">
        <v>7.5</v>
      </c>
      <c r="N1184">
        <v>203.35</v>
      </c>
      <c r="O1184">
        <v>50</v>
      </c>
      <c r="P1184">
        <v>76</v>
      </c>
      <c r="Q1184" t="s">
        <v>99</v>
      </c>
      <c r="R1184">
        <v>30</v>
      </c>
      <c r="S1184" s="19">
        <v>0.5</v>
      </c>
      <c r="T1184">
        <v>0</v>
      </c>
      <c r="U1184" s="19">
        <v>0.54166666666666663</v>
      </c>
      <c r="V1184" t="s">
        <v>99</v>
      </c>
      <c r="W1184">
        <v>7</v>
      </c>
      <c r="X1184" t="s">
        <v>102</v>
      </c>
      <c r="Y1184" t="b">
        <v>0</v>
      </c>
    </row>
    <row r="1185" spans="1:25" x14ac:dyDescent="0.55000000000000004">
      <c r="A1185" t="s">
        <v>94</v>
      </c>
      <c r="B1185" t="s">
        <v>310</v>
      </c>
      <c r="C1185" t="s">
        <v>308</v>
      </c>
      <c r="D1185" t="s">
        <v>156</v>
      </c>
      <c r="E1185" t="s">
        <v>117</v>
      </c>
      <c r="F1185" t="s">
        <v>99</v>
      </c>
      <c r="G1185">
        <v>21898</v>
      </c>
      <c r="H1185" t="s">
        <v>312</v>
      </c>
      <c r="I1185">
        <v>1</v>
      </c>
      <c r="J1185" t="s">
        <v>103</v>
      </c>
      <c r="K1185" s="19">
        <v>0.29166666666666669</v>
      </c>
      <c r="L1185" s="19">
        <v>0.60416666666666663</v>
      </c>
      <c r="M1185">
        <v>7.5</v>
      </c>
      <c r="N1185">
        <v>203.35</v>
      </c>
      <c r="O1185">
        <v>50</v>
      </c>
      <c r="P1185">
        <v>76</v>
      </c>
      <c r="Q1185" t="s">
        <v>99</v>
      </c>
      <c r="R1185">
        <v>30</v>
      </c>
      <c r="S1185" s="19">
        <v>0.5</v>
      </c>
      <c r="T1185">
        <v>0</v>
      </c>
      <c r="U1185" s="19">
        <v>0.54166666666666663</v>
      </c>
      <c r="V1185" t="s">
        <v>99</v>
      </c>
      <c r="W1185">
        <v>7</v>
      </c>
      <c r="X1185" t="s">
        <v>102</v>
      </c>
      <c r="Y1185" t="b">
        <v>0</v>
      </c>
    </row>
    <row r="1186" spans="1:25" x14ac:dyDescent="0.55000000000000004">
      <c r="A1186" t="s">
        <v>94</v>
      </c>
      <c r="B1186" t="s">
        <v>310</v>
      </c>
      <c r="C1186" t="s">
        <v>308</v>
      </c>
      <c r="D1186" t="s">
        <v>156</v>
      </c>
      <c r="E1186" t="s">
        <v>117</v>
      </c>
      <c r="F1186" t="s">
        <v>99</v>
      </c>
      <c r="G1186">
        <v>21898</v>
      </c>
      <c r="H1186" t="s">
        <v>312</v>
      </c>
      <c r="I1186">
        <v>1</v>
      </c>
      <c r="J1186" t="s">
        <v>105</v>
      </c>
      <c r="K1186" s="19">
        <v>0.29166666666666669</v>
      </c>
      <c r="L1186" s="19">
        <v>0.60416666666666663</v>
      </c>
      <c r="M1186">
        <v>7.5</v>
      </c>
      <c r="N1186">
        <v>203.35</v>
      </c>
      <c r="O1186">
        <v>50</v>
      </c>
      <c r="P1186">
        <v>76</v>
      </c>
      <c r="Q1186" t="s">
        <v>99</v>
      </c>
      <c r="R1186">
        <v>30</v>
      </c>
      <c r="S1186" s="19">
        <v>0.5</v>
      </c>
      <c r="T1186">
        <v>0</v>
      </c>
      <c r="U1186" s="19">
        <v>0.54166666666666663</v>
      </c>
      <c r="V1186" t="s">
        <v>99</v>
      </c>
      <c r="W1186">
        <v>7</v>
      </c>
      <c r="X1186" t="s">
        <v>102</v>
      </c>
      <c r="Y1186" t="b">
        <v>0</v>
      </c>
    </row>
    <row r="1187" spans="1:25" x14ac:dyDescent="0.55000000000000004">
      <c r="A1187" t="s">
        <v>94</v>
      </c>
      <c r="B1187" t="s">
        <v>310</v>
      </c>
      <c r="C1187" t="s">
        <v>308</v>
      </c>
      <c r="D1187" t="s">
        <v>156</v>
      </c>
      <c r="E1187" t="s">
        <v>117</v>
      </c>
      <c r="F1187" t="s">
        <v>99</v>
      </c>
      <c r="G1187">
        <v>21898</v>
      </c>
      <c r="H1187" t="s">
        <v>312</v>
      </c>
      <c r="I1187">
        <v>2</v>
      </c>
      <c r="J1187" t="s">
        <v>107</v>
      </c>
      <c r="K1187" s="19">
        <v>0.29166666666666669</v>
      </c>
      <c r="L1187" s="19">
        <v>0.60416666666666663</v>
      </c>
      <c r="M1187">
        <v>7.5</v>
      </c>
      <c r="N1187">
        <v>203.35</v>
      </c>
      <c r="O1187">
        <v>50</v>
      </c>
      <c r="P1187">
        <v>76</v>
      </c>
      <c r="Q1187" t="s">
        <v>99</v>
      </c>
      <c r="R1187">
        <v>30</v>
      </c>
      <c r="S1187" s="19">
        <v>0.5</v>
      </c>
      <c r="T1187">
        <v>0</v>
      </c>
      <c r="U1187" s="19">
        <v>0.54166666666666663</v>
      </c>
      <c r="V1187" t="s">
        <v>99</v>
      </c>
      <c r="W1187">
        <v>7</v>
      </c>
      <c r="X1187" t="s">
        <v>102</v>
      </c>
      <c r="Y1187" t="b">
        <v>0</v>
      </c>
    </row>
    <row r="1188" spans="1:25" x14ac:dyDescent="0.55000000000000004">
      <c r="A1188" t="s">
        <v>94</v>
      </c>
      <c r="B1188" t="s">
        <v>310</v>
      </c>
      <c r="C1188" t="s">
        <v>308</v>
      </c>
      <c r="D1188" t="s">
        <v>156</v>
      </c>
      <c r="E1188" t="s">
        <v>117</v>
      </c>
      <c r="F1188" t="s">
        <v>99</v>
      </c>
      <c r="G1188">
        <v>21898</v>
      </c>
      <c r="H1188" t="s">
        <v>312</v>
      </c>
      <c r="I1188">
        <v>2</v>
      </c>
      <c r="J1188" t="s">
        <v>101</v>
      </c>
      <c r="K1188" s="19">
        <v>0.29166666666666669</v>
      </c>
      <c r="L1188" s="19">
        <v>0.60416666666666663</v>
      </c>
      <c r="M1188">
        <v>7.5</v>
      </c>
      <c r="N1188">
        <v>203.35</v>
      </c>
      <c r="O1188">
        <v>50</v>
      </c>
      <c r="P1188">
        <v>76</v>
      </c>
      <c r="Q1188" t="s">
        <v>99</v>
      </c>
      <c r="R1188">
        <v>30</v>
      </c>
      <c r="S1188" s="19">
        <v>0.5</v>
      </c>
      <c r="T1188">
        <v>0</v>
      </c>
      <c r="U1188" s="19">
        <v>0.54166666666666663</v>
      </c>
      <c r="V1188" t="s">
        <v>99</v>
      </c>
      <c r="W1188">
        <v>7</v>
      </c>
      <c r="X1188" t="s">
        <v>102</v>
      </c>
      <c r="Y1188" t="b">
        <v>0</v>
      </c>
    </row>
    <row r="1189" spans="1:25" x14ac:dyDescent="0.55000000000000004">
      <c r="A1189" t="s">
        <v>94</v>
      </c>
      <c r="B1189" t="s">
        <v>310</v>
      </c>
      <c r="C1189" t="s">
        <v>308</v>
      </c>
      <c r="D1189" t="s">
        <v>156</v>
      </c>
      <c r="E1189" t="s">
        <v>117</v>
      </c>
      <c r="F1189" t="s">
        <v>99</v>
      </c>
      <c r="G1189">
        <v>21898</v>
      </c>
      <c r="H1189" t="s">
        <v>312</v>
      </c>
      <c r="I1189">
        <v>2</v>
      </c>
      <c r="J1189" t="s">
        <v>103</v>
      </c>
      <c r="K1189" s="19">
        <v>0.29166666666666669</v>
      </c>
      <c r="L1189" s="19">
        <v>0.60416666666666663</v>
      </c>
      <c r="M1189">
        <v>7.5</v>
      </c>
      <c r="N1189">
        <v>203.35</v>
      </c>
      <c r="O1189">
        <v>50</v>
      </c>
      <c r="P1189">
        <v>76</v>
      </c>
      <c r="Q1189" t="s">
        <v>99</v>
      </c>
      <c r="R1189">
        <v>30</v>
      </c>
      <c r="S1189" s="19">
        <v>0.5</v>
      </c>
      <c r="T1189">
        <v>0</v>
      </c>
      <c r="U1189" s="19">
        <v>0.54166666666666663</v>
      </c>
      <c r="V1189" t="s">
        <v>99</v>
      </c>
      <c r="W1189">
        <v>7</v>
      </c>
      <c r="X1189" t="s">
        <v>102</v>
      </c>
      <c r="Y1189" t="b">
        <v>0</v>
      </c>
    </row>
    <row r="1190" spans="1:25" x14ac:dyDescent="0.55000000000000004">
      <c r="A1190" t="s">
        <v>94</v>
      </c>
      <c r="B1190" t="s">
        <v>310</v>
      </c>
      <c r="C1190" t="s">
        <v>308</v>
      </c>
      <c r="D1190" t="s">
        <v>156</v>
      </c>
      <c r="E1190" t="s">
        <v>117</v>
      </c>
      <c r="F1190" t="s">
        <v>99</v>
      </c>
      <c r="G1190">
        <v>21898</v>
      </c>
      <c r="H1190" t="s">
        <v>312</v>
      </c>
      <c r="I1190">
        <v>2</v>
      </c>
      <c r="J1190" t="s">
        <v>105</v>
      </c>
      <c r="K1190" s="19">
        <v>0.29166666666666669</v>
      </c>
      <c r="L1190" s="19">
        <v>0.60416666666666663</v>
      </c>
      <c r="M1190">
        <v>7.5</v>
      </c>
      <c r="N1190">
        <v>203.35</v>
      </c>
      <c r="O1190">
        <v>50</v>
      </c>
      <c r="P1190">
        <v>76</v>
      </c>
      <c r="Q1190" t="s">
        <v>99</v>
      </c>
      <c r="R1190">
        <v>30</v>
      </c>
      <c r="S1190" s="19">
        <v>0.5</v>
      </c>
      <c r="T1190">
        <v>0</v>
      </c>
      <c r="U1190" s="19">
        <v>0.54166666666666663</v>
      </c>
      <c r="V1190" t="s">
        <v>99</v>
      </c>
      <c r="W1190">
        <v>7</v>
      </c>
      <c r="X1190" t="s">
        <v>102</v>
      </c>
      <c r="Y1190" t="b">
        <v>0</v>
      </c>
    </row>
    <row r="1191" spans="1:25" x14ac:dyDescent="0.55000000000000004">
      <c r="A1191" t="s">
        <v>94</v>
      </c>
      <c r="B1191" t="s">
        <v>313</v>
      </c>
      <c r="C1191" t="s">
        <v>308</v>
      </c>
      <c r="D1191" t="s">
        <v>170</v>
      </c>
      <c r="E1191" t="s">
        <v>117</v>
      </c>
      <c r="F1191" t="s">
        <v>99</v>
      </c>
      <c r="H1191" t="s">
        <v>99</v>
      </c>
      <c r="I1191">
        <v>1</v>
      </c>
      <c r="J1191" t="s">
        <v>107</v>
      </c>
      <c r="K1191" s="19">
        <v>0.3125</v>
      </c>
      <c r="L1191" s="19">
        <v>0.58333333333333337</v>
      </c>
      <c r="M1191">
        <v>6.5</v>
      </c>
      <c r="N1191">
        <v>169.14</v>
      </c>
      <c r="O1191">
        <v>0</v>
      </c>
      <c r="P1191">
        <v>0</v>
      </c>
      <c r="Q1191" t="s">
        <v>99</v>
      </c>
      <c r="R1191">
        <v>30</v>
      </c>
      <c r="S1191" s="19">
        <v>0.52083333333333337</v>
      </c>
      <c r="T1191">
        <v>0</v>
      </c>
      <c r="U1191" s="19">
        <v>0</v>
      </c>
      <c r="V1191" t="s">
        <v>99</v>
      </c>
      <c r="W1191">
        <v>6</v>
      </c>
      <c r="X1191" t="s">
        <v>102</v>
      </c>
      <c r="Y1191" t="b">
        <v>0</v>
      </c>
    </row>
    <row r="1192" spans="1:25" x14ac:dyDescent="0.55000000000000004">
      <c r="A1192" t="s">
        <v>94</v>
      </c>
      <c r="B1192" t="s">
        <v>313</v>
      </c>
      <c r="C1192" t="s">
        <v>308</v>
      </c>
      <c r="D1192" t="s">
        <v>170</v>
      </c>
      <c r="E1192" t="s">
        <v>117</v>
      </c>
      <c r="F1192" t="s">
        <v>99</v>
      </c>
      <c r="H1192" t="s">
        <v>99</v>
      </c>
      <c r="I1192">
        <v>1</v>
      </c>
      <c r="J1192" t="s">
        <v>103</v>
      </c>
      <c r="K1192" s="19">
        <v>0.3125</v>
      </c>
      <c r="L1192" s="19">
        <v>0.66666666666666663</v>
      </c>
      <c r="M1192">
        <v>8.5</v>
      </c>
      <c r="N1192">
        <v>225.52</v>
      </c>
      <c r="O1192">
        <v>0</v>
      </c>
      <c r="P1192">
        <v>0</v>
      </c>
      <c r="Q1192" t="s">
        <v>99</v>
      </c>
      <c r="R1192">
        <v>30</v>
      </c>
      <c r="S1192" s="19">
        <v>0.52083333333333337</v>
      </c>
      <c r="T1192">
        <v>0</v>
      </c>
      <c r="U1192" s="19">
        <v>0</v>
      </c>
      <c r="V1192" t="s">
        <v>99</v>
      </c>
      <c r="W1192">
        <v>8</v>
      </c>
      <c r="X1192" t="s">
        <v>102</v>
      </c>
      <c r="Y1192" t="b">
        <v>0</v>
      </c>
    </row>
    <row r="1193" spans="1:25" x14ac:dyDescent="0.55000000000000004">
      <c r="A1193" t="s">
        <v>94</v>
      </c>
      <c r="B1193" t="s">
        <v>313</v>
      </c>
      <c r="C1193" t="s">
        <v>308</v>
      </c>
      <c r="D1193" t="s">
        <v>170</v>
      </c>
      <c r="E1193" t="s">
        <v>117</v>
      </c>
      <c r="F1193" t="s">
        <v>99</v>
      </c>
      <c r="H1193" t="s">
        <v>99</v>
      </c>
      <c r="I1193">
        <v>1</v>
      </c>
      <c r="J1193" t="s">
        <v>104</v>
      </c>
      <c r="K1193" s="19">
        <v>0.3125</v>
      </c>
      <c r="L1193" s="19">
        <v>0.66666666666666663</v>
      </c>
      <c r="M1193">
        <v>8.5</v>
      </c>
      <c r="N1193">
        <v>225.52</v>
      </c>
      <c r="O1193">
        <v>0</v>
      </c>
      <c r="P1193">
        <v>0</v>
      </c>
      <c r="Q1193" t="s">
        <v>99</v>
      </c>
      <c r="R1193">
        <v>30</v>
      </c>
      <c r="S1193" s="19">
        <v>0.52083333333333337</v>
      </c>
      <c r="T1193">
        <v>0</v>
      </c>
      <c r="U1193" s="19">
        <v>0</v>
      </c>
      <c r="V1193" t="s">
        <v>99</v>
      </c>
      <c r="W1193">
        <v>8</v>
      </c>
      <c r="X1193" t="s">
        <v>102</v>
      </c>
      <c r="Y1193" t="b">
        <v>0</v>
      </c>
    </row>
    <row r="1194" spans="1:25" x14ac:dyDescent="0.55000000000000004">
      <c r="A1194" t="s">
        <v>94</v>
      </c>
      <c r="B1194" t="s">
        <v>313</v>
      </c>
      <c r="C1194" t="s">
        <v>308</v>
      </c>
      <c r="D1194" t="s">
        <v>170</v>
      </c>
      <c r="E1194" t="s">
        <v>117</v>
      </c>
      <c r="F1194" t="s">
        <v>99</v>
      </c>
      <c r="H1194" t="s">
        <v>99</v>
      </c>
      <c r="I1194">
        <v>1</v>
      </c>
      <c r="J1194" t="s">
        <v>105</v>
      </c>
      <c r="K1194" s="19">
        <v>0.3125</v>
      </c>
      <c r="L1194" s="19">
        <v>0.66666666666666663</v>
      </c>
      <c r="M1194">
        <v>8.5</v>
      </c>
      <c r="N1194">
        <v>225.52</v>
      </c>
      <c r="O1194">
        <v>0</v>
      </c>
      <c r="P1194">
        <v>0</v>
      </c>
      <c r="Q1194" t="s">
        <v>99</v>
      </c>
      <c r="R1194">
        <v>30</v>
      </c>
      <c r="S1194" s="19">
        <v>0.52083333333333337</v>
      </c>
      <c r="T1194">
        <v>0</v>
      </c>
      <c r="U1194" s="19">
        <v>0</v>
      </c>
      <c r="V1194" t="s">
        <v>99</v>
      </c>
      <c r="W1194">
        <v>8</v>
      </c>
      <c r="X1194" t="s">
        <v>102</v>
      </c>
      <c r="Y1194" t="b">
        <v>0</v>
      </c>
    </row>
    <row r="1195" spans="1:25" x14ac:dyDescent="0.55000000000000004">
      <c r="A1195" t="s">
        <v>94</v>
      </c>
      <c r="B1195" t="s">
        <v>313</v>
      </c>
      <c r="C1195" t="s">
        <v>308</v>
      </c>
      <c r="D1195" t="s">
        <v>170</v>
      </c>
      <c r="E1195" t="s">
        <v>117</v>
      </c>
      <c r="F1195" t="s">
        <v>99</v>
      </c>
      <c r="H1195" t="s">
        <v>99</v>
      </c>
      <c r="I1195">
        <v>2</v>
      </c>
      <c r="J1195" t="s">
        <v>107</v>
      </c>
      <c r="K1195" s="19">
        <v>0.3125</v>
      </c>
      <c r="L1195" s="19">
        <v>0.58333333333333337</v>
      </c>
      <c r="M1195">
        <v>6.5</v>
      </c>
      <c r="N1195">
        <v>169.14</v>
      </c>
      <c r="O1195">
        <v>0</v>
      </c>
      <c r="P1195">
        <v>0</v>
      </c>
      <c r="Q1195" t="s">
        <v>99</v>
      </c>
      <c r="R1195">
        <v>30</v>
      </c>
      <c r="S1195" s="19">
        <v>0.52083333333333337</v>
      </c>
      <c r="T1195">
        <v>0</v>
      </c>
      <c r="U1195" s="19">
        <v>0</v>
      </c>
      <c r="V1195" t="s">
        <v>99</v>
      </c>
      <c r="W1195">
        <v>6</v>
      </c>
      <c r="X1195" t="s">
        <v>102</v>
      </c>
      <c r="Y1195" t="b">
        <v>0</v>
      </c>
    </row>
    <row r="1196" spans="1:25" x14ac:dyDescent="0.55000000000000004">
      <c r="A1196" t="s">
        <v>94</v>
      </c>
      <c r="B1196" t="s">
        <v>313</v>
      </c>
      <c r="C1196" t="s">
        <v>308</v>
      </c>
      <c r="D1196" t="s">
        <v>170</v>
      </c>
      <c r="E1196" t="s">
        <v>117</v>
      </c>
      <c r="F1196" t="s">
        <v>99</v>
      </c>
      <c r="H1196" t="s">
        <v>99</v>
      </c>
      <c r="I1196">
        <v>2</v>
      </c>
      <c r="J1196" t="s">
        <v>103</v>
      </c>
      <c r="K1196" s="19">
        <v>0.3125</v>
      </c>
      <c r="L1196" s="19">
        <v>0.66666666666666663</v>
      </c>
      <c r="M1196">
        <v>8.5</v>
      </c>
      <c r="N1196">
        <v>225.52</v>
      </c>
      <c r="O1196">
        <v>0</v>
      </c>
      <c r="P1196">
        <v>0</v>
      </c>
      <c r="Q1196" t="s">
        <v>99</v>
      </c>
      <c r="R1196">
        <v>30</v>
      </c>
      <c r="S1196" s="19">
        <v>0.52083333333333337</v>
      </c>
      <c r="T1196">
        <v>0</v>
      </c>
      <c r="U1196" s="19">
        <v>0</v>
      </c>
      <c r="V1196" t="s">
        <v>99</v>
      </c>
      <c r="W1196">
        <v>8</v>
      </c>
      <c r="X1196" t="s">
        <v>102</v>
      </c>
      <c r="Y1196" t="b">
        <v>0</v>
      </c>
    </row>
    <row r="1197" spans="1:25" x14ac:dyDescent="0.55000000000000004">
      <c r="A1197" t="s">
        <v>94</v>
      </c>
      <c r="B1197" t="s">
        <v>313</v>
      </c>
      <c r="C1197" t="s">
        <v>308</v>
      </c>
      <c r="D1197" t="s">
        <v>170</v>
      </c>
      <c r="E1197" t="s">
        <v>117</v>
      </c>
      <c r="F1197" t="s">
        <v>99</v>
      </c>
      <c r="H1197" t="s">
        <v>99</v>
      </c>
      <c r="I1197">
        <v>2</v>
      </c>
      <c r="J1197" t="s">
        <v>104</v>
      </c>
      <c r="K1197" s="19">
        <v>0.3125</v>
      </c>
      <c r="L1197" s="19">
        <v>0.66666666666666663</v>
      </c>
      <c r="M1197">
        <v>8.5</v>
      </c>
      <c r="N1197">
        <v>225.52</v>
      </c>
      <c r="O1197">
        <v>0</v>
      </c>
      <c r="P1197">
        <v>0</v>
      </c>
      <c r="Q1197" t="s">
        <v>99</v>
      </c>
      <c r="R1197">
        <v>30</v>
      </c>
      <c r="S1197" s="19">
        <v>0.52083333333333337</v>
      </c>
      <c r="T1197">
        <v>0</v>
      </c>
      <c r="U1197" s="19">
        <v>0</v>
      </c>
      <c r="V1197" t="s">
        <v>99</v>
      </c>
      <c r="W1197">
        <v>8</v>
      </c>
      <c r="X1197" t="s">
        <v>102</v>
      </c>
      <c r="Y1197" t="b">
        <v>0</v>
      </c>
    </row>
    <row r="1198" spans="1:25" x14ac:dyDescent="0.55000000000000004">
      <c r="A1198" t="s">
        <v>94</v>
      </c>
      <c r="B1198" t="s">
        <v>313</v>
      </c>
      <c r="C1198" t="s">
        <v>308</v>
      </c>
      <c r="D1198" t="s">
        <v>170</v>
      </c>
      <c r="E1198" t="s">
        <v>117</v>
      </c>
      <c r="F1198" t="s">
        <v>99</v>
      </c>
      <c r="H1198" t="s">
        <v>99</v>
      </c>
      <c r="I1198">
        <v>2</v>
      </c>
      <c r="J1198" t="s">
        <v>105</v>
      </c>
      <c r="K1198" s="19">
        <v>0.3125</v>
      </c>
      <c r="L1198" s="19">
        <v>0.66666666666666663</v>
      </c>
      <c r="M1198">
        <v>8.5</v>
      </c>
      <c r="N1198">
        <v>225.52</v>
      </c>
      <c r="O1198">
        <v>0</v>
      </c>
      <c r="P1198">
        <v>0</v>
      </c>
      <c r="Q1198" t="s">
        <v>99</v>
      </c>
      <c r="R1198">
        <v>30</v>
      </c>
      <c r="S1198" s="19">
        <v>0.52083333333333337</v>
      </c>
      <c r="T1198">
        <v>0</v>
      </c>
      <c r="U1198" s="19">
        <v>0</v>
      </c>
      <c r="V1198" t="s">
        <v>99</v>
      </c>
      <c r="W1198">
        <v>8</v>
      </c>
      <c r="X1198" t="s">
        <v>102</v>
      </c>
      <c r="Y1198" t="b">
        <v>0</v>
      </c>
    </row>
    <row r="1199" spans="1:25" x14ac:dyDescent="0.55000000000000004">
      <c r="A1199" t="s">
        <v>94</v>
      </c>
      <c r="B1199" t="s">
        <v>313</v>
      </c>
      <c r="C1199" t="s">
        <v>308</v>
      </c>
      <c r="D1199" t="s">
        <v>170</v>
      </c>
      <c r="E1199" t="s">
        <v>117</v>
      </c>
      <c r="F1199" t="s">
        <v>99</v>
      </c>
      <c r="G1199">
        <v>19509</v>
      </c>
      <c r="H1199" t="s">
        <v>306</v>
      </c>
      <c r="I1199">
        <v>1</v>
      </c>
      <c r="J1199" t="s">
        <v>101</v>
      </c>
      <c r="K1199" s="19">
        <v>0.3125</v>
      </c>
      <c r="L1199" s="19">
        <v>0.66666666666666663</v>
      </c>
      <c r="M1199">
        <v>8.5</v>
      </c>
      <c r="N1199">
        <v>314.88</v>
      </c>
      <c r="O1199">
        <v>76</v>
      </c>
      <c r="P1199">
        <v>76</v>
      </c>
      <c r="Q1199" t="s">
        <v>99</v>
      </c>
      <c r="R1199">
        <v>30</v>
      </c>
      <c r="S1199" s="19">
        <v>0.52083333333333337</v>
      </c>
      <c r="T1199">
        <v>0</v>
      </c>
      <c r="U1199" s="19">
        <v>0</v>
      </c>
      <c r="V1199" t="s">
        <v>99</v>
      </c>
      <c r="W1199">
        <v>8</v>
      </c>
      <c r="X1199" t="s">
        <v>102</v>
      </c>
      <c r="Y1199" t="b">
        <v>0</v>
      </c>
    </row>
    <row r="1200" spans="1:25" x14ac:dyDescent="0.55000000000000004">
      <c r="A1200" t="s">
        <v>94</v>
      </c>
      <c r="B1200" t="s">
        <v>313</v>
      </c>
      <c r="C1200" t="s">
        <v>308</v>
      </c>
      <c r="D1200" t="s">
        <v>170</v>
      </c>
      <c r="E1200" t="s">
        <v>117</v>
      </c>
      <c r="F1200" t="s">
        <v>99</v>
      </c>
      <c r="G1200">
        <v>19509</v>
      </c>
      <c r="H1200" t="s">
        <v>306</v>
      </c>
      <c r="I1200">
        <v>2</v>
      </c>
      <c r="J1200" t="s">
        <v>101</v>
      </c>
      <c r="K1200" s="19">
        <v>0.3125</v>
      </c>
      <c r="L1200" s="19">
        <v>0.66666666666666663</v>
      </c>
      <c r="M1200">
        <v>8.5</v>
      </c>
      <c r="N1200">
        <v>314.88</v>
      </c>
      <c r="O1200">
        <v>76</v>
      </c>
      <c r="P1200">
        <v>76</v>
      </c>
      <c r="Q1200" t="s">
        <v>99</v>
      </c>
      <c r="R1200">
        <v>30</v>
      </c>
      <c r="S1200" s="19">
        <v>0.52083333333333337</v>
      </c>
      <c r="T1200">
        <v>0</v>
      </c>
      <c r="U1200" s="19">
        <v>0</v>
      </c>
      <c r="V1200" t="s">
        <v>99</v>
      </c>
      <c r="W1200">
        <v>8</v>
      </c>
      <c r="X1200" t="s">
        <v>102</v>
      </c>
      <c r="Y1200" t="b">
        <v>0</v>
      </c>
    </row>
    <row r="1201" spans="1:25" x14ac:dyDescent="0.55000000000000004">
      <c r="A1201" t="s">
        <v>94</v>
      </c>
      <c r="B1201" t="s">
        <v>314</v>
      </c>
      <c r="C1201" t="s">
        <v>308</v>
      </c>
      <c r="D1201" t="s">
        <v>160</v>
      </c>
      <c r="E1201" t="s">
        <v>161</v>
      </c>
      <c r="F1201" t="s">
        <v>99</v>
      </c>
      <c r="G1201">
        <v>21354</v>
      </c>
      <c r="H1201" t="s">
        <v>315</v>
      </c>
      <c r="I1201">
        <v>1</v>
      </c>
      <c r="J1201" t="s">
        <v>105</v>
      </c>
      <c r="K1201" s="19">
        <v>0.33333333333333331</v>
      </c>
      <c r="L1201" s="19">
        <v>0.6875</v>
      </c>
      <c r="M1201">
        <v>8.5</v>
      </c>
      <c r="N1201">
        <v>280.88</v>
      </c>
      <c r="O1201">
        <v>56</v>
      </c>
      <c r="P1201">
        <v>76</v>
      </c>
      <c r="Q1201" t="s">
        <v>99</v>
      </c>
      <c r="R1201">
        <v>30</v>
      </c>
      <c r="S1201" s="19">
        <v>0.5</v>
      </c>
      <c r="T1201">
        <v>0</v>
      </c>
      <c r="U1201" s="19">
        <v>0.54166666666666663</v>
      </c>
      <c r="V1201" t="s">
        <v>99</v>
      </c>
      <c r="W1201">
        <v>8</v>
      </c>
      <c r="X1201" t="s">
        <v>102</v>
      </c>
      <c r="Y1201" t="b">
        <v>0</v>
      </c>
    </row>
    <row r="1202" spans="1:25" x14ac:dyDescent="0.55000000000000004">
      <c r="A1202" t="s">
        <v>94</v>
      </c>
      <c r="B1202" t="s">
        <v>314</v>
      </c>
      <c r="C1202" t="s">
        <v>308</v>
      </c>
      <c r="D1202" t="s">
        <v>160</v>
      </c>
      <c r="E1202" t="s">
        <v>164</v>
      </c>
      <c r="F1202" t="s">
        <v>99</v>
      </c>
      <c r="H1202" t="s">
        <v>99</v>
      </c>
      <c r="I1202">
        <v>1</v>
      </c>
      <c r="J1202" t="s">
        <v>107</v>
      </c>
      <c r="K1202" s="19">
        <v>0.33333333333333331</v>
      </c>
      <c r="L1202" s="19">
        <v>0.6875</v>
      </c>
      <c r="M1202">
        <v>8.5</v>
      </c>
      <c r="N1202">
        <v>258.32</v>
      </c>
      <c r="O1202">
        <v>0</v>
      </c>
      <c r="P1202">
        <v>0</v>
      </c>
      <c r="Q1202" t="s">
        <v>99</v>
      </c>
      <c r="R1202">
        <v>30</v>
      </c>
      <c r="S1202" s="19">
        <v>0.54166666666666663</v>
      </c>
      <c r="T1202">
        <v>0</v>
      </c>
      <c r="U1202" s="19">
        <v>0.54166666666666663</v>
      </c>
      <c r="V1202" t="s">
        <v>99</v>
      </c>
      <c r="W1202">
        <v>8</v>
      </c>
      <c r="X1202" t="s">
        <v>102</v>
      </c>
      <c r="Y1202" t="b">
        <v>0</v>
      </c>
    </row>
    <row r="1203" spans="1:25" x14ac:dyDescent="0.55000000000000004">
      <c r="A1203" t="s">
        <v>94</v>
      </c>
      <c r="B1203" t="s">
        <v>314</v>
      </c>
      <c r="C1203" t="s">
        <v>308</v>
      </c>
      <c r="D1203" t="s">
        <v>160</v>
      </c>
      <c r="E1203" t="s">
        <v>164</v>
      </c>
      <c r="F1203" t="s">
        <v>99</v>
      </c>
      <c r="G1203">
        <v>18562</v>
      </c>
      <c r="H1203" t="s">
        <v>316</v>
      </c>
      <c r="I1203">
        <v>1</v>
      </c>
      <c r="J1203" t="s">
        <v>103</v>
      </c>
      <c r="K1203" s="19">
        <v>0.33333333333333331</v>
      </c>
      <c r="L1203" s="19">
        <v>0.6875</v>
      </c>
      <c r="M1203">
        <v>8.5</v>
      </c>
      <c r="N1203">
        <v>287.36</v>
      </c>
      <c r="O1203">
        <v>72</v>
      </c>
      <c r="P1203">
        <v>76</v>
      </c>
      <c r="Q1203" t="s">
        <v>99</v>
      </c>
      <c r="R1203">
        <v>30</v>
      </c>
      <c r="S1203" s="19">
        <v>0.54166666666666663</v>
      </c>
      <c r="T1203">
        <v>0</v>
      </c>
      <c r="U1203" s="19">
        <v>0</v>
      </c>
      <c r="V1203" t="s">
        <v>99</v>
      </c>
      <c r="W1203">
        <v>8</v>
      </c>
      <c r="X1203" t="s">
        <v>102</v>
      </c>
      <c r="Y1203" t="b">
        <v>0</v>
      </c>
    </row>
    <row r="1204" spans="1:25" x14ac:dyDescent="0.55000000000000004">
      <c r="A1204" t="s">
        <v>94</v>
      </c>
      <c r="B1204" t="s">
        <v>314</v>
      </c>
      <c r="C1204" t="s">
        <v>308</v>
      </c>
      <c r="D1204" t="s">
        <v>160</v>
      </c>
      <c r="E1204" t="s">
        <v>164</v>
      </c>
      <c r="F1204" t="s">
        <v>99</v>
      </c>
      <c r="G1204">
        <v>18562</v>
      </c>
      <c r="H1204" t="s">
        <v>316</v>
      </c>
      <c r="I1204">
        <v>1</v>
      </c>
      <c r="J1204" t="s">
        <v>104</v>
      </c>
      <c r="K1204" s="19">
        <v>0.33333333333333331</v>
      </c>
      <c r="L1204" s="19">
        <v>0.6875</v>
      </c>
      <c r="M1204">
        <v>8.5</v>
      </c>
      <c r="N1204">
        <v>287.36</v>
      </c>
      <c r="O1204">
        <v>72</v>
      </c>
      <c r="P1204">
        <v>76</v>
      </c>
      <c r="Q1204" t="s">
        <v>99</v>
      </c>
      <c r="R1204">
        <v>30</v>
      </c>
      <c r="S1204" s="19">
        <v>0.54166666666666663</v>
      </c>
      <c r="T1204">
        <v>0</v>
      </c>
      <c r="U1204" s="19">
        <v>0</v>
      </c>
      <c r="V1204" t="s">
        <v>99</v>
      </c>
      <c r="W1204">
        <v>8</v>
      </c>
      <c r="X1204" t="s">
        <v>102</v>
      </c>
      <c r="Y1204" t="b">
        <v>0</v>
      </c>
    </row>
    <row r="1205" spans="1:25" x14ac:dyDescent="0.55000000000000004">
      <c r="A1205" t="s">
        <v>94</v>
      </c>
      <c r="B1205" t="s">
        <v>314</v>
      </c>
      <c r="C1205" t="s">
        <v>308</v>
      </c>
      <c r="D1205" t="s">
        <v>160</v>
      </c>
      <c r="E1205" t="s">
        <v>164</v>
      </c>
      <c r="F1205" t="s">
        <v>99</v>
      </c>
      <c r="G1205">
        <v>18562</v>
      </c>
      <c r="H1205" t="s">
        <v>316</v>
      </c>
      <c r="I1205">
        <v>1</v>
      </c>
      <c r="J1205" t="s">
        <v>105</v>
      </c>
      <c r="K1205" s="19">
        <v>0.33333333333333331</v>
      </c>
      <c r="L1205" s="19">
        <v>0.6875</v>
      </c>
      <c r="M1205">
        <v>8.5</v>
      </c>
      <c r="N1205">
        <v>287.36</v>
      </c>
      <c r="O1205">
        <v>72</v>
      </c>
      <c r="P1205">
        <v>76</v>
      </c>
      <c r="Q1205" t="s">
        <v>99</v>
      </c>
      <c r="R1205">
        <v>30</v>
      </c>
      <c r="S1205" s="19">
        <v>0.54166666666666663</v>
      </c>
      <c r="T1205">
        <v>0</v>
      </c>
      <c r="U1205" s="19">
        <v>0</v>
      </c>
      <c r="V1205" t="s">
        <v>99</v>
      </c>
      <c r="W1205">
        <v>8</v>
      </c>
      <c r="X1205" t="s">
        <v>102</v>
      </c>
      <c r="Y1205" t="b">
        <v>0</v>
      </c>
    </row>
    <row r="1206" spans="1:25" x14ac:dyDescent="0.55000000000000004">
      <c r="A1206" t="s">
        <v>94</v>
      </c>
      <c r="B1206" t="s">
        <v>314</v>
      </c>
      <c r="C1206" t="s">
        <v>308</v>
      </c>
      <c r="D1206" t="s">
        <v>160</v>
      </c>
      <c r="E1206" t="s">
        <v>164</v>
      </c>
      <c r="F1206" t="s">
        <v>99</v>
      </c>
      <c r="G1206">
        <v>18562</v>
      </c>
      <c r="H1206" t="s">
        <v>316</v>
      </c>
      <c r="I1206">
        <v>2</v>
      </c>
      <c r="J1206" t="s">
        <v>107</v>
      </c>
      <c r="K1206" s="19">
        <v>0.33333333333333331</v>
      </c>
      <c r="L1206" s="19">
        <v>0.6875</v>
      </c>
      <c r="M1206">
        <v>8.5</v>
      </c>
      <c r="N1206">
        <v>287.36</v>
      </c>
      <c r="O1206">
        <v>72</v>
      </c>
      <c r="P1206">
        <v>76</v>
      </c>
      <c r="Q1206" t="s">
        <v>99</v>
      </c>
      <c r="R1206">
        <v>30</v>
      </c>
      <c r="S1206" s="19">
        <v>0.54166666666666663</v>
      </c>
      <c r="T1206">
        <v>0</v>
      </c>
      <c r="U1206" s="19">
        <v>0</v>
      </c>
      <c r="V1206" t="s">
        <v>99</v>
      </c>
      <c r="W1206">
        <v>8</v>
      </c>
      <c r="X1206" t="s">
        <v>102</v>
      </c>
      <c r="Y1206" t="b">
        <v>0</v>
      </c>
    </row>
    <row r="1207" spans="1:25" x14ac:dyDescent="0.55000000000000004">
      <c r="A1207" t="s">
        <v>94</v>
      </c>
      <c r="B1207" t="s">
        <v>314</v>
      </c>
      <c r="C1207" t="s">
        <v>308</v>
      </c>
      <c r="D1207" t="s">
        <v>160</v>
      </c>
      <c r="E1207" t="s">
        <v>164</v>
      </c>
      <c r="F1207" t="s">
        <v>99</v>
      </c>
      <c r="G1207">
        <v>18562</v>
      </c>
      <c r="H1207" t="s">
        <v>316</v>
      </c>
      <c r="I1207">
        <v>2</v>
      </c>
      <c r="J1207" t="s">
        <v>115</v>
      </c>
      <c r="K1207" s="19">
        <v>0.33333333333333331</v>
      </c>
      <c r="L1207" s="19">
        <v>0.6875</v>
      </c>
      <c r="M1207">
        <v>8.5</v>
      </c>
      <c r="N1207">
        <v>431.04</v>
      </c>
      <c r="O1207">
        <v>72</v>
      </c>
      <c r="P1207">
        <v>76</v>
      </c>
      <c r="Q1207" t="s">
        <v>99</v>
      </c>
      <c r="R1207">
        <v>30</v>
      </c>
      <c r="S1207" s="19">
        <v>0.54166666666666663</v>
      </c>
      <c r="T1207">
        <v>0</v>
      </c>
      <c r="U1207" s="19">
        <v>0.54166666666666663</v>
      </c>
      <c r="V1207" t="s">
        <v>99</v>
      </c>
      <c r="W1207">
        <v>8</v>
      </c>
      <c r="X1207" t="s">
        <v>102</v>
      </c>
      <c r="Y1207" t="b">
        <v>0</v>
      </c>
    </row>
    <row r="1208" spans="1:25" x14ac:dyDescent="0.55000000000000004">
      <c r="A1208" t="s">
        <v>94</v>
      </c>
      <c r="B1208" t="s">
        <v>314</v>
      </c>
      <c r="C1208" t="s">
        <v>308</v>
      </c>
      <c r="D1208" t="s">
        <v>160</v>
      </c>
      <c r="E1208" t="s">
        <v>164</v>
      </c>
      <c r="F1208" t="s">
        <v>99</v>
      </c>
      <c r="G1208">
        <v>18562</v>
      </c>
      <c r="H1208" t="s">
        <v>316</v>
      </c>
      <c r="I1208">
        <v>2</v>
      </c>
      <c r="J1208" t="s">
        <v>116</v>
      </c>
      <c r="K1208" s="19">
        <v>0.33333333333333331</v>
      </c>
      <c r="L1208" s="19">
        <v>0.6875</v>
      </c>
      <c r="M1208">
        <v>8.5</v>
      </c>
      <c r="N1208">
        <v>502.88</v>
      </c>
      <c r="O1208">
        <v>72</v>
      </c>
      <c r="P1208">
        <v>76</v>
      </c>
      <c r="Q1208" t="s">
        <v>99</v>
      </c>
      <c r="R1208">
        <v>30</v>
      </c>
      <c r="S1208" s="19">
        <v>0.54166666666666663</v>
      </c>
      <c r="T1208">
        <v>0</v>
      </c>
      <c r="U1208" s="19">
        <v>0.54166666666666663</v>
      </c>
      <c r="V1208" t="s">
        <v>99</v>
      </c>
      <c r="W1208">
        <v>8</v>
      </c>
      <c r="X1208" t="s">
        <v>102</v>
      </c>
      <c r="Y1208" t="b">
        <v>0</v>
      </c>
    </row>
    <row r="1209" spans="1:25" x14ac:dyDescent="0.55000000000000004">
      <c r="A1209" t="s">
        <v>94</v>
      </c>
      <c r="B1209" t="s">
        <v>314</v>
      </c>
      <c r="C1209" t="s">
        <v>308</v>
      </c>
      <c r="D1209" t="s">
        <v>160</v>
      </c>
      <c r="E1209" t="s">
        <v>164</v>
      </c>
      <c r="F1209" t="s">
        <v>99</v>
      </c>
      <c r="G1209">
        <v>18562</v>
      </c>
      <c r="H1209" t="s">
        <v>316</v>
      </c>
      <c r="I1209">
        <v>2</v>
      </c>
      <c r="J1209" t="s">
        <v>103</v>
      </c>
      <c r="K1209" s="19">
        <v>0.33333333333333331</v>
      </c>
      <c r="L1209" s="19">
        <v>0.6875</v>
      </c>
      <c r="M1209">
        <v>8.5</v>
      </c>
      <c r="N1209">
        <v>287.36</v>
      </c>
      <c r="O1209">
        <v>72</v>
      </c>
      <c r="P1209">
        <v>76</v>
      </c>
      <c r="Q1209" t="s">
        <v>99</v>
      </c>
      <c r="R1209">
        <v>30</v>
      </c>
      <c r="S1209" s="19">
        <v>0.54166666666666663</v>
      </c>
      <c r="T1209">
        <v>0</v>
      </c>
      <c r="U1209" s="19">
        <v>0</v>
      </c>
      <c r="V1209" t="s">
        <v>99</v>
      </c>
      <c r="W1209">
        <v>8</v>
      </c>
      <c r="X1209" t="s">
        <v>102</v>
      </c>
      <c r="Y1209" t="b">
        <v>0</v>
      </c>
    </row>
    <row r="1210" spans="1:25" x14ac:dyDescent="0.55000000000000004">
      <c r="A1210" t="s">
        <v>94</v>
      </c>
      <c r="B1210" t="s">
        <v>314</v>
      </c>
      <c r="C1210" t="s">
        <v>308</v>
      </c>
      <c r="D1210" t="s">
        <v>160</v>
      </c>
      <c r="E1210" t="s">
        <v>164</v>
      </c>
      <c r="F1210" t="s">
        <v>99</v>
      </c>
      <c r="G1210">
        <v>18562</v>
      </c>
      <c r="H1210" t="s">
        <v>316</v>
      </c>
      <c r="I1210">
        <v>2</v>
      </c>
      <c r="J1210" t="s">
        <v>104</v>
      </c>
      <c r="K1210" s="19">
        <v>0.33333333333333331</v>
      </c>
      <c r="L1210" s="19">
        <v>0.6875</v>
      </c>
      <c r="M1210">
        <v>8.5</v>
      </c>
      <c r="N1210">
        <v>287.36</v>
      </c>
      <c r="O1210">
        <v>72</v>
      </c>
      <c r="P1210">
        <v>76</v>
      </c>
      <c r="Q1210" t="s">
        <v>99</v>
      </c>
      <c r="R1210">
        <v>30</v>
      </c>
      <c r="S1210" s="19">
        <v>0.54166666666666663</v>
      </c>
      <c r="T1210">
        <v>0</v>
      </c>
      <c r="U1210" s="19">
        <v>0</v>
      </c>
      <c r="V1210" t="s">
        <v>99</v>
      </c>
      <c r="W1210">
        <v>8</v>
      </c>
      <c r="X1210" t="s">
        <v>102</v>
      </c>
      <c r="Y1210" t="b">
        <v>0</v>
      </c>
    </row>
    <row r="1211" spans="1:25" x14ac:dyDescent="0.55000000000000004">
      <c r="A1211" t="s">
        <v>94</v>
      </c>
      <c r="B1211" t="s">
        <v>314</v>
      </c>
      <c r="C1211" t="s">
        <v>308</v>
      </c>
      <c r="D1211" t="s">
        <v>160</v>
      </c>
      <c r="E1211" t="s">
        <v>164</v>
      </c>
      <c r="F1211" t="s">
        <v>99</v>
      </c>
      <c r="G1211">
        <v>18562</v>
      </c>
      <c r="H1211" t="s">
        <v>316</v>
      </c>
      <c r="I1211">
        <v>2</v>
      </c>
      <c r="J1211" t="s">
        <v>105</v>
      </c>
      <c r="K1211" s="19">
        <v>0.33333333333333331</v>
      </c>
      <c r="L1211" s="19">
        <v>0.6875</v>
      </c>
      <c r="M1211">
        <v>8.5</v>
      </c>
      <c r="N1211">
        <v>287.36</v>
      </c>
      <c r="O1211">
        <v>72</v>
      </c>
      <c r="P1211">
        <v>76</v>
      </c>
      <c r="Q1211" t="s">
        <v>99</v>
      </c>
      <c r="R1211">
        <v>30</v>
      </c>
      <c r="S1211" s="19">
        <v>0.54166666666666663</v>
      </c>
      <c r="T1211">
        <v>0</v>
      </c>
      <c r="U1211" s="19">
        <v>0</v>
      </c>
      <c r="V1211" t="s">
        <v>99</v>
      </c>
      <c r="W1211">
        <v>8</v>
      </c>
      <c r="X1211" t="s">
        <v>102</v>
      </c>
      <c r="Y1211" t="b">
        <v>0</v>
      </c>
    </row>
    <row r="1212" spans="1:25" x14ac:dyDescent="0.55000000000000004">
      <c r="A1212" t="s">
        <v>94</v>
      </c>
      <c r="B1212" t="s">
        <v>314</v>
      </c>
      <c r="C1212" t="s">
        <v>308</v>
      </c>
      <c r="D1212" t="s">
        <v>160</v>
      </c>
      <c r="E1212" t="s">
        <v>164</v>
      </c>
      <c r="F1212" t="s">
        <v>99</v>
      </c>
      <c r="G1212">
        <v>24564</v>
      </c>
      <c r="H1212" t="s">
        <v>317</v>
      </c>
      <c r="I1212">
        <v>1</v>
      </c>
      <c r="J1212" t="s">
        <v>101</v>
      </c>
      <c r="K1212" s="19">
        <v>0.33333333333333331</v>
      </c>
      <c r="L1212" s="19">
        <v>0.6875</v>
      </c>
      <c r="M1212">
        <v>8.5</v>
      </c>
      <c r="N1212">
        <v>258.32</v>
      </c>
      <c r="O1212">
        <v>40</v>
      </c>
      <c r="P1212">
        <v>76</v>
      </c>
      <c r="Q1212" t="s">
        <v>99</v>
      </c>
      <c r="R1212">
        <v>30</v>
      </c>
      <c r="S1212" s="19">
        <v>0.54166666666666663</v>
      </c>
      <c r="T1212">
        <v>0</v>
      </c>
      <c r="U1212" s="19">
        <v>0.54166666666666663</v>
      </c>
      <c r="V1212" t="s">
        <v>99</v>
      </c>
      <c r="W1212">
        <v>8</v>
      </c>
      <c r="X1212" t="s">
        <v>102</v>
      </c>
      <c r="Y1212" t="b">
        <v>0</v>
      </c>
    </row>
    <row r="1213" spans="1:25" x14ac:dyDescent="0.55000000000000004">
      <c r="A1213" t="s">
        <v>94</v>
      </c>
      <c r="B1213" t="s">
        <v>314</v>
      </c>
      <c r="C1213" t="s">
        <v>308</v>
      </c>
      <c r="D1213" t="s">
        <v>160</v>
      </c>
      <c r="E1213" t="s">
        <v>164</v>
      </c>
      <c r="F1213" t="s">
        <v>99</v>
      </c>
      <c r="G1213">
        <v>24564</v>
      </c>
      <c r="H1213" t="s">
        <v>317</v>
      </c>
      <c r="I1213">
        <v>1</v>
      </c>
      <c r="J1213" t="s">
        <v>115</v>
      </c>
      <c r="K1213" s="19">
        <v>0.33333333333333331</v>
      </c>
      <c r="L1213" s="19">
        <v>0.6875</v>
      </c>
      <c r="M1213">
        <v>8.5</v>
      </c>
      <c r="N1213">
        <v>387.48</v>
      </c>
      <c r="O1213">
        <v>40</v>
      </c>
      <c r="P1213">
        <v>76</v>
      </c>
      <c r="Q1213" t="s">
        <v>99</v>
      </c>
      <c r="R1213">
        <v>30</v>
      </c>
      <c r="S1213" s="19">
        <v>0.54166666666666663</v>
      </c>
      <c r="T1213">
        <v>0</v>
      </c>
      <c r="U1213" s="19">
        <v>0.54166666666666663</v>
      </c>
      <c r="V1213" t="s">
        <v>99</v>
      </c>
      <c r="W1213">
        <v>8</v>
      </c>
      <c r="X1213" t="s">
        <v>102</v>
      </c>
      <c r="Y1213" t="b">
        <v>0</v>
      </c>
    </row>
    <row r="1214" spans="1:25" x14ac:dyDescent="0.55000000000000004">
      <c r="A1214" t="s">
        <v>94</v>
      </c>
      <c r="B1214" t="s">
        <v>314</v>
      </c>
      <c r="C1214" t="s">
        <v>308</v>
      </c>
      <c r="D1214" t="s">
        <v>160</v>
      </c>
      <c r="E1214" t="s">
        <v>164</v>
      </c>
      <c r="F1214" t="s">
        <v>99</v>
      </c>
      <c r="G1214">
        <v>24564</v>
      </c>
      <c r="H1214" t="s">
        <v>317</v>
      </c>
      <c r="I1214">
        <v>1</v>
      </c>
      <c r="J1214" t="s">
        <v>116</v>
      </c>
      <c r="K1214" s="19">
        <v>0.33333333333333331</v>
      </c>
      <c r="L1214" s="19">
        <v>0.6875</v>
      </c>
      <c r="M1214">
        <v>8.5</v>
      </c>
      <c r="N1214">
        <v>452.06</v>
      </c>
      <c r="O1214">
        <v>40</v>
      </c>
      <c r="P1214">
        <v>76</v>
      </c>
      <c r="Q1214" t="s">
        <v>99</v>
      </c>
      <c r="R1214">
        <v>30</v>
      </c>
      <c r="S1214" s="19">
        <v>0.54166666666666663</v>
      </c>
      <c r="T1214">
        <v>0</v>
      </c>
      <c r="U1214" s="19">
        <v>0.54166666666666663</v>
      </c>
      <c r="V1214" t="s">
        <v>99</v>
      </c>
      <c r="W1214">
        <v>8</v>
      </c>
      <c r="X1214" t="s">
        <v>102</v>
      </c>
      <c r="Y1214" t="b">
        <v>0</v>
      </c>
    </row>
    <row r="1215" spans="1:25" x14ac:dyDescent="0.55000000000000004">
      <c r="A1215" t="s">
        <v>94</v>
      </c>
      <c r="B1215" t="s">
        <v>314</v>
      </c>
      <c r="C1215" t="s">
        <v>308</v>
      </c>
      <c r="D1215" t="s">
        <v>160</v>
      </c>
      <c r="E1215" t="s">
        <v>164</v>
      </c>
      <c r="F1215" t="s">
        <v>99</v>
      </c>
      <c r="G1215">
        <v>24564</v>
      </c>
      <c r="H1215" t="s">
        <v>317</v>
      </c>
      <c r="I1215">
        <v>1</v>
      </c>
      <c r="J1215" t="s">
        <v>104</v>
      </c>
      <c r="K1215" s="19">
        <v>0.33333333333333331</v>
      </c>
      <c r="L1215" s="19">
        <v>0.6875</v>
      </c>
      <c r="M1215">
        <v>8.5</v>
      </c>
      <c r="N1215">
        <v>258.32</v>
      </c>
      <c r="O1215">
        <v>40</v>
      </c>
      <c r="P1215">
        <v>76</v>
      </c>
      <c r="Q1215" t="s">
        <v>99</v>
      </c>
      <c r="R1215">
        <v>30</v>
      </c>
      <c r="S1215" s="19">
        <v>0.54166666666666663</v>
      </c>
      <c r="T1215">
        <v>0</v>
      </c>
      <c r="U1215" s="19">
        <v>0.54166666666666663</v>
      </c>
      <c r="V1215" t="s">
        <v>99</v>
      </c>
      <c r="W1215">
        <v>8</v>
      </c>
      <c r="X1215" t="s">
        <v>102</v>
      </c>
      <c r="Y1215" t="b">
        <v>0</v>
      </c>
    </row>
    <row r="1216" spans="1:25" x14ac:dyDescent="0.55000000000000004">
      <c r="A1216" t="s">
        <v>94</v>
      </c>
      <c r="B1216" t="s">
        <v>314</v>
      </c>
      <c r="C1216" t="s">
        <v>308</v>
      </c>
      <c r="D1216" t="s">
        <v>160</v>
      </c>
      <c r="E1216" t="s">
        <v>164</v>
      </c>
      <c r="F1216" t="s">
        <v>99</v>
      </c>
      <c r="G1216">
        <v>24564</v>
      </c>
      <c r="H1216" t="s">
        <v>317</v>
      </c>
      <c r="I1216">
        <v>2</v>
      </c>
      <c r="J1216" t="s">
        <v>101</v>
      </c>
      <c r="K1216" s="19">
        <v>0.33333333333333331</v>
      </c>
      <c r="L1216" s="19">
        <v>0.6875</v>
      </c>
      <c r="M1216">
        <v>8.5</v>
      </c>
      <c r="N1216">
        <v>258.32</v>
      </c>
      <c r="O1216">
        <v>40</v>
      </c>
      <c r="P1216">
        <v>76</v>
      </c>
      <c r="Q1216" t="s">
        <v>99</v>
      </c>
      <c r="R1216">
        <v>30</v>
      </c>
      <c r="S1216" s="19">
        <v>0.54166666666666663</v>
      </c>
      <c r="T1216">
        <v>0</v>
      </c>
      <c r="U1216" s="19">
        <v>0.54166666666666663</v>
      </c>
      <c r="V1216" t="s">
        <v>99</v>
      </c>
      <c r="W1216">
        <v>8</v>
      </c>
      <c r="X1216" t="s">
        <v>102</v>
      </c>
      <c r="Y1216" t="b">
        <v>0</v>
      </c>
    </row>
    <row r="1217" spans="1:25" x14ac:dyDescent="0.55000000000000004">
      <c r="A1217" t="s">
        <v>94</v>
      </c>
      <c r="B1217" t="s">
        <v>318</v>
      </c>
      <c r="C1217" t="s">
        <v>308</v>
      </c>
      <c r="D1217" t="s">
        <v>148</v>
      </c>
      <c r="E1217" t="s">
        <v>117</v>
      </c>
      <c r="F1217" t="s">
        <v>99</v>
      </c>
      <c r="H1217" t="s">
        <v>99</v>
      </c>
      <c r="I1217">
        <v>1</v>
      </c>
      <c r="J1217" t="s">
        <v>101</v>
      </c>
      <c r="K1217" s="19">
        <v>0.29166666666666669</v>
      </c>
      <c r="L1217" s="19">
        <v>0.625</v>
      </c>
      <c r="M1217">
        <v>8</v>
      </c>
      <c r="N1217">
        <v>211.43</v>
      </c>
      <c r="O1217">
        <v>0</v>
      </c>
      <c r="P1217">
        <v>0</v>
      </c>
      <c r="Q1217" t="s">
        <v>99</v>
      </c>
      <c r="R1217">
        <v>30</v>
      </c>
      <c r="S1217" s="19">
        <v>0.60416666666666663</v>
      </c>
      <c r="T1217">
        <v>0</v>
      </c>
      <c r="U1217" s="19">
        <v>0</v>
      </c>
      <c r="V1217" t="s">
        <v>99</v>
      </c>
      <c r="W1217">
        <v>7.5</v>
      </c>
      <c r="X1217" t="s">
        <v>102</v>
      </c>
      <c r="Y1217" t="b">
        <v>0</v>
      </c>
    </row>
    <row r="1218" spans="1:25" x14ac:dyDescent="0.55000000000000004">
      <c r="A1218" t="s">
        <v>94</v>
      </c>
      <c r="B1218" t="s">
        <v>318</v>
      </c>
      <c r="C1218" t="s">
        <v>308</v>
      </c>
      <c r="D1218" t="s">
        <v>148</v>
      </c>
      <c r="E1218" t="s">
        <v>117</v>
      </c>
      <c r="F1218" t="s">
        <v>99</v>
      </c>
      <c r="H1218" t="s">
        <v>99</v>
      </c>
      <c r="I1218">
        <v>1</v>
      </c>
      <c r="J1218" t="s">
        <v>115</v>
      </c>
      <c r="K1218" s="19">
        <v>0.29166666666666669</v>
      </c>
      <c r="L1218" s="19">
        <v>0.45833333333333331</v>
      </c>
      <c r="M1218">
        <v>4</v>
      </c>
      <c r="N1218">
        <v>169.14</v>
      </c>
      <c r="O1218">
        <v>0</v>
      </c>
      <c r="P1218">
        <v>0</v>
      </c>
      <c r="Q1218" t="s">
        <v>99</v>
      </c>
      <c r="R1218">
        <v>0</v>
      </c>
      <c r="S1218" s="19">
        <v>0.5</v>
      </c>
      <c r="T1218">
        <v>0</v>
      </c>
      <c r="U1218" s="19">
        <v>0.54166666666666663</v>
      </c>
      <c r="V1218" t="s">
        <v>99</v>
      </c>
      <c r="W1218">
        <v>4</v>
      </c>
      <c r="X1218" t="s">
        <v>102</v>
      </c>
      <c r="Y1218" t="b">
        <v>0</v>
      </c>
    </row>
    <row r="1219" spans="1:25" x14ac:dyDescent="0.55000000000000004">
      <c r="A1219" t="s">
        <v>94</v>
      </c>
      <c r="B1219" t="s">
        <v>318</v>
      </c>
      <c r="C1219" t="s">
        <v>308</v>
      </c>
      <c r="D1219" t="s">
        <v>148</v>
      </c>
      <c r="E1219" t="s">
        <v>117</v>
      </c>
      <c r="F1219" t="s">
        <v>99</v>
      </c>
      <c r="H1219" t="s">
        <v>99</v>
      </c>
      <c r="I1219">
        <v>1</v>
      </c>
      <c r="J1219" t="s">
        <v>116</v>
      </c>
      <c r="K1219" s="19">
        <v>0.29166666666666669</v>
      </c>
      <c r="L1219" s="19">
        <v>0.45833333333333331</v>
      </c>
      <c r="M1219">
        <v>4</v>
      </c>
      <c r="N1219">
        <v>197.33</v>
      </c>
      <c r="O1219">
        <v>0</v>
      </c>
      <c r="P1219">
        <v>0</v>
      </c>
      <c r="Q1219" t="s">
        <v>99</v>
      </c>
      <c r="R1219">
        <v>0</v>
      </c>
      <c r="S1219" s="19">
        <v>0.5</v>
      </c>
      <c r="T1219">
        <v>0</v>
      </c>
      <c r="U1219" s="19">
        <v>0.54166666666666663</v>
      </c>
      <c r="V1219" t="s">
        <v>99</v>
      </c>
      <c r="W1219">
        <v>4</v>
      </c>
      <c r="X1219" t="s">
        <v>102</v>
      </c>
      <c r="Y1219" t="b">
        <v>0</v>
      </c>
    </row>
    <row r="1220" spans="1:25" x14ac:dyDescent="0.55000000000000004">
      <c r="A1220" t="s">
        <v>94</v>
      </c>
      <c r="B1220" t="s">
        <v>318</v>
      </c>
      <c r="C1220" t="s">
        <v>308</v>
      </c>
      <c r="D1220" t="s">
        <v>148</v>
      </c>
      <c r="E1220" t="s">
        <v>117</v>
      </c>
      <c r="F1220" t="s">
        <v>99</v>
      </c>
      <c r="H1220" t="s">
        <v>99</v>
      </c>
      <c r="I1220">
        <v>2</v>
      </c>
      <c r="J1220" t="s">
        <v>101</v>
      </c>
      <c r="K1220" s="19">
        <v>0.29166666666666669</v>
      </c>
      <c r="L1220" s="19">
        <v>0.625</v>
      </c>
      <c r="M1220">
        <v>8</v>
      </c>
      <c r="N1220">
        <v>211.43</v>
      </c>
      <c r="O1220">
        <v>0</v>
      </c>
      <c r="P1220">
        <v>0</v>
      </c>
      <c r="Q1220" t="s">
        <v>99</v>
      </c>
      <c r="R1220">
        <v>30</v>
      </c>
      <c r="S1220" s="19">
        <v>0.60416666666666663</v>
      </c>
      <c r="T1220">
        <v>0</v>
      </c>
      <c r="U1220" s="19">
        <v>0</v>
      </c>
      <c r="V1220" t="s">
        <v>99</v>
      </c>
      <c r="W1220">
        <v>7.5</v>
      </c>
      <c r="X1220" t="s">
        <v>102</v>
      </c>
      <c r="Y1220" t="b">
        <v>0</v>
      </c>
    </row>
    <row r="1221" spans="1:25" x14ac:dyDescent="0.55000000000000004">
      <c r="A1221" t="s">
        <v>94</v>
      </c>
      <c r="B1221" t="s">
        <v>318</v>
      </c>
      <c r="C1221" t="s">
        <v>308</v>
      </c>
      <c r="D1221" t="s">
        <v>148</v>
      </c>
      <c r="E1221" t="s">
        <v>117</v>
      </c>
      <c r="F1221" t="s">
        <v>99</v>
      </c>
      <c r="H1221" t="s">
        <v>99</v>
      </c>
      <c r="I1221">
        <v>2</v>
      </c>
      <c r="J1221" t="s">
        <v>115</v>
      </c>
      <c r="K1221" s="19">
        <v>0.29166666666666669</v>
      </c>
      <c r="L1221" s="19">
        <v>0.45833333333333331</v>
      </c>
      <c r="M1221">
        <v>4</v>
      </c>
      <c r="N1221">
        <v>281.89999999999998</v>
      </c>
      <c r="O1221">
        <v>0</v>
      </c>
      <c r="P1221">
        <v>0</v>
      </c>
      <c r="Q1221" t="s">
        <v>99</v>
      </c>
      <c r="R1221">
        <v>0</v>
      </c>
      <c r="S1221" s="19">
        <v>0.5</v>
      </c>
      <c r="T1221">
        <v>0</v>
      </c>
      <c r="U1221" s="19">
        <v>0.54166666666666663</v>
      </c>
      <c r="V1221" t="s">
        <v>99</v>
      </c>
      <c r="W1221">
        <v>4</v>
      </c>
      <c r="X1221" t="s">
        <v>102</v>
      </c>
      <c r="Y1221" t="b">
        <v>0</v>
      </c>
    </row>
    <row r="1222" spans="1:25" x14ac:dyDescent="0.55000000000000004">
      <c r="A1222" t="s">
        <v>94</v>
      </c>
      <c r="B1222" t="s">
        <v>318</v>
      </c>
      <c r="C1222" t="s">
        <v>308</v>
      </c>
      <c r="D1222" t="s">
        <v>148</v>
      </c>
      <c r="E1222" t="s">
        <v>117</v>
      </c>
      <c r="F1222" t="s">
        <v>99</v>
      </c>
      <c r="H1222" t="s">
        <v>99</v>
      </c>
      <c r="I1222">
        <v>2</v>
      </c>
      <c r="J1222" t="s">
        <v>116</v>
      </c>
      <c r="K1222" s="19">
        <v>0.29166666666666669</v>
      </c>
      <c r="L1222" s="19">
        <v>0.45833333333333331</v>
      </c>
      <c r="M1222">
        <v>4</v>
      </c>
      <c r="N1222">
        <v>197.33</v>
      </c>
      <c r="O1222">
        <v>0</v>
      </c>
      <c r="P1222">
        <v>0</v>
      </c>
      <c r="Q1222" t="s">
        <v>99</v>
      </c>
      <c r="R1222">
        <v>0</v>
      </c>
      <c r="S1222" s="19">
        <v>0.5</v>
      </c>
      <c r="T1222">
        <v>0</v>
      </c>
      <c r="U1222" s="19">
        <v>0.54166666666666663</v>
      </c>
      <c r="V1222" t="s">
        <v>99</v>
      </c>
      <c r="W1222">
        <v>4</v>
      </c>
      <c r="X1222" t="s">
        <v>102</v>
      </c>
      <c r="Y1222" t="b">
        <v>0</v>
      </c>
    </row>
    <row r="1223" spans="1:25" x14ac:dyDescent="0.55000000000000004">
      <c r="A1223" t="s">
        <v>94</v>
      </c>
      <c r="B1223" t="s">
        <v>318</v>
      </c>
      <c r="C1223" t="s">
        <v>308</v>
      </c>
      <c r="D1223" t="s">
        <v>148</v>
      </c>
      <c r="E1223" t="s">
        <v>117</v>
      </c>
      <c r="F1223" t="s">
        <v>99</v>
      </c>
      <c r="G1223">
        <v>18418</v>
      </c>
      <c r="H1223" t="s">
        <v>319</v>
      </c>
      <c r="I1223">
        <v>1</v>
      </c>
      <c r="J1223" t="s">
        <v>107</v>
      </c>
      <c r="K1223" s="19">
        <v>0.29166666666666669</v>
      </c>
      <c r="L1223" s="19">
        <v>0.625</v>
      </c>
      <c r="M1223">
        <v>8</v>
      </c>
      <c r="N1223">
        <v>217.88</v>
      </c>
      <c r="O1223">
        <v>60</v>
      </c>
      <c r="P1223">
        <v>76</v>
      </c>
      <c r="Q1223" t="s">
        <v>99</v>
      </c>
      <c r="R1223">
        <v>30</v>
      </c>
      <c r="S1223" s="19">
        <v>0.5</v>
      </c>
      <c r="T1223">
        <v>0</v>
      </c>
      <c r="U1223" s="19">
        <v>0</v>
      </c>
      <c r="V1223" t="s">
        <v>99</v>
      </c>
      <c r="W1223">
        <v>7.5</v>
      </c>
      <c r="X1223" t="s">
        <v>102</v>
      </c>
      <c r="Y1223" t="b">
        <v>0</v>
      </c>
    </row>
    <row r="1224" spans="1:25" x14ac:dyDescent="0.55000000000000004">
      <c r="A1224" t="s">
        <v>94</v>
      </c>
      <c r="B1224" t="s">
        <v>318</v>
      </c>
      <c r="C1224" t="s">
        <v>308</v>
      </c>
      <c r="D1224" t="s">
        <v>148</v>
      </c>
      <c r="E1224" t="s">
        <v>117</v>
      </c>
      <c r="F1224" t="s">
        <v>99</v>
      </c>
      <c r="G1224">
        <v>18418</v>
      </c>
      <c r="H1224" t="s">
        <v>319</v>
      </c>
      <c r="I1224">
        <v>1</v>
      </c>
      <c r="J1224" t="s">
        <v>103</v>
      </c>
      <c r="K1224" s="19">
        <v>0.29166666666666669</v>
      </c>
      <c r="L1224" s="19">
        <v>0.625</v>
      </c>
      <c r="M1224">
        <v>8</v>
      </c>
      <c r="N1224">
        <v>217.88</v>
      </c>
      <c r="O1224">
        <v>60</v>
      </c>
      <c r="P1224">
        <v>76</v>
      </c>
      <c r="Q1224" t="s">
        <v>99</v>
      </c>
      <c r="R1224">
        <v>30</v>
      </c>
      <c r="S1224" s="19">
        <v>0.5</v>
      </c>
      <c r="T1224">
        <v>0</v>
      </c>
      <c r="U1224" s="19">
        <v>0</v>
      </c>
      <c r="V1224" t="s">
        <v>99</v>
      </c>
      <c r="W1224">
        <v>7.5</v>
      </c>
      <c r="X1224" t="s">
        <v>102</v>
      </c>
      <c r="Y1224" t="b">
        <v>0</v>
      </c>
    </row>
    <row r="1225" spans="1:25" x14ac:dyDescent="0.55000000000000004">
      <c r="A1225" t="s">
        <v>94</v>
      </c>
      <c r="B1225" t="s">
        <v>318</v>
      </c>
      <c r="C1225" t="s">
        <v>308</v>
      </c>
      <c r="D1225" t="s">
        <v>148</v>
      </c>
      <c r="E1225" t="s">
        <v>117</v>
      </c>
      <c r="F1225" t="s">
        <v>99</v>
      </c>
      <c r="G1225">
        <v>18418</v>
      </c>
      <c r="H1225" t="s">
        <v>319</v>
      </c>
      <c r="I1225">
        <v>1</v>
      </c>
      <c r="J1225" t="s">
        <v>104</v>
      </c>
      <c r="K1225" s="19">
        <v>0.29166666666666669</v>
      </c>
      <c r="L1225" s="19">
        <v>0.625</v>
      </c>
      <c r="M1225">
        <v>8</v>
      </c>
      <c r="N1225">
        <v>217.88</v>
      </c>
      <c r="O1225">
        <v>60</v>
      </c>
      <c r="P1225">
        <v>76</v>
      </c>
      <c r="Q1225" t="s">
        <v>99</v>
      </c>
      <c r="R1225">
        <v>30</v>
      </c>
      <c r="S1225" s="19">
        <v>0.5</v>
      </c>
      <c r="T1225">
        <v>0</v>
      </c>
      <c r="U1225" s="19">
        <v>0</v>
      </c>
      <c r="V1225" t="s">
        <v>99</v>
      </c>
      <c r="W1225">
        <v>7.5</v>
      </c>
      <c r="X1225" t="s">
        <v>102</v>
      </c>
      <c r="Y1225" t="b">
        <v>0</v>
      </c>
    </row>
    <row r="1226" spans="1:25" x14ac:dyDescent="0.55000000000000004">
      <c r="A1226" t="s">
        <v>94</v>
      </c>
      <c r="B1226" t="s">
        <v>318</v>
      </c>
      <c r="C1226" t="s">
        <v>308</v>
      </c>
      <c r="D1226" t="s">
        <v>148</v>
      </c>
      <c r="E1226" t="s">
        <v>117</v>
      </c>
      <c r="F1226" t="s">
        <v>99</v>
      </c>
      <c r="G1226">
        <v>18418</v>
      </c>
      <c r="H1226" t="s">
        <v>319</v>
      </c>
      <c r="I1226">
        <v>1</v>
      </c>
      <c r="J1226" t="s">
        <v>105</v>
      </c>
      <c r="K1226" s="19">
        <v>0.29166666666666669</v>
      </c>
      <c r="L1226" s="19">
        <v>0.625</v>
      </c>
      <c r="M1226">
        <v>8</v>
      </c>
      <c r="N1226">
        <v>217.88</v>
      </c>
      <c r="O1226">
        <v>60</v>
      </c>
      <c r="P1226">
        <v>76</v>
      </c>
      <c r="Q1226" t="s">
        <v>99</v>
      </c>
      <c r="R1226">
        <v>30</v>
      </c>
      <c r="S1226" s="19">
        <v>0.5</v>
      </c>
      <c r="T1226">
        <v>0</v>
      </c>
      <c r="U1226" s="19">
        <v>0</v>
      </c>
      <c r="V1226" t="s">
        <v>99</v>
      </c>
      <c r="W1226">
        <v>7.5</v>
      </c>
      <c r="X1226" t="s">
        <v>102</v>
      </c>
      <c r="Y1226" t="b">
        <v>0</v>
      </c>
    </row>
    <row r="1227" spans="1:25" x14ac:dyDescent="0.55000000000000004">
      <c r="A1227" t="s">
        <v>94</v>
      </c>
      <c r="B1227" t="s">
        <v>318</v>
      </c>
      <c r="C1227" t="s">
        <v>308</v>
      </c>
      <c r="D1227" t="s">
        <v>148</v>
      </c>
      <c r="E1227" t="s">
        <v>117</v>
      </c>
      <c r="F1227" t="s">
        <v>99</v>
      </c>
      <c r="G1227">
        <v>18418</v>
      </c>
      <c r="H1227" t="s">
        <v>319</v>
      </c>
      <c r="I1227">
        <v>2</v>
      </c>
      <c r="J1227" t="s">
        <v>107</v>
      </c>
      <c r="K1227" s="19">
        <v>0.29166666666666669</v>
      </c>
      <c r="L1227" s="19">
        <v>0.625</v>
      </c>
      <c r="M1227">
        <v>8</v>
      </c>
      <c r="N1227">
        <v>217.88</v>
      </c>
      <c r="O1227">
        <v>60</v>
      </c>
      <c r="P1227">
        <v>76</v>
      </c>
      <c r="Q1227" t="s">
        <v>99</v>
      </c>
      <c r="R1227">
        <v>30</v>
      </c>
      <c r="S1227" s="19">
        <v>0.5</v>
      </c>
      <c r="T1227">
        <v>0</v>
      </c>
      <c r="U1227" s="19">
        <v>0</v>
      </c>
      <c r="V1227" t="s">
        <v>99</v>
      </c>
      <c r="W1227">
        <v>7.5</v>
      </c>
      <c r="X1227" t="s">
        <v>102</v>
      </c>
      <c r="Y1227" t="b">
        <v>0</v>
      </c>
    </row>
    <row r="1228" spans="1:25" x14ac:dyDescent="0.55000000000000004">
      <c r="A1228" t="s">
        <v>94</v>
      </c>
      <c r="B1228" t="s">
        <v>318</v>
      </c>
      <c r="C1228" t="s">
        <v>308</v>
      </c>
      <c r="D1228" t="s">
        <v>148</v>
      </c>
      <c r="E1228" t="s">
        <v>117</v>
      </c>
      <c r="F1228" t="s">
        <v>99</v>
      </c>
      <c r="G1228">
        <v>18418</v>
      </c>
      <c r="H1228" t="s">
        <v>319</v>
      </c>
      <c r="I1228">
        <v>2</v>
      </c>
      <c r="J1228" t="s">
        <v>103</v>
      </c>
      <c r="K1228" s="19">
        <v>0.29166666666666669</v>
      </c>
      <c r="L1228" s="19">
        <v>0.625</v>
      </c>
      <c r="M1228">
        <v>8</v>
      </c>
      <c r="N1228">
        <v>217.88</v>
      </c>
      <c r="O1228">
        <v>60</v>
      </c>
      <c r="P1228">
        <v>76</v>
      </c>
      <c r="Q1228" t="s">
        <v>99</v>
      </c>
      <c r="R1228">
        <v>30</v>
      </c>
      <c r="S1228" s="19">
        <v>0.5</v>
      </c>
      <c r="T1228">
        <v>0</v>
      </c>
      <c r="U1228" s="19">
        <v>0</v>
      </c>
      <c r="V1228" t="s">
        <v>99</v>
      </c>
      <c r="W1228">
        <v>7.5</v>
      </c>
      <c r="X1228" t="s">
        <v>102</v>
      </c>
      <c r="Y1228" t="b">
        <v>0</v>
      </c>
    </row>
    <row r="1229" spans="1:25" x14ac:dyDescent="0.55000000000000004">
      <c r="A1229" t="s">
        <v>94</v>
      </c>
      <c r="B1229" t="s">
        <v>318</v>
      </c>
      <c r="C1229" t="s">
        <v>308</v>
      </c>
      <c r="D1229" t="s">
        <v>148</v>
      </c>
      <c r="E1229" t="s">
        <v>117</v>
      </c>
      <c r="F1229" t="s">
        <v>99</v>
      </c>
      <c r="G1229">
        <v>18418</v>
      </c>
      <c r="H1229" t="s">
        <v>319</v>
      </c>
      <c r="I1229">
        <v>2</v>
      </c>
      <c r="J1229" t="s">
        <v>104</v>
      </c>
      <c r="K1229" s="19">
        <v>0.29166666666666669</v>
      </c>
      <c r="L1229" s="19">
        <v>0.625</v>
      </c>
      <c r="M1229">
        <v>8</v>
      </c>
      <c r="N1229">
        <v>217.88</v>
      </c>
      <c r="O1229">
        <v>60</v>
      </c>
      <c r="P1229">
        <v>76</v>
      </c>
      <c r="Q1229" t="s">
        <v>99</v>
      </c>
      <c r="R1229">
        <v>30</v>
      </c>
      <c r="S1229" s="19">
        <v>0.5</v>
      </c>
      <c r="T1229">
        <v>0</v>
      </c>
      <c r="U1229" s="19">
        <v>0</v>
      </c>
      <c r="V1229" t="s">
        <v>99</v>
      </c>
      <c r="W1229">
        <v>7.5</v>
      </c>
      <c r="X1229" t="s">
        <v>102</v>
      </c>
      <c r="Y1229" t="b">
        <v>0</v>
      </c>
    </row>
    <row r="1230" spans="1:25" x14ac:dyDescent="0.55000000000000004">
      <c r="A1230" t="s">
        <v>94</v>
      </c>
      <c r="B1230" t="s">
        <v>318</v>
      </c>
      <c r="C1230" t="s">
        <v>308</v>
      </c>
      <c r="D1230" t="s">
        <v>148</v>
      </c>
      <c r="E1230" t="s">
        <v>117</v>
      </c>
      <c r="F1230" t="s">
        <v>99</v>
      </c>
      <c r="G1230">
        <v>18418</v>
      </c>
      <c r="H1230" t="s">
        <v>319</v>
      </c>
      <c r="I1230">
        <v>2</v>
      </c>
      <c r="J1230" t="s">
        <v>105</v>
      </c>
      <c r="K1230" s="19">
        <v>0.29166666666666669</v>
      </c>
      <c r="L1230" s="19">
        <v>0.625</v>
      </c>
      <c r="M1230">
        <v>8</v>
      </c>
      <c r="N1230">
        <v>217.88</v>
      </c>
      <c r="O1230">
        <v>60</v>
      </c>
      <c r="P1230">
        <v>76</v>
      </c>
      <c r="Q1230" t="s">
        <v>99</v>
      </c>
      <c r="R1230">
        <v>30</v>
      </c>
      <c r="S1230" s="19">
        <v>0.5</v>
      </c>
      <c r="T1230">
        <v>0</v>
      </c>
      <c r="U1230" s="19">
        <v>0</v>
      </c>
      <c r="V1230" t="s">
        <v>99</v>
      </c>
      <c r="W1230">
        <v>7.5</v>
      </c>
      <c r="X1230" t="s">
        <v>102</v>
      </c>
      <c r="Y1230" t="b">
        <v>0</v>
      </c>
    </row>
    <row r="1231" spans="1:25" x14ac:dyDescent="0.55000000000000004">
      <c r="A1231" t="s">
        <v>94</v>
      </c>
      <c r="B1231" t="s">
        <v>318</v>
      </c>
      <c r="C1231" t="s">
        <v>308</v>
      </c>
      <c r="D1231" t="s">
        <v>148</v>
      </c>
      <c r="E1231" t="s">
        <v>117</v>
      </c>
      <c r="F1231" t="s">
        <v>99</v>
      </c>
      <c r="G1231">
        <v>23381</v>
      </c>
      <c r="H1231" t="s">
        <v>320</v>
      </c>
      <c r="I1231">
        <v>1</v>
      </c>
      <c r="J1231" t="s">
        <v>107</v>
      </c>
      <c r="K1231" s="19">
        <v>0.29166666666666669</v>
      </c>
      <c r="L1231" s="19">
        <v>0.625</v>
      </c>
      <c r="M1231">
        <v>8</v>
      </c>
      <c r="N1231">
        <v>217.88</v>
      </c>
      <c r="O1231">
        <v>60</v>
      </c>
      <c r="P1231">
        <v>76</v>
      </c>
      <c r="Q1231" t="s">
        <v>99</v>
      </c>
      <c r="R1231">
        <v>30</v>
      </c>
      <c r="S1231" s="19">
        <v>0.5</v>
      </c>
      <c r="T1231">
        <v>0</v>
      </c>
      <c r="U1231" s="19">
        <v>0.54166666666666663</v>
      </c>
      <c r="V1231" t="s">
        <v>99</v>
      </c>
      <c r="W1231">
        <v>7.5</v>
      </c>
      <c r="X1231" t="s">
        <v>102</v>
      </c>
      <c r="Y1231" t="b">
        <v>0</v>
      </c>
    </row>
    <row r="1232" spans="1:25" x14ac:dyDescent="0.55000000000000004">
      <c r="A1232" t="s">
        <v>94</v>
      </c>
      <c r="B1232" t="s">
        <v>318</v>
      </c>
      <c r="C1232" t="s">
        <v>308</v>
      </c>
      <c r="D1232" t="s">
        <v>148</v>
      </c>
      <c r="E1232" t="s">
        <v>117</v>
      </c>
      <c r="F1232" t="s">
        <v>99</v>
      </c>
      <c r="G1232">
        <v>23381</v>
      </c>
      <c r="H1232" t="s">
        <v>320</v>
      </c>
      <c r="I1232">
        <v>1</v>
      </c>
      <c r="J1232" t="s">
        <v>101</v>
      </c>
      <c r="K1232" s="19">
        <v>0.29166666666666669</v>
      </c>
      <c r="L1232" s="19">
        <v>0.625</v>
      </c>
      <c r="M1232">
        <v>8</v>
      </c>
      <c r="N1232">
        <v>217.88</v>
      </c>
      <c r="O1232">
        <v>60</v>
      </c>
      <c r="P1232">
        <v>76</v>
      </c>
      <c r="Q1232" t="s">
        <v>99</v>
      </c>
      <c r="R1232">
        <v>30</v>
      </c>
      <c r="S1232" s="19">
        <v>0.5</v>
      </c>
      <c r="T1232">
        <v>0</v>
      </c>
      <c r="U1232" s="19">
        <v>0.54166666666666663</v>
      </c>
      <c r="V1232" t="s">
        <v>99</v>
      </c>
      <c r="W1232">
        <v>7.5</v>
      </c>
      <c r="X1232" t="s">
        <v>102</v>
      </c>
      <c r="Y1232" t="b">
        <v>0</v>
      </c>
    </row>
    <row r="1233" spans="1:25" x14ac:dyDescent="0.55000000000000004">
      <c r="A1233" t="s">
        <v>94</v>
      </c>
      <c r="B1233" t="s">
        <v>318</v>
      </c>
      <c r="C1233" t="s">
        <v>308</v>
      </c>
      <c r="D1233" t="s">
        <v>148</v>
      </c>
      <c r="E1233" t="s">
        <v>117</v>
      </c>
      <c r="F1233" t="s">
        <v>99</v>
      </c>
      <c r="G1233">
        <v>23381</v>
      </c>
      <c r="H1233" t="s">
        <v>320</v>
      </c>
      <c r="I1233">
        <v>1</v>
      </c>
      <c r="J1233" t="s">
        <v>103</v>
      </c>
      <c r="K1233" s="19">
        <v>0.29166666666666669</v>
      </c>
      <c r="L1233" s="19">
        <v>0.625</v>
      </c>
      <c r="M1233">
        <v>8</v>
      </c>
      <c r="N1233">
        <v>217.88</v>
      </c>
      <c r="O1233">
        <v>60</v>
      </c>
      <c r="P1233">
        <v>76</v>
      </c>
      <c r="Q1233" t="s">
        <v>99</v>
      </c>
      <c r="R1233">
        <v>30</v>
      </c>
      <c r="S1233" s="19">
        <v>0.5</v>
      </c>
      <c r="T1233">
        <v>0</v>
      </c>
      <c r="U1233" s="19">
        <v>0.54166666666666663</v>
      </c>
      <c r="V1233" t="s">
        <v>99</v>
      </c>
      <c r="W1233">
        <v>7.5</v>
      </c>
      <c r="X1233" t="s">
        <v>102</v>
      </c>
      <c r="Y1233" t="b">
        <v>0</v>
      </c>
    </row>
    <row r="1234" spans="1:25" x14ac:dyDescent="0.55000000000000004">
      <c r="A1234" t="s">
        <v>94</v>
      </c>
      <c r="B1234" t="s">
        <v>318</v>
      </c>
      <c r="C1234" t="s">
        <v>308</v>
      </c>
      <c r="D1234" t="s">
        <v>148</v>
      </c>
      <c r="E1234" t="s">
        <v>117</v>
      </c>
      <c r="F1234" t="s">
        <v>99</v>
      </c>
      <c r="G1234">
        <v>23381</v>
      </c>
      <c r="H1234" t="s">
        <v>320</v>
      </c>
      <c r="I1234">
        <v>1</v>
      </c>
      <c r="J1234" t="s">
        <v>104</v>
      </c>
      <c r="K1234" s="19">
        <v>0.29166666666666669</v>
      </c>
      <c r="L1234" s="19">
        <v>0.625</v>
      </c>
      <c r="M1234">
        <v>8</v>
      </c>
      <c r="N1234">
        <v>217.88</v>
      </c>
      <c r="O1234">
        <v>60</v>
      </c>
      <c r="P1234">
        <v>76</v>
      </c>
      <c r="Q1234" t="s">
        <v>99</v>
      </c>
      <c r="R1234">
        <v>30</v>
      </c>
      <c r="S1234" s="19">
        <v>0.5</v>
      </c>
      <c r="T1234">
        <v>0</v>
      </c>
      <c r="U1234" s="19">
        <v>0.54166666666666663</v>
      </c>
      <c r="V1234" t="s">
        <v>99</v>
      </c>
      <c r="W1234">
        <v>7.5</v>
      </c>
      <c r="X1234" t="s">
        <v>102</v>
      </c>
      <c r="Y1234" t="b">
        <v>0</v>
      </c>
    </row>
    <row r="1235" spans="1:25" x14ac:dyDescent="0.55000000000000004">
      <c r="A1235" t="s">
        <v>94</v>
      </c>
      <c r="B1235" t="s">
        <v>318</v>
      </c>
      <c r="C1235" t="s">
        <v>308</v>
      </c>
      <c r="D1235" t="s">
        <v>148</v>
      </c>
      <c r="E1235" t="s">
        <v>117</v>
      </c>
      <c r="F1235" t="s">
        <v>99</v>
      </c>
      <c r="G1235">
        <v>23381</v>
      </c>
      <c r="H1235" t="s">
        <v>320</v>
      </c>
      <c r="I1235">
        <v>1</v>
      </c>
      <c r="J1235" t="s">
        <v>105</v>
      </c>
      <c r="K1235" s="19">
        <v>0.29166666666666669</v>
      </c>
      <c r="L1235" s="19">
        <v>0.625</v>
      </c>
      <c r="M1235">
        <v>8</v>
      </c>
      <c r="N1235">
        <v>217.88</v>
      </c>
      <c r="O1235">
        <v>60</v>
      </c>
      <c r="P1235">
        <v>76</v>
      </c>
      <c r="Q1235" t="s">
        <v>99</v>
      </c>
      <c r="R1235">
        <v>30</v>
      </c>
      <c r="S1235" s="19">
        <v>0.5</v>
      </c>
      <c r="T1235">
        <v>0</v>
      </c>
      <c r="U1235" s="19">
        <v>0.54166666666666663</v>
      </c>
      <c r="V1235" t="s">
        <v>99</v>
      </c>
      <c r="W1235">
        <v>7.5</v>
      </c>
      <c r="X1235" t="s">
        <v>102</v>
      </c>
      <c r="Y1235" t="b">
        <v>0</v>
      </c>
    </row>
    <row r="1236" spans="1:25" x14ac:dyDescent="0.55000000000000004">
      <c r="A1236" t="s">
        <v>94</v>
      </c>
      <c r="B1236" t="s">
        <v>318</v>
      </c>
      <c r="C1236" t="s">
        <v>308</v>
      </c>
      <c r="D1236" t="s">
        <v>148</v>
      </c>
      <c r="E1236" t="s">
        <v>117</v>
      </c>
      <c r="F1236" t="s">
        <v>99</v>
      </c>
      <c r="G1236">
        <v>23381</v>
      </c>
      <c r="H1236" t="s">
        <v>320</v>
      </c>
      <c r="I1236">
        <v>2</v>
      </c>
      <c r="J1236" t="s">
        <v>107</v>
      </c>
      <c r="K1236" s="19">
        <v>0.29166666666666669</v>
      </c>
      <c r="L1236" s="19">
        <v>0.625</v>
      </c>
      <c r="M1236">
        <v>8</v>
      </c>
      <c r="N1236">
        <v>217.88</v>
      </c>
      <c r="O1236">
        <v>60</v>
      </c>
      <c r="P1236">
        <v>76</v>
      </c>
      <c r="Q1236" t="s">
        <v>99</v>
      </c>
      <c r="R1236">
        <v>30</v>
      </c>
      <c r="S1236" s="19">
        <v>0.5</v>
      </c>
      <c r="T1236">
        <v>0</v>
      </c>
      <c r="U1236" s="19">
        <v>0.54166666666666663</v>
      </c>
      <c r="V1236" t="s">
        <v>99</v>
      </c>
      <c r="W1236">
        <v>7.5</v>
      </c>
      <c r="X1236" t="s">
        <v>102</v>
      </c>
      <c r="Y1236" t="b">
        <v>0</v>
      </c>
    </row>
    <row r="1237" spans="1:25" x14ac:dyDescent="0.55000000000000004">
      <c r="A1237" t="s">
        <v>94</v>
      </c>
      <c r="B1237" t="s">
        <v>318</v>
      </c>
      <c r="C1237" t="s">
        <v>308</v>
      </c>
      <c r="D1237" t="s">
        <v>148</v>
      </c>
      <c r="E1237" t="s">
        <v>117</v>
      </c>
      <c r="F1237" t="s">
        <v>99</v>
      </c>
      <c r="G1237">
        <v>23381</v>
      </c>
      <c r="H1237" t="s">
        <v>320</v>
      </c>
      <c r="I1237">
        <v>2</v>
      </c>
      <c r="J1237" t="s">
        <v>101</v>
      </c>
      <c r="K1237" s="19">
        <v>0.29166666666666669</v>
      </c>
      <c r="L1237" s="19">
        <v>0.625</v>
      </c>
      <c r="M1237">
        <v>8</v>
      </c>
      <c r="N1237">
        <v>217.88</v>
      </c>
      <c r="O1237">
        <v>60</v>
      </c>
      <c r="P1237">
        <v>76</v>
      </c>
      <c r="Q1237" t="s">
        <v>99</v>
      </c>
      <c r="R1237">
        <v>30</v>
      </c>
      <c r="S1237" s="19">
        <v>0.5</v>
      </c>
      <c r="T1237">
        <v>0</v>
      </c>
      <c r="U1237" s="19">
        <v>0.54166666666666663</v>
      </c>
      <c r="V1237" t="s">
        <v>99</v>
      </c>
      <c r="W1237">
        <v>7.5</v>
      </c>
      <c r="X1237" t="s">
        <v>102</v>
      </c>
      <c r="Y1237" t="b">
        <v>0</v>
      </c>
    </row>
    <row r="1238" spans="1:25" x14ac:dyDescent="0.55000000000000004">
      <c r="A1238" t="s">
        <v>94</v>
      </c>
      <c r="B1238" t="s">
        <v>318</v>
      </c>
      <c r="C1238" t="s">
        <v>308</v>
      </c>
      <c r="D1238" t="s">
        <v>148</v>
      </c>
      <c r="E1238" t="s">
        <v>117</v>
      </c>
      <c r="F1238" t="s">
        <v>99</v>
      </c>
      <c r="G1238">
        <v>23381</v>
      </c>
      <c r="H1238" t="s">
        <v>320</v>
      </c>
      <c r="I1238">
        <v>2</v>
      </c>
      <c r="J1238" t="s">
        <v>103</v>
      </c>
      <c r="K1238" s="19">
        <v>0.29166666666666669</v>
      </c>
      <c r="L1238" s="19">
        <v>0.625</v>
      </c>
      <c r="M1238">
        <v>8</v>
      </c>
      <c r="N1238">
        <v>217.88</v>
      </c>
      <c r="O1238">
        <v>60</v>
      </c>
      <c r="P1238">
        <v>76</v>
      </c>
      <c r="Q1238" t="s">
        <v>99</v>
      </c>
      <c r="R1238">
        <v>30</v>
      </c>
      <c r="S1238" s="19">
        <v>0.5</v>
      </c>
      <c r="T1238">
        <v>0</v>
      </c>
      <c r="U1238" s="19">
        <v>0.54166666666666663</v>
      </c>
      <c r="V1238" t="s">
        <v>99</v>
      </c>
      <c r="W1238">
        <v>7.5</v>
      </c>
      <c r="X1238" t="s">
        <v>102</v>
      </c>
      <c r="Y1238" t="b">
        <v>0</v>
      </c>
    </row>
    <row r="1239" spans="1:25" x14ac:dyDescent="0.55000000000000004">
      <c r="A1239" t="s">
        <v>94</v>
      </c>
      <c r="B1239" t="s">
        <v>318</v>
      </c>
      <c r="C1239" t="s">
        <v>308</v>
      </c>
      <c r="D1239" t="s">
        <v>148</v>
      </c>
      <c r="E1239" t="s">
        <v>117</v>
      </c>
      <c r="F1239" t="s">
        <v>99</v>
      </c>
      <c r="G1239">
        <v>23381</v>
      </c>
      <c r="H1239" t="s">
        <v>320</v>
      </c>
      <c r="I1239">
        <v>2</v>
      </c>
      <c r="J1239" t="s">
        <v>104</v>
      </c>
      <c r="K1239" s="19">
        <v>0.29166666666666669</v>
      </c>
      <c r="L1239" s="19">
        <v>0.625</v>
      </c>
      <c r="M1239">
        <v>8</v>
      </c>
      <c r="N1239">
        <v>217.88</v>
      </c>
      <c r="O1239">
        <v>60</v>
      </c>
      <c r="P1239">
        <v>76</v>
      </c>
      <c r="Q1239" t="s">
        <v>99</v>
      </c>
      <c r="R1239">
        <v>30</v>
      </c>
      <c r="S1239" s="19">
        <v>0.5</v>
      </c>
      <c r="T1239">
        <v>0</v>
      </c>
      <c r="U1239" s="19">
        <v>0.54166666666666663</v>
      </c>
      <c r="V1239" t="s">
        <v>99</v>
      </c>
      <c r="W1239">
        <v>7.5</v>
      </c>
      <c r="X1239" t="s">
        <v>102</v>
      </c>
      <c r="Y1239" t="b">
        <v>0</v>
      </c>
    </row>
    <row r="1240" spans="1:25" x14ac:dyDescent="0.55000000000000004">
      <c r="A1240" t="s">
        <v>94</v>
      </c>
      <c r="B1240" t="s">
        <v>318</v>
      </c>
      <c r="C1240" t="s">
        <v>308</v>
      </c>
      <c r="D1240" t="s">
        <v>148</v>
      </c>
      <c r="E1240" t="s">
        <v>117</v>
      </c>
      <c r="F1240" t="s">
        <v>99</v>
      </c>
      <c r="G1240">
        <v>23381</v>
      </c>
      <c r="H1240" t="s">
        <v>320</v>
      </c>
      <c r="I1240">
        <v>2</v>
      </c>
      <c r="J1240" t="s">
        <v>105</v>
      </c>
      <c r="K1240" s="19">
        <v>0.29166666666666669</v>
      </c>
      <c r="L1240" s="19">
        <v>0.625</v>
      </c>
      <c r="M1240">
        <v>8</v>
      </c>
      <c r="N1240">
        <v>217.88</v>
      </c>
      <c r="O1240">
        <v>60</v>
      </c>
      <c r="P1240">
        <v>76</v>
      </c>
      <c r="Q1240" t="s">
        <v>99</v>
      </c>
      <c r="R1240">
        <v>30</v>
      </c>
      <c r="S1240" s="19">
        <v>0.5</v>
      </c>
      <c r="T1240">
        <v>0</v>
      </c>
      <c r="U1240" s="19">
        <v>0.54166666666666663</v>
      </c>
      <c r="V1240" t="s">
        <v>99</v>
      </c>
      <c r="W1240">
        <v>7.5</v>
      </c>
      <c r="X1240" t="s">
        <v>102</v>
      </c>
      <c r="Y1240" t="b">
        <v>0</v>
      </c>
    </row>
    <row r="1241" spans="1:25" x14ac:dyDescent="0.55000000000000004">
      <c r="A1241" t="s">
        <v>94</v>
      </c>
      <c r="B1241" t="s">
        <v>321</v>
      </c>
      <c r="C1241" t="s">
        <v>322</v>
      </c>
      <c r="D1241" t="s">
        <v>111</v>
      </c>
      <c r="E1241" t="s">
        <v>323</v>
      </c>
      <c r="F1241" t="s">
        <v>99</v>
      </c>
      <c r="G1241">
        <v>26267</v>
      </c>
      <c r="H1241" t="s">
        <v>324</v>
      </c>
      <c r="I1241">
        <v>1</v>
      </c>
      <c r="J1241" t="s">
        <v>107</v>
      </c>
      <c r="K1241" s="19">
        <v>0.27083333333333331</v>
      </c>
      <c r="L1241" s="19">
        <v>0.54166666666666663</v>
      </c>
      <c r="M1241">
        <v>6.5</v>
      </c>
      <c r="N1241">
        <v>0</v>
      </c>
      <c r="O1241">
        <v>76</v>
      </c>
      <c r="P1241">
        <v>76</v>
      </c>
      <c r="Q1241" t="s">
        <v>99</v>
      </c>
      <c r="R1241">
        <v>30</v>
      </c>
      <c r="S1241" s="19">
        <v>0.47916666666666669</v>
      </c>
      <c r="U1241" s="19">
        <v>0</v>
      </c>
      <c r="V1241" t="s">
        <v>325</v>
      </c>
      <c r="W1241">
        <v>6</v>
      </c>
      <c r="X1241" t="s">
        <v>102</v>
      </c>
      <c r="Y1241" t="b">
        <v>0</v>
      </c>
    </row>
    <row r="1242" spans="1:25" x14ac:dyDescent="0.55000000000000004">
      <c r="A1242" t="s">
        <v>94</v>
      </c>
      <c r="B1242" t="s">
        <v>321</v>
      </c>
      <c r="C1242" t="s">
        <v>322</v>
      </c>
      <c r="D1242" t="s">
        <v>111</v>
      </c>
      <c r="E1242" t="s">
        <v>323</v>
      </c>
      <c r="F1242" t="s">
        <v>99</v>
      </c>
      <c r="G1242">
        <v>26267</v>
      </c>
      <c r="H1242" t="s">
        <v>324</v>
      </c>
      <c r="I1242">
        <v>1</v>
      </c>
      <c r="J1242" t="s">
        <v>101</v>
      </c>
      <c r="K1242" s="19">
        <v>0.27083333333333331</v>
      </c>
      <c r="L1242" s="19">
        <v>0.625</v>
      </c>
      <c r="M1242">
        <v>8.5</v>
      </c>
      <c r="N1242">
        <v>0</v>
      </c>
      <c r="O1242">
        <v>76</v>
      </c>
      <c r="P1242">
        <v>76</v>
      </c>
      <c r="Q1242" t="s">
        <v>99</v>
      </c>
      <c r="R1242">
        <v>30</v>
      </c>
      <c r="S1242" s="19">
        <v>0.47916666666666669</v>
      </c>
      <c r="U1242" s="19">
        <v>0</v>
      </c>
      <c r="V1242" t="s">
        <v>326</v>
      </c>
      <c r="W1242">
        <v>8</v>
      </c>
      <c r="X1242" t="s">
        <v>102</v>
      </c>
      <c r="Y1242" t="b">
        <v>0</v>
      </c>
    </row>
    <row r="1243" spans="1:25" x14ac:dyDescent="0.55000000000000004">
      <c r="A1243" t="s">
        <v>94</v>
      </c>
      <c r="B1243" t="s">
        <v>321</v>
      </c>
      <c r="C1243" t="s">
        <v>322</v>
      </c>
      <c r="D1243" t="s">
        <v>111</v>
      </c>
      <c r="E1243" t="s">
        <v>323</v>
      </c>
      <c r="F1243" t="s">
        <v>99</v>
      </c>
      <c r="G1243">
        <v>26267</v>
      </c>
      <c r="H1243" t="s">
        <v>324</v>
      </c>
      <c r="I1243">
        <v>1</v>
      </c>
      <c r="J1243" t="s">
        <v>103</v>
      </c>
      <c r="K1243" s="19">
        <v>0.27083333333333331</v>
      </c>
      <c r="L1243" s="19">
        <v>0.625</v>
      </c>
      <c r="M1243">
        <v>8.5</v>
      </c>
      <c r="N1243">
        <v>0</v>
      </c>
      <c r="O1243">
        <v>76</v>
      </c>
      <c r="P1243">
        <v>76</v>
      </c>
      <c r="Q1243" t="s">
        <v>99</v>
      </c>
      <c r="R1243">
        <v>30</v>
      </c>
      <c r="S1243" s="19">
        <v>0.47916666666666669</v>
      </c>
      <c r="U1243" s="19">
        <v>0</v>
      </c>
      <c r="V1243" t="s">
        <v>326</v>
      </c>
      <c r="W1243">
        <v>8</v>
      </c>
      <c r="X1243" t="s">
        <v>102</v>
      </c>
      <c r="Y1243" t="b">
        <v>0</v>
      </c>
    </row>
    <row r="1244" spans="1:25" x14ac:dyDescent="0.55000000000000004">
      <c r="A1244" t="s">
        <v>94</v>
      </c>
      <c r="B1244" t="s">
        <v>321</v>
      </c>
      <c r="C1244" t="s">
        <v>322</v>
      </c>
      <c r="D1244" t="s">
        <v>111</v>
      </c>
      <c r="E1244" t="s">
        <v>323</v>
      </c>
      <c r="F1244" t="s">
        <v>99</v>
      </c>
      <c r="G1244">
        <v>26267</v>
      </c>
      <c r="H1244" t="s">
        <v>324</v>
      </c>
      <c r="I1244">
        <v>1</v>
      </c>
      <c r="J1244" t="s">
        <v>104</v>
      </c>
      <c r="K1244" s="19">
        <v>0.27083333333333331</v>
      </c>
      <c r="L1244" s="19">
        <v>0.625</v>
      </c>
      <c r="M1244">
        <v>8.5</v>
      </c>
      <c r="N1244">
        <v>0</v>
      </c>
      <c r="O1244">
        <v>76</v>
      </c>
      <c r="P1244">
        <v>76</v>
      </c>
      <c r="Q1244" t="s">
        <v>99</v>
      </c>
      <c r="R1244">
        <v>30</v>
      </c>
      <c r="S1244" s="19">
        <v>0.47916666666666669</v>
      </c>
      <c r="U1244" s="19">
        <v>0</v>
      </c>
      <c r="V1244" t="s">
        <v>326</v>
      </c>
      <c r="W1244">
        <v>8</v>
      </c>
      <c r="X1244" t="s">
        <v>102</v>
      </c>
      <c r="Y1244" t="b">
        <v>0</v>
      </c>
    </row>
    <row r="1245" spans="1:25" x14ac:dyDescent="0.55000000000000004">
      <c r="A1245" t="s">
        <v>94</v>
      </c>
      <c r="B1245" t="s">
        <v>321</v>
      </c>
      <c r="C1245" t="s">
        <v>322</v>
      </c>
      <c r="D1245" t="s">
        <v>111</v>
      </c>
      <c r="E1245" t="s">
        <v>323</v>
      </c>
      <c r="F1245" t="s">
        <v>99</v>
      </c>
      <c r="G1245">
        <v>26267</v>
      </c>
      <c r="H1245" t="s">
        <v>324</v>
      </c>
      <c r="I1245">
        <v>1</v>
      </c>
      <c r="J1245" t="s">
        <v>105</v>
      </c>
      <c r="K1245" s="19">
        <v>0.27083333333333331</v>
      </c>
      <c r="L1245" s="19">
        <v>0.625</v>
      </c>
      <c r="M1245">
        <v>8.5</v>
      </c>
      <c r="N1245">
        <v>0</v>
      </c>
      <c r="O1245">
        <v>76</v>
      </c>
      <c r="P1245">
        <v>76</v>
      </c>
      <c r="Q1245" t="s">
        <v>99</v>
      </c>
      <c r="R1245">
        <v>30</v>
      </c>
      <c r="S1245" s="19">
        <v>0.47916666666666669</v>
      </c>
      <c r="U1245" s="19">
        <v>0</v>
      </c>
      <c r="V1245" t="s">
        <v>326</v>
      </c>
      <c r="W1245">
        <v>8</v>
      </c>
      <c r="X1245" t="s">
        <v>102</v>
      </c>
      <c r="Y1245" t="b">
        <v>0</v>
      </c>
    </row>
    <row r="1246" spans="1:25" x14ac:dyDescent="0.55000000000000004">
      <c r="A1246" t="s">
        <v>94</v>
      </c>
      <c r="B1246" t="s">
        <v>321</v>
      </c>
      <c r="C1246" t="s">
        <v>322</v>
      </c>
      <c r="D1246" t="s">
        <v>111</v>
      </c>
      <c r="E1246" t="s">
        <v>323</v>
      </c>
      <c r="F1246" t="s">
        <v>99</v>
      </c>
      <c r="G1246">
        <v>26267</v>
      </c>
      <c r="H1246" t="s">
        <v>324</v>
      </c>
      <c r="I1246">
        <v>2</v>
      </c>
      <c r="J1246" t="s">
        <v>107</v>
      </c>
      <c r="K1246" s="19">
        <v>0.27083333333333331</v>
      </c>
      <c r="L1246" s="19">
        <v>0.54166666666666663</v>
      </c>
      <c r="M1246">
        <v>6.5</v>
      </c>
      <c r="N1246">
        <v>0</v>
      </c>
      <c r="O1246">
        <v>76</v>
      </c>
      <c r="P1246">
        <v>76</v>
      </c>
      <c r="Q1246" t="s">
        <v>99</v>
      </c>
      <c r="R1246">
        <v>30</v>
      </c>
      <c r="S1246" s="19">
        <v>0.47916666666666669</v>
      </c>
      <c r="U1246" s="19">
        <v>0</v>
      </c>
      <c r="V1246" t="s">
        <v>325</v>
      </c>
      <c r="W1246">
        <v>6</v>
      </c>
      <c r="X1246" t="s">
        <v>102</v>
      </c>
      <c r="Y1246" t="b">
        <v>0</v>
      </c>
    </row>
    <row r="1247" spans="1:25" x14ac:dyDescent="0.55000000000000004">
      <c r="A1247" t="s">
        <v>94</v>
      </c>
      <c r="B1247" t="s">
        <v>321</v>
      </c>
      <c r="C1247" t="s">
        <v>322</v>
      </c>
      <c r="D1247" t="s">
        <v>111</v>
      </c>
      <c r="E1247" t="s">
        <v>323</v>
      </c>
      <c r="F1247" t="s">
        <v>99</v>
      </c>
      <c r="G1247">
        <v>26267</v>
      </c>
      <c r="H1247" t="s">
        <v>324</v>
      </c>
      <c r="I1247">
        <v>2</v>
      </c>
      <c r="J1247" t="s">
        <v>101</v>
      </c>
      <c r="K1247" s="19">
        <v>0.27083333333333331</v>
      </c>
      <c r="L1247" s="19">
        <v>0.625</v>
      </c>
      <c r="M1247">
        <v>8.5</v>
      </c>
      <c r="N1247">
        <v>0</v>
      </c>
      <c r="O1247">
        <v>76</v>
      </c>
      <c r="P1247">
        <v>76</v>
      </c>
      <c r="Q1247" t="s">
        <v>99</v>
      </c>
      <c r="R1247">
        <v>30</v>
      </c>
      <c r="S1247" s="19">
        <v>0.47916666666666669</v>
      </c>
      <c r="U1247" s="19">
        <v>0</v>
      </c>
      <c r="V1247" t="s">
        <v>326</v>
      </c>
      <c r="W1247">
        <v>8</v>
      </c>
      <c r="X1247" t="s">
        <v>102</v>
      </c>
      <c r="Y1247" t="b">
        <v>0</v>
      </c>
    </row>
    <row r="1248" spans="1:25" x14ac:dyDescent="0.55000000000000004">
      <c r="A1248" t="s">
        <v>94</v>
      </c>
      <c r="B1248" t="s">
        <v>321</v>
      </c>
      <c r="C1248" t="s">
        <v>322</v>
      </c>
      <c r="D1248" t="s">
        <v>111</v>
      </c>
      <c r="E1248" t="s">
        <v>323</v>
      </c>
      <c r="F1248" t="s">
        <v>99</v>
      </c>
      <c r="G1248">
        <v>26267</v>
      </c>
      <c r="H1248" t="s">
        <v>324</v>
      </c>
      <c r="I1248">
        <v>2</v>
      </c>
      <c r="J1248" t="s">
        <v>103</v>
      </c>
      <c r="K1248" s="19">
        <v>0.27083333333333331</v>
      </c>
      <c r="L1248" s="19">
        <v>0.625</v>
      </c>
      <c r="M1248">
        <v>8.5</v>
      </c>
      <c r="N1248">
        <v>0</v>
      </c>
      <c r="O1248">
        <v>76</v>
      </c>
      <c r="P1248">
        <v>76</v>
      </c>
      <c r="Q1248" t="s">
        <v>99</v>
      </c>
      <c r="R1248">
        <v>30</v>
      </c>
      <c r="S1248" s="19">
        <v>0.47916666666666669</v>
      </c>
      <c r="U1248" s="19">
        <v>0.41666666666666669</v>
      </c>
      <c r="V1248" t="s">
        <v>326</v>
      </c>
      <c r="W1248">
        <v>8</v>
      </c>
      <c r="X1248" t="s">
        <v>102</v>
      </c>
      <c r="Y1248" t="b">
        <v>0</v>
      </c>
    </row>
    <row r="1249" spans="1:25" x14ac:dyDescent="0.55000000000000004">
      <c r="A1249" t="s">
        <v>94</v>
      </c>
      <c r="B1249" t="s">
        <v>321</v>
      </c>
      <c r="C1249" t="s">
        <v>322</v>
      </c>
      <c r="D1249" t="s">
        <v>111</v>
      </c>
      <c r="E1249" t="s">
        <v>323</v>
      </c>
      <c r="F1249" t="s">
        <v>99</v>
      </c>
      <c r="G1249">
        <v>26267</v>
      </c>
      <c r="H1249" t="s">
        <v>324</v>
      </c>
      <c r="I1249">
        <v>2</v>
      </c>
      <c r="J1249" t="s">
        <v>104</v>
      </c>
      <c r="K1249" s="19">
        <v>0.27083333333333331</v>
      </c>
      <c r="L1249" s="19">
        <v>0.625</v>
      </c>
      <c r="M1249">
        <v>8.5</v>
      </c>
      <c r="N1249">
        <v>0</v>
      </c>
      <c r="O1249">
        <v>76</v>
      </c>
      <c r="P1249">
        <v>76</v>
      </c>
      <c r="Q1249" t="s">
        <v>99</v>
      </c>
      <c r="R1249">
        <v>30</v>
      </c>
      <c r="S1249" s="19">
        <v>0.47916666666666669</v>
      </c>
      <c r="U1249" s="19">
        <v>0</v>
      </c>
      <c r="V1249" t="s">
        <v>326</v>
      </c>
      <c r="W1249">
        <v>8</v>
      </c>
      <c r="X1249" t="s">
        <v>102</v>
      </c>
      <c r="Y1249" t="b">
        <v>0</v>
      </c>
    </row>
    <row r="1250" spans="1:25" x14ac:dyDescent="0.55000000000000004">
      <c r="A1250" t="s">
        <v>94</v>
      </c>
      <c r="B1250" t="s">
        <v>321</v>
      </c>
      <c r="C1250" t="s">
        <v>322</v>
      </c>
      <c r="D1250" t="s">
        <v>111</v>
      </c>
      <c r="E1250" t="s">
        <v>323</v>
      </c>
      <c r="F1250" t="s">
        <v>99</v>
      </c>
      <c r="G1250">
        <v>26267</v>
      </c>
      <c r="H1250" t="s">
        <v>324</v>
      </c>
      <c r="I1250">
        <v>2</v>
      </c>
      <c r="J1250" t="s">
        <v>105</v>
      </c>
      <c r="K1250" s="19">
        <v>0.27083333333333331</v>
      </c>
      <c r="L1250" s="19">
        <v>0.625</v>
      </c>
      <c r="M1250">
        <v>8.5</v>
      </c>
      <c r="N1250">
        <v>0</v>
      </c>
      <c r="O1250">
        <v>76</v>
      </c>
      <c r="P1250">
        <v>76</v>
      </c>
      <c r="Q1250" t="s">
        <v>99</v>
      </c>
      <c r="R1250">
        <v>30</v>
      </c>
      <c r="S1250" s="19">
        <v>0.47916666666666669</v>
      </c>
      <c r="U1250" s="19">
        <v>0.41666666666666669</v>
      </c>
      <c r="V1250" t="s">
        <v>326</v>
      </c>
      <c r="W1250">
        <v>8</v>
      </c>
      <c r="X1250" t="s">
        <v>102</v>
      </c>
      <c r="Y1250" t="b">
        <v>0</v>
      </c>
    </row>
    <row r="1251" spans="1:25" x14ac:dyDescent="0.55000000000000004">
      <c r="A1251" t="s">
        <v>94</v>
      </c>
      <c r="B1251" t="s">
        <v>321</v>
      </c>
      <c r="C1251" t="s">
        <v>322</v>
      </c>
      <c r="D1251" t="s">
        <v>111</v>
      </c>
      <c r="E1251" t="s">
        <v>327</v>
      </c>
      <c r="F1251" t="s">
        <v>99</v>
      </c>
      <c r="H1251" t="s">
        <v>99</v>
      </c>
      <c r="I1251">
        <v>1</v>
      </c>
      <c r="J1251" t="s">
        <v>107</v>
      </c>
      <c r="K1251" s="19">
        <v>0.27083333333333331</v>
      </c>
      <c r="L1251" s="19">
        <v>0.625</v>
      </c>
      <c r="M1251">
        <v>8.5</v>
      </c>
      <c r="N1251">
        <v>203.36</v>
      </c>
      <c r="O1251">
        <v>0</v>
      </c>
      <c r="P1251">
        <v>0</v>
      </c>
      <c r="Q1251" t="s">
        <v>99</v>
      </c>
      <c r="R1251">
        <v>30</v>
      </c>
      <c r="S1251" s="19">
        <v>0.54166666666666663</v>
      </c>
      <c r="U1251" s="19">
        <v>0</v>
      </c>
      <c r="V1251" t="s">
        <v>326</v>
      </c>
      <c r="W1251">
        <v>8</v>
      </c>
      <c r="X1251" t="s">
        <v>102</v>
      </c>
      <c r="Y1251" t="b">
        <v>0</v>
      </c>
    </row>
    <row r="1252" spans="1:25" x14ac:dyDescent="0.55000000000000004">
      <c r="A1252" t="s">
        <v>94</v>
      </c>
      <c r="B1252" t="s">
        <v>321</v>
      </c>
      <c r="C1252" t="s">
        <v>322</v>
      </c>
      <c r="D1252" t="s">
        <v>111</v>
      </c>
      <c r="E1252" t="s">
        <v>327</v>
      </c>
      <c r="F1252" t="s">
        <v>99</v>
      </c>
      <c r="H1252" t="s">
        <v>99</v>
      </c>
      <c r="I1252">
        <v>1</v>
      </c>
      <c r="J1252" t="s">
        <v>101</v>
      </c>
      <c r="K1252" s="19">
        <v>0.29166666666666669</v>
      </c>
      <c r="L1252" s="19">
        <v>0.45833333333333331</v>
      </c>
      <c r="M1252">
        <v>4</v>
      </c>
      <c r="N1252">
        <v>0</v>
      </c>
      <c r="O1252">
        <v>0</v>
      </c>
      <c r="P1252">
        <v>0</v>
      </c>
      <c r="Q1252" t="s">
        <v>99</v>
      </c>
      <c r="R1252">
        <v>0</v>
      </c>
      <c r="S1252" s="19">
        <v>0.4375</v>
      </c>
      <c r="U1252" s="19">
        <v>0</v>
      </c>
      <c r="V1252" t="s">
        <v>328</v>
      </c>
      <c r="W1252">
        <v>4</v>
      </c>
      <c r="X1252" t="s">
        <v>102</v>
      </c>
      <c r="Y1252" t="b">
        <v>0</v>
      </c>
    </row>
    <row r="1253" spans="1:25" x14ac:dyDescent="0.55000000000000004">
      <c r="A1253" t="s">
        <v>94</v>
      </c>
      <c r="B1253" t="s">
        <v>321</v>
      </c>
      <c r="C1253" t="s">
        <v>322</v>
      </c>
      <c r="D1253" t="s">
        <v>111</v>
      </c>
      <c r="E1253" t="s">
        <v>327</v>
      </c>
      <c r="F1253" t="s">
        <v>99</v>
      </c>
      <c r="H1253" t="s">
        <v>99</v>
      </c>
      <c r="I1253">
        <v>1</v>
      </c>
      <c r="J1253" t="s">
        <v>115</v>
      </c>
      <c r="K1253" s="19">
        <v>0.27083333333333331</v>
      </c>
      <c r="L1253" s="19">
        <v>0.625</v>
      </c>
      <c r="M1253">
        <v>8.5</v>
      </c>
      <c r="N1253">
        <v>305.04000000000002</v>
      </c>
      <c r="O1253">
        <v>0</v>
      </c>
      <c r="P1253">
        <v>0</v>
      </c>
      <c r="Q1253" t="s">
        <v>99</v>
      </c>
      <c r="R1253">
        <v>30</v>
      </c>
      <c r="S1253" s="19">
        <v>0.54166666666666663</v>
      </c>
      <c r="U1253" s="19">
        <v>0</v>
      </c>
      <c r="V1253" t="s">
        <v>326</v>
      </c>
      <c r="W1253">
        <v>8</v>
      </c>
      <c r="X1253" t="s">
        <v>102</v>
      </c>
      <c r="Y1253" t="b">
        <v>0</v>
      </c>
    </row>
    <row r="1254" spans="1:25" x14ac:dyDescent="0.55000000000000004">
      <c r="A1254" t="s">
        <v>94</v>
      </c>
      <c r="B1254" t="s">
        <v>321</v>
      </c>
      <c r="C1254" t="s">
        <v>322</v>
      </c>
      <c r="D1254" t="s">
        <v>111</v>
      </c>
      <c r="E1254" t="s">
        <v>327</v>
      </c>
      <c r="F1254" t="s">
        <v>99</v>
      </c>
      <c r="H1254" t="s">
        <v>99</v>
      </c>
      <c r="I1254">
        <v>1</v>
      </c>
      <c r="J1254" t="s">
        <v>115</v>
      </c>
      <c r="K1254" s="19">
        <v>0.29166666666666669</v>
      </c>
      <c r="L1254" s="19">
        <v>0.45833333333333331</v>
      </c>
      <c r="M1254">
        <v>4</v>
      </c>
      <c r="N1254">
        <v>0</v>
      </c>
      <c r="O1254">
        <v>0</v>
      </c>
      <c r="P1254">
        <v>0</v>
      </c>
      <c r="Q1254" t="s">
        <v>99</v>
      </c>
      <c r="R1254">
        <v>0</v>
      </c>
      <c r="S1254" s="19">
        <v>0.4375</v>
      </c>
      <c r="U1254" s="19">
        <v>0</v>
      </c>
      <c r="V1254" t="s">
        <v>328</v>
      </c>
      <c r="W1254">
        <v>4</v>
      </c>
      <c r="X1254" t="s">
        <v>102</v>
      </c>
      <c r="Y1254" t="b">
        <v>0</v>
      </c>
    </row>
    <row r="1255" spans="1:25" x14ac:dyDescent="0.55000000000000004">
      <c r="A1255" t="s">
        <v>94</v>
      </c>
      <c r="B1255" t="s">
        <v>321</v>
      </c>
      <c r="C1255" t="s">
        <v>322</v>
      </c>
      <c r="D1255" t="s">
        <v>111</v>
      </c>
      <c r="E1255" t="s">
        <v>327</v>
      </c>
      <c r="F1255" t="s">
        <v>99</v>
      </c>
      <c r="H1255" t="s">
        <v>99</v>
      </c>
      <c r="I1255">
        <v>1</v>
      </c>
      <c r="J1255" t="s">
        <v>116</v>
      </c>
      <c r="K1255" s="19">
        <v>0.29166666666666669</v>
      </c>
      <c r="L1255" s="19">
        <v>0.45833333333333331</v>
      </c>
      <c r="M1255">
        <v>4</v>
      </c>
      <c r="N1255">
        <v>0</v>
      </c>
      <c r="O1255">
        <v>0</v>
      </c>
      <c r="P1255">
        <v>0</v>
      </c>
      <c r="Q1255" t="s">
        <v>99</v>
      </c>
      <c r="R1255">
        <v>0</v>
      </c>
      <c r="S1255" s="19">
        <v>0.4375</v>
      </c>
      <c r="U1255" s="19">
        <v>0</v>
      </c>
      <c r="V1255" t="s">
        <v>328</v>
      </c>
      <c r="W1255">
        <v>4</v>
      </c>
      <c r="X1255" t="s">
        <v>102</v>
      </c>
      <c r="Y1255" t="b">
        <v>0</v>
      </c>
    </row>
    <row r="1256" spans="1:25" x14ac:dyDescent="0.55000000000000004">
      <c r="A1256" t="s">
        <v>94</v>
      </c>
      <c r="B1256" t="s">
        <v>321</v>
      </c>
      <c r="C1256" t="s">
        <v>322</v>
      </c>
      <c r="D1256" t="s">
        <v>111</v>
      </c>
      <c r="E1256" t="s">
        <v>327</v>
      </c>
      <c r="F1256" t="s">
        <v>99</v>
      </c>
      <c r="H1256" t="s">
        <v>99</v>
      </c>
      <c r="I1256">
        <v>1</v>
      </c>
      <c r="J1256" t="s">
        <v>103</v>
      </c>
      <c r="K1256" s="19">
        <v>0.27083333333333331</v>
      </c>
      <c r="L1256" s="19">
        <v>0.625</v>
      </c>
      <c r="M1256">
        <v>8.5</v>
      </c>
      <c r="N1256">
        <v>0</v>
      </c>
      <c r="O1256">
        <v>0</v>
      </c>
      <c r="P1256">
        <v>0</v>
      </c>
      <c r="Q1256" t="s">
        <v>99</v>
      </c>
      <c r="R1256">
        <v>30</v>
      </c>
      <c r="S1256" s="19">
        <v>0.54166666666666663</v>
      </c>
      <c r="U1256" s="19"/>
      <c r="V1256" t="s">
        <v>326</v>
      </c>
      <c r="W1256">
        <v>8</v>
      </c>
      <c r="X1256" t="s">
        <v>102</v>
      </c>
      <c r="Y1256" t="b">
        <v>0</v>
      </c>
    </row>
    <row r="1257" spans="1:25" x14ac:dyDescent="0.55000000000000004">
      <c r="A1257" t="s">
        <v>94</v>
      </c>
      <c r="B1257" t="s">
        <v>321</v>
      </c>
      <c r="C1257" t="s">
        <v>322</v>
      </c>
      <c r="D1257" t="s">
        <v>111</v>
      </c>
      <c r="E1257" t="s">
        <v>327</v>
      </c>
      <c r="F1257" t="s">
        <v>99</v>
      </c>
      <c r="H1257" t="s">
        <v>99</v>
      </c>
      <c r="I1257">
        <v>1</v>
      </c>
      <c r="J1257" t="s">
        <v>104</v>
      </c>
      <c r="K1257" s="19">
        <v>0.29166666666666669</v>
      </c>
      <c r="L1257" s="19">
        <v>0.45833333333333331</v>
      </c>
      <c r="M1257">
        <v>4</v>
      </c>
      <c r="N1257">
        <v>0</v>
      </c>
      <c r="O1257">
        <v>0</v>
      </c>
      <c r="P1257">
        <v>0</v>
      </c>
      <c r="Q1257" t="s">
        <v>99</v>
      </c>
      <c r="R1257">
        <v>0</v>
      </c>
      <c r="S1257" s="19">
        <v>0.4375</v>
      </c>
      <c r="U1257" s="19">
        <v>0</v>
      </c>
      <c r="V1257" t="s">
        <v>328</v>
      </c>
      <c r="W1257">
        <v>4</v>
      </c>
      <c r="X1257" t="s">
        <v>102</v>
      </c>
      <c r="Y1257" t="b">
        <v>0</v>
      </c>
    </row>
    <row r="1258" spans="1:25" x14ac:dyDescent="0.55000000000000004">
      <c r="A1258" t="s">
        <v>94</v>
      </c>
      <c r="B1258" t="s">
        <v>321</v>
      </c>
      <c r="C1258" t="s">
        <v>322</v>
      </c>
      <c r="D1258" t="s">
        <v>111</v>
      </c>
      <c r="E1258" t="s">
        <v>327</v>
      </c>
      <c r="F1258" t="s">
        <v>99</v>
      </c>
      <c r="H1258" t="s">
        <v>99</v>
      </c>
      <c r="I1258">
        <v>2</v>
      </c>
      <c r="J1258" t="s">
        <v>101</v>
      </c>
      <c r="K1258" s="19">
        <v>0.29166666666666669</v>
      </c>
      <c r="L1258" s="19">
        <v>0.45833333333333331</v>
      </c>
      <c r="M1258">
        <v>4</v>
      </c>
      <c r="N1258">
        <v>0</v>
      </c>
      <c r="O1258">
        <v>0</v>
      </c>
      <c r="P1258">
        <v>0</v>
      </c>
      <c r="Q1258" t="s">
        <v>99</v>
      </c>
      <c r="R1258">
        <v>0</v>
      </c>
      <c r="S1258" s="19">
        <v>0.4375</v>
      </c>
      <c r="U1258" s="19">
        <v>0</v>
      </c>
      <c r="V1258" t="s">
        <v>328</v>
      </c>
      <c r="W1258">
        <v>4</v>
      </c>
      <c r="X1258" t="s">
        <v>102</v>
      </c>
      <c r="Y1258" t="b">
        <v>0</v>
      </c>
    </row>
    <row r="1259" spans="1:25" x14ac:dyDescent="0.55000000000000004">
      <c r="A1259" t="s">
        <v>94</v>
      </c>
      <c r="B1259" t="s">
        <v>321</v>
      </c>
      <c r="C1259" t="s">
        <v>322</v>
      </c>
      <c r="D1259" t="s">
        <v>111</v>
      </c>
      <c r="E1259" t="s">
        <v>327</v>
      </c>
      <c r="F1259" t="s">
        <v>99</v>
      </c>
      <c r="H1259" t="s">
        <v>99</v>
      </c>
      <c r="I1259">
        <v>2</v>
      </c>
      <c r="J1259" t="s">
        <v>103</v>
      </c>
      <c r="K1259" s="19">
        <v>0.27083333333333331</v>
      </c>
      <c r="L1259" s="19">
        <v>0.625</v>
      </c>
      <c r="M1259">
        <v>8.5</v>
      </c>
      <c r="N1259">
        <v>203.36</v>
      </c>
      <c r="O1259">
        <v>0</v>
      </c>
      <c r="P1259">
        <v>0</v>
      </c>
      <c r="Q1259" t="s">
        <v>99</v>
      </c>
      <c r="R1259">
        <v>30</v>
      </c>
      <c r="S1259" s="19">
        <v>0.54166666666666663</v>
      </c>
      <c r="U1259" s="19">
        <v>0</v>
      </c>
      <c r="V1259" t="s">
        <v>326</v>
      </c>
      <c r="W1259">
        <v>8</v>
      </c>
      <c r="X1259" t="s">
        <v>102</v>
      </c>
      <c r="Y1259" t="b">
        <v>0</v>
      </c>
    </row>
    <row r="1260" spans="1:25" x14ac:dyDescent="0.55000000000000004">
      <c r="A1260" t="s">
        <v>94</v>
      </c>
      <c r="B1260" t="s">
        <v>321</v>
      </c>
      <c r="C1260" t="s">
        <v>322</v>
      </c>
      <c r="D1260" t="s">
        <v>111</v>
      </c>
      <c r="E1260" t="s">
        <v>327</v>
      </c>
      <c r="F1260" t="s">
        <v>99</v>
      </c>
      <c r="H1260" t="s">
        <v>99</v>
      </c>
      <c r="I1260">
        <v>2</v>
      </c>
      <c r="J1260" t="s">
        <v>104</v>
      </c>
      <c r="K1260" s="19">
        <v>0.29166666666666669</v>
      </c>
      <c r="L1260" s="19">
        <v>0.45833333333333331</v>
      </c>
      <c r="M1260">
        <v>4</v>
      </c>
      <c r="N1260">
        <v>0</v>
      </c>
      <c r="O1260">
        <v>0</v>
      </c>
      <c r="P1260">
        <v>0</v>
      </c>
      <c r="Q1260" t="s">
        <v>99</v>
      </c>
      <c r="R1260">
        <v>0</v>
      </c>
      <c r="S1260" s="19">
        <v>0.4375</v>
      </c>
      <c r="U1260" s="19">
        <v>0</v>
      </c>
      <c r="V1260" t="s">
        <v>328</v>
      </c>
      <c r="W1260">
        <v>4</v>
      </c>
      <c r="X1260" t="s">
        <v>102</v>
      </c>
      <c r="Y1260" t="b">
        <v>0</v>
      </c>
    </row>
    <row r="1261" spans="1:25" x14ac:dyDescent="0.55000000000000004">
      <c r="A1261" t="s">
        <v>94</v>
      </c>
      <c r="B1261" t="s">
        <v>321</v>
      </c>
      <c r="C1261" t="s">
        <v>322</v>
      </c>
      <c r="D1261" t="s">
        <v>111</v>
      </c>
      <c r="E1261" t="s">
        <v>327</v>
      </c>
      <c r="F1261" t="s">
        <v>99</v>
      </c>
      <c r="H1261" t="s">
        <v>99</v>
      </c>
      <c r="I1261">
        <v>2</v>
      </c>
      <c r="J1261" t="s">
        <v>105</v>
      </c>
      <c r="K1261" s="19">
        <v>0.27083333333333331</v>
      </c>
      <c r="L1261" s="19">
        <v>0.625</v>
      </c>
      <c r="M1261">
        <v>8.5</v>
      </c>
      <c r="N1261">
        <v>0</v>
      </c>
      <c r="O1261">
        <v>0</v>
      </c>
      <c r="P1261">
        <v>0</v>
      </c>
      <c r="Q1261" t="s">
        <v>99</v>
      </c>
      <c r="R1261">
        <v>30</v>
      </c>
      <c r="S1261" s="19">
        <v>0.54166666666666663</v>
      </c>
      <c r="U1261" s="19">
        <v>0</v>
      </c>
      <c r="V1261" t="s">
        <v>326</v>
      </c>
      <c r="W1261">
        <v>8</v>
      </c>
      <c r="X1261" t="s">
        <v>102</v>
      </c>
      <c r="Y1261" t="b">
        <v>0</v>
      </c>
    </row>
    <row r="1262" spans="1:25" x14ac:dyDescent="0.55000000000000004">
      <c r="A1262" t="s">
        <v>94</v>
      </c>
      <c r="B1262" t="s">
        <v>321</v>
      </c>
      <c r="C1262" t="s">
        <v>322</v>
      </c>
      <c r="D1262" t="s">
        <v>111</v>
      </c>
      <c r="E1262" t="s">
        <v>327</v>
      </c>
      <c r="F1262" t="s">
        <v>99</v>
      </c>
      <c r="G1262">
        <v>14799</v>
      </c>
      <c r="H1262" t="s">
        <v>329</v>
      </c>
      <c r="I1262">
        <v>1</v>
      </c>
      <c r="J1262" t="s">
        <v>107</v>
      </c>
      <c r="K1262" s="19">
        <v>0.27083333333333331</v>
      </c>
      <c r="L1262" s="19">
        <v>0.54166666666666663</v>
      </c>
      <c r="M1262">
        <v>6.5</v>
      </c>
      <c r="N1262">
        <v>210.66</v>
      </c>
      <c r="O1262">
        <v>64</v>
      </c>
      <c r="P1262">
        <v>76</v>
      </c>
      <c r="Q1262" t="s">
        <v>99</v>
      </c>
      <c r="R1262">
        <v>30</v>
      </c>
      <c r="S1262" s="19">
        <v>0.5</v>
      </c>
      <c r="U1262" s="19"/>
      <c r="V1262" t="s">
        <v>330</v>
      </c>
      <c r="W1262">
        <v>6</v>
      </c>
      <c r="X1262" t="s">
        <v>102</v>
      </c>
      <c r="Y1262" t="b">
        <v>0</v>
      </c>
    </row>
    <row r="1263" spans="1:25" x14ac:dyDescent="0.55000000000000004">
      <c r="A1263" t="s">
        <v>94</v>
      </c>
      <c r="B1263" t="s">
        <v>321</v>
      </c>
      <c r="C1263" t="s">
        <v>322</v>
      </c>
      <c r="D1263" t="s">
        <v>111</v>
      </c>
      <c r="E1263" t="s">
        <v>327</v>
      </c>
      <c r="F1263" t="s">
        <v>99</v>
      </c>
      <c r="G1263">
        <v>14799</v>
      </c>
      <c r="H1263" t="s">
        <v>329</v>
      </c>
      <c r="I1263">
        <v>1</v>
      </c>
      <c r="J1263" t="s">
        <v>101</v>
      </c>
      <c r="K1263" s="19">
        <v>0.27083333333333331</v>
      </c>
      <c r="L1263" s="19">
        <v>0.625</v>
      </c>
      <c r="M1263">
        <v>8.5</v>
      </c>
      <c r="N1263">
        <v>280.88</v>
      </c>
      <c r="O1263">
        <v>64</v>
      </c>
      <c r="P1263">
        <v>76</v>
      </c>
      <c r="Q1263" t="s">
        <v>99</v>
      </c>
      <c r="R1263">
        <v>30</v>
      </c>
      <c r="S1263" s="19">
        <v>0.44791666666666669</v>
      </c>
      <c r="U1263" s="19"/>
      <c r="V1263" t="s">
        <v>99</v>
      </c>
      <c r="W1263">
        <v>8</v>
      </c>
      <c r="X1263" t="s">
        <v>102</v>
      </c>
      <c r="Y1263" t="b">
        <v>0</v>
      </c>
    </row>
    <row r="1264" spans="1:25" x14ac:dyDescent="0.55000000000000004">
      <c r="A1264" t="s">
        <v>94</v>
      </c>
      <c r="B1264" t="s">
        <v>321</v>
      </c>
      <c r="C1264" t="s">
        <v>322</v>
      </c>
      <c r="D1264" t="s">
        <v>111</v>
      </c>
      <c r="E1264" t="s">
        <v>327</v>
      </c>
      <c r="F1264" t="s">
        <v>99</v>
      </c>
      <c r="G1264">
        <v>14799</v>
      </c>
      <c r="H1264" t="s">
        <v>329</v>
      </c>
      <c r="I1264">
        <v>1</v>
      </c>
      <c r="J1264" t="s">
        <v>103</v>
      </c>
      <c r="K1264" s="19">
        <v>0.27083333333333331</v>
      </c>
      <c r="L1264" s="19">
        <v>0.60416666666666663</v>
      </c>
      <c r="M1264">
        <v>8</v>
      </c>
      <c r="N1264">
        <v>263.32</v>
      </c>
      <c r="O1264">
        <v>64</v>
      </c>
      <c r="P1264">
        <v>76</v>
      </c>
      <c r="Q1264" t="s">
        <v>99</v>
      </c>
      <c r="R1264">
        <v>30</v>
      </c>
      <c r="S1264" s="19">
        <v>0.54166666666666663</v>
      </c>
      <c r="U1264" s="19">
        <v>0</v>
      </c>
      <c r="V1264" t="s">
        <v>330</v>
      </c>
      <c r="W1264">
        <v>7.5</v>
      </c>
      <c r="X1264" t="s">
        <v>102</v>
      </c>
      <c r="Y1264" t="b">
        <v>0</v>
      </c>
    </row>
    <row r="1265" spans="1:25" x14ac:dyDescent="0.55000000000000004">
      <c r="A1265" t="s">
        <v>94</v>
      </c>
      <c r="B1265" t="s">
        <v>321</v>
      </c>
      <c r="C1265" t="s">
        <v>322</v>
      </c>
      <c r="D1265" t="s">
        <v>111</v>
      </c>
      <c r="E1265" t="s">
        <v>327</v>
      </c>
      <c r="F1265" t="s">
        <v>99</v>
      </c>
      <c r="G1265">
        <v>14799</v>
      </c>
      <c r="H1265" t="s">
        <v>329</v>
      </c>
      <c r="I1265">
        <v>1</v>
      </c>
      <c r="J1265" t="s">
        <v>104</v>
      </c>
      <c r="K1265" s="19">
        <v>0.27083333333333331</v>
      </c>
      <c r="L1265" s="19">
        <v>0.625</v>
      </c>
      <c r="M1265">
        <v>8.5</v>
      </c>
      <c r="N1265">
        <v>280.88</v>
      </c>
      <c r="O1265">
        <v>64</v>
      </c>
      <c r="P1265">
        <v>76</v>
      </c>
      <c r="Q1265" t="s">
        <v>99</v>
      </c>
      <c r="R1265">
        <v>30</v>
      </c>
      <c r="S1265" s="19">
        <v>0.44791666666666669</v>
      </c>
      <c r="U1265" s="19"/>
      <c r="V1265" t="s">
        <v>99</v>
      </c>
      <c r="W1265">
        <v>8</v>
      </c>
      <c r="X1265" t="s">
        <v>102</v>
      </c>
      <c r="Y1265" t="b">
        <v>0</v>
      </c>
    </row>
    <row r="1266" spans="1:25" x14ac:dyDescent="0.55000000000000004">
      <c r="A1266" t="s">
        <v>94</v>
      </c>
      <c r="B1266" t="s">
        <v>321</v>
      </c>
      <c r="C1266" t="s">
        <v>322</v>
      </c>
      <c r="D1266" t="s">
        <v>111</v>
      </c>
      <c r="E1266" t="s">
        <v>327</v>
      </c>
      <c r="F1266" t="s">
        <v>99</v>
      </c>
      <c r="G1266">
        <v>14799</v>
      </c>
      <c r="H1266" t="s">
        <v>329</v>
      </c>
      <c r="I1266">
        <v>1</v>
      </c>
      <c r="J1266" t="s">
        <v>105</v>
      </c>
      <c r="K1266" s="19">
        <v>0.27083333333333331</v>
      </c>
      <c r="L1266" s="19">
        <v>0.60416666666666663</v>
      </c>
      <c r="M1266">
        <v>8</v>
      </c>
      <c r="N1266">
        <v>263.32</v>
      </c>
      <c r="O1266">
        <v>64</v>
      </c>
      <c r="P1266">
        <v>76</v>
      </c>
      <c r="Q1266" t="s">
        <v>99</v>
      </c>
      <c r="R1266">
        <v>30</v>
      </c>
      <c r="S1266" s="19">
        <v>0.54166666666666663</v>
      </c>
      <c r="U1266" s="19"/>
      <c r="V1266" t="s">
        <v>330</v>
      </c>
      <c r="W1266">
        <v>7.5</v>
      </c>
      <c r="X1266" t="s">
        <v>102</v>
      </c>
      <c r="Y1266" t="b">
        <v>0</v>
      </c>
    </row>
    <row r="1267" spans="1:25" x14ac:dyDescent="0.55000000000000004">
      <c r="A1267" t="s">
        <v>94</v>
      </c>
      <c r="B1267" t="s">
        <v>321</v>
      </c>
      <c r="C1267" t="s">
        <v>322</v>
      </c>
      <c r="D1267" t="s">
        <v>111</v>
      </c>
      <c r="E1267" t="s">
        <v>327</v>
      </c>
      <c r="F1267" t="s">
        <v>99</v>
      </c>
      <c r="G1267">
        <v>14799</v>
      </c>
      <c r="H1267" t="s">
        <v>329</v>
      </c>
      <c r="I1267">
        <v>2</v>
      </c>
      <c r="J1267" t="s">
        <v>107</v>
      </c>
      <c r="K1267" s="19">
        <v>0.27083333333333331</v>
      </c>
      <c r="L1267" s="19">
        <v>0.54166666666666663</v>
      </c>
      <c r="M1267">
        <v>6.5</v>
      </c>
      <c r="N1267">
        <v>210.66</v>
      </c>
      <c r="O1267">
        <v>64</v>
      </c>
      <c r="P1267">
        <v>76</v>
      </c>
      <c r="Q1267" t="s">
        <v>99</v>
      </c>
      <c r="R1267">
        <v>30</v>
      </c>
      <c r="S1267" s="19">
        <v>0.52083333333333337</v>
      </c>
      <c r="U1267" s="19">
        <v>0</v>
      </c>
      <c r="V1267" t="s">
        <v>331</v>
      </c>
      <c r="W1267">
        <v>6</v>
      </c>
      <c r="X1267" t="s">
        <v>102</v>
      </c>
      <c r="Y1267" t="b">
        <v>0</v>
      </c>
    </row>
    <row r="1268" spans="1:25" x14ac:dyDescent="0.55000000000000004">
      <c r="A1268" t="s">
        <v>94</v>
      </c>
      <c r="B1268" t="s">
        <v>321</v>
      </c>
      <c r="C1268" t="s">
        <v>322</v>
      </c>
      <c r="D1268" t="s">
        <v>111</v>
      </c>
      <c r="E1268" t="s">
        <v>327</v>
      </c>
      <c r="F1268" t="s">
        <v>99</v>
      </c>
      <c r="G1268">
        <v>14799</v>
      </c>
      <c r="H1268" t="s">
        <v>329</v>
      </c>
      <c r="I1268">
        <v>2</v>
      </c>
      <c r="J1268" t="s">
        <v>101</v>
      </c>
      <c r="K1268" s="19">
        <v>0.27083333333333331</v>
      </c>
      <c r="L1268" s="19">
        <v>0.625</v>
      </c>
      <c r="M1268">
        <v>8.5</v>
      </c>
      <c r="N1268">
        <v>280.88</v>
      </c>
      <c r="O1268">
        <v>64</v>
      </c>
      <c r="P1268">
        <v>76</v>
      </c>
      <c r="Q1268" t="s">
        <v>99</v>
      </c>
      <c r="R1268">
        <v>30</v>
      </c>
      <c r="S1268" s="19">
        <v>0.44791666666666669</v>
      </c>
      <c r="U1268" s="19"/>
      <c r="V1268" t="s">
        <v>99</v>
      </c>
      <c r="W1268">
        <v>8</v>
      </c>
      <c r="X1268" t="s">
        <v>102</v>
      </c>
      <c r="Y1268" t="b">
        <v>0</v>
      </c>
    </row>
    <row r="1269" spans="1:25" x14ac:dyDescent="0.55000000000000004">
      <c r="A1269" t="s">
        <v>94</v>
      </c>
      <c r="B1269" t="s">
        <v>321</v>
      </c>
      <c r="C1269" t="s">
        <v>322</v>
      </c>
      <c r="D1269" t="s">
        <v>111</v>
      </c>
      <c r="E1269" t="s">
        <v>327</v>
      </c>
      <c r="F1269" t="s">
        <v>99</v>
      </c>
      <c r="G1269">
        <v>14799</v>
      </c>
      <c r="H1269" t="s">
        <v>329</v>
      </c>
      <c r="I1269">
        <v>2</v>
      </c>
      <c r="J1269" t="s">
        <v>103</v>
      </c>
      <c r="K1269" s="19">
        <v>0.27083333333333331</v>
      </c>
      <c r="L1269" s="19">
        <v>0.60416666666666663</v>
      </c>
      <c r="M1269">
        <v>8</v>
      </c>
      <c r="N1269">
        <v>263.32</v>
      </c>
      <c r="O1269">
        <v>64</v>
      </c>
      <c r="P1269">
        <v>76</v>
      </c>
      <c r="Q1269" t="s">
        <v>99</v>
      </c>
      <c r="R1269">
        <v>30</v>
      </c>
      <c r="S1269" s="19">
        <v>0.54166666666666663</v>
      </c>
      <c r="U1269" s="19">
        <v>0</v>
      </c>
      <c r="V1269" t="s">
        <v>330</v>
      </c>
      <c r="W1269">
        <v>7.5</v>
      </c>
      <c r="X1269" t="s">
        <v>102</v>
      </c>
      <c r="Y1269" t="b">
        <v>0</v>
      </c>
    </row>
    <row r="1270" spans="1:25" x14ac:dyDescent="0.55000000000000004">
      <c r="A1270" t="s">
        <v>94</v>
      </c>
      <c r="B1270" t="s">
        <v>321</v>
      </c>
      <c r="C1270" t="s">
        <v>322</v>
      </c>
      <c r="D1270" t="s">
        <v>111</v>
      </c>
      <c r="E1270" t="s">
        <v>327</v>
      </c>
      <c r="F1270" t="s">
        <v>99</v>
      </c>
      <c r="G1270">
        <v>14799</v>
      </c>
      <c r="H1270" t="s">
        <v>329</v>
      </c>
      <c r="I1270">
        <v>2</v>
      </c>
      <c r="J1270" t="s">
        <v>104</v>
      </c>
      <c r="K1270" s="19">
        <v>0.27083333333333331</v>
      </c>
      <c r="L1270" s="19">
        <v>0.625</v>
      </c>
      <c r="M1270">
        <v>8.5</v>
      </c>
      <c r="N1270">
        <v>280.88</v>
      </c>
      <c r="O1270">
        <v>64</v>
      </c>
      <c r="P1270">
        <v>76</v>
      </c>
      <c r="Q1270" t="s">
        <v>99</v>
      </c>
      <c r="R1270">
        <v>30</v>
      </c>
      <c r="S1270" s="19">
        <v>0.44791666666666669</v>
      </c>
      <c r="U1270" s="19"/>
      <c r="V1270" t="s">
        <v>99</v>
      </c>
      <c r="W1270">
        <v>8</v>
      </c>
      <c r="X1270" t="s">
        <v>102</v>
      </c>
      <c r="Y1270" t="b">
        <v>0</v>
      </c>
    </row>
    <row r="1271" spans="1:25" x14ac:dyDescent="0.55000000000000004">
      <c r="A1271" t="s">
        <v>94</v>
      </c>
      <c r="B1271" t="s">
        <v>321</v>
      </c>
      <c r="C1271" t="s">
        <v>322</v>
      </c>
      <c r="D1271" t="s">
        <v>111</v>
      </c>
      <c r="E1271" t="s">
        <v>327</v>
      </c>
      <c r="F1271" t="s">
        <v>99</v>
      </c>
      <c r="G1271">
        <v>14799</v>
      </c>
      <c r="H1271" t="s">
        <v>329</v>
      </c>
      <c r="I1271">
        <v>2</v>
      </c>
      <c r="J1271" t="s">
        <v>105</v>
      </c>
      <c r="K1271" s="19">
        <v>0.27083333333333331</v>
      </c>
      <c r="L1271" s="19">
        <v>0.60416666666666663</v>
      </c>
      <c r="M1271">
        <v>8</v>
      </c>
      <c r="N1271">
        <v>263.32</v>
      </c>
      <c r="O1271">
        <v>64</v>
      </c>
      <c r="P1271">
        <v>76</v>
      </c>
      <c r="Q1271" t="s">
        <v>99</v>
      </c>
      <c r="R1271">
        <v>30</v>
      </c>
      <c r="S1271" s="19">
        <v>0.54166666666666663</v>
      </c>
      <c r="U1271" s="19">
        <v>0</v>
      </c>
      <c r="V1271" t="s">
        <v>330</v>
      </c>
      <c r="W1271">
        <v>7.5</v>
      </c>
      <c r="X1271" t="s">
        <v>102</v>
      </c>
      <c r="Y1271" t="b">
        <v>0</v>
      </c>
    </row>
    <row r="1272" spans="1:25" x14ac:dyDescent="0.55000000000000004">
      <c r="A1272" t="s">
        <v>94</v>
      </c>
      <c r="B1272" t="s">
        <v>321</v>
      </c>
      <c r="C1272" t="s">
        <v>322</v>
      </c>
      <c r="D1272" t="s">
        <v>111</v>
      </c>
      <c r="E1272" t="s">
        <v>327</v>
      </c>
      <c r="F1272" t="s">
        <v>99</v>
      </c>
      <c r="G1272">
        <v>22857</v>
      </c>
      <c r="H1272" t="s">
        <v>332</v>
      </c>
      <c r="I1272">
        <v>2</v>
      </c>
      <c r="J1272" t="s">
        <v>115</v>
      </c>
      <c r="K1272" s="19">
        <v>0.29166666666666669</v>
      </c>
      <c r="L1272" s="19">
        <v>0.45833333333333331</v>
      </c>
      <c r="M1272">
        <v>4</v>
      </c>
      <c r="N1272">
        <v>171.42</v>
      </c>
      <c r="O1272">
        <v>64</v>
      </c>
      <c r="P1272">
        <v>76</v>
      </c>
      <c r="Q1272" t="s">
        <v>99</v>
      </c>
      <c r="R1272">
        <v>0</v>
      </c>
      <c r="S1272" s="19">
        <v>0.4375</v>
      </c>
      <c r="U1272" s="19">
        <v>0</v>
      </c>
      <c r="V1272" t="s">
        <v>328</v>
      </c>
      <c r="W1272">
        <v>4</v>
      </c>
      <c r="X1272" t="s">
        <v>102</v>
      </c>
      <c r="Y1272" t="b">
        <v>0</v>
      </c>
    </row>
    <row r="1273" spans="1:25" x14ac:dyDescent="0.55000000000000004">
      <c r="A1273" t="s">
        <v>94</v>
      </c>
      <c r="B1273" t="s">
        <v>321</v>
      </c>
      <c r="C1273" t="s">
        <v>322</v>
      </c>
      <c r="D1273" t="s">
        <v>111</v>
      </c>
      <c r="E1273" t="s">
        <v>327</v>
      </c>
      <c r="F1273" t="s">
        <v>99</v>
      </c>
      <c r="G1273">
        <v>22857</v>
      </c>
      <c r="H1273" t="s">
        <v>332</v>
      </c>
      <c r="I1273">
        <v>2</v>
      </c>
      <c r="J1273" t="s">
        <v>116</v>
      </c>
      <c r="K1273" s="19">
        <v>0.29166666666666669</v>
      </c>
      <c r="L1273" s="19">
        <v>0.45833333333333331</v>
      </c>
      <c r="M1273">
        <v>4</v>
      </c>
      <c r="N1273">
        <v>199.99</v>
      </c>
      <c r="O1273">
        <v>64</v>
      </c>
      <c r="P1273">
        <v>76</v>
      </c>
      <c r="Q1273" t="s">
        <v>99</v>
      </c>
      <c r="R1273">
        <v>0</v>
      </c>
      <c r="S1273" s="19">
        <v>0.4375</v>
      </c>
      <c r="U1273" s="19">
        <v>0</v>
      </c>
      <c r="V1273" t="s">
        <v>328</v>
      </c>
      <c r="W1273">
        <v>4</v>
      </c>
      <c r="X1273" t="s">
        <v>102</v>
      </c>
      <c r="Y1273" t="b">
        <v>0</v>
      </c>
    </row>
    <row r="1274" spans="1:25" x14ac:dyDescent="0.55000000000000004">
      <c r="A1274" t="s">
        <v>94</v>
      </c>
      <c r="B1274" t="s">
        <v>321</v>
      </c>
      <c r="C1274" t="s">
        <v>322</v>
      </c>
      <c r="D1274" t="s">
        <v>111</v>
      </c>
      <c r="E1274" t="s">
        <v>327</v>
      </c>
      <c r="F1274" t="s">
        <v>99</v>
      </c>
      <c r="G1274">
        <v>24141</v>
      </c>
      <c r="H1274" t="s">
        <v>333</v>
      </c>
      <c r="I1274">
        <v>1</v>
      </c>
      <c r="J1274" t="s">
        <v>107</v>
      </c>
      <c r="K1274" s="19">
        <v>0.29166666666666669</v>
      </c>
      <c r="L1274" s="19">
        <v>0.45833333333333331</v>
      </c>
      <c r="M1274">
        <v>4</v>
      </c>
      <c r="N1274">
        <v>145.25</v>
      </c>
      <c r="O1274">
        <v>54</v>
      </c>
      <c r="P1274">
        <v>76</v>
      </c>
      <c r="Q1274" t="s">
        <v>99</v>
      </c>
      <c r="R1274">
        <v>0</v>
      </c>
      <c r="S1274" s="19">
        <v>0.4375</v>
      </c>
      <c r="U1274" s="19">
        <v>0</v>
      </c>
      <c r="V1274" t="s">
        <v>328</v>
      </c>
      <c r="W1274">
        <v>4</v>
      </c>
      <c r="X1274" t="s">
        <v>102</v>
      </c>
      <c r="Y1274" t="b">
        <v>0</v>
      </c>
    </row>
    <row r="1275" spans="1:25" x14ac:dyDescent="0.55000000000000004">
      <c r="A1275" t="s">
        <v>94</v>
      </c>
      <c r="B1275" t="s">
        <v>321</v>
      </c>
      <c r="C1275" t="s">
        <v>322</v>
      </c>
      <c r="D1275" t="s">
        <v>111</v>
      </c>
      <c r="E1275" t="s">
        <v>327</v>
      </c>
      <c r="F1275" t="s">
        <v>99</v>
      </c>
      <c r="G1275">
        <v>24141</v>
      </c>
      <c r="H1275" t="s">
        <v>333</v>
      </c>
      <c r="I1275">
        <v>1</v>
      </c>
      <c r="J1275" t="s">
        <v>101</v>
      </c>
      <c r="K1275" s="19">
        <v>0.27083333333333331</v>
      </c>
      <c r="L1275" s="19">
        <v>0.60416666666666663</v>
      </c>
      <c r="M1275">
        <v>8</v>
      </c>
      <c r="N1275">
        <v>272.33999999999997</v>
      </c>
      <c r="O1275">
        <v>54</v>
      </c>
      <c r="P1275">
        <v>76</v>
      </c>
      <c r="Q1275" t="s">
        <v>99</v>
      </c>
      <c r="R1275">
        <v>30</v>
      </c>
      <c r="S1275" s="19">
        <v>0.54166666666666663</v>
      </c>
      <c r="U1275" s="19">
        <v>0</v>
      </c>
      <c r="V1275" t="s">
        <v>330</v>
      </c>
      <c r="W1275">
        <v>7.5</v>
      </c>
      <c r="X1275" t="s">
        <v>102</v>
      </c>
      <c r="Y1275" t="b">
        <v>0</v>
      </c>
    </row>
    <row r="1276" spans="1:25" x14ac:dyDescent="0.55000000000000004">
      <c r="A1276" t="s">
        <v>94</v>
      </c>
      <c r="B1276" t="s">
        <v>321</v>
      </c>
      <c r="C1276" t="s">
        <v>322</v>
      </c>
      <c r="D1276" t="s">
        <v>111</v>
      </c>
      <c r="E1276" t="s">
        <v>327</v>
      </c>
      <c r="F1276" t="s">
        <v>99</v>
      </c>
      <c r="G1276">
        <v>24141</v>
      </c>
      <c r="H1276" t="s">
        <v>333</v>
      </c>
      <c r="I1276">
        <v>1</v>
      </c>
      <c r="J1276" t="s">
        <v>103</v>
      </c>
      <c r="K1276" s="19">
        <v>0.29166666666666669</v>
      </c>
      <c r="L1276" s="19">
        <v>0.45833333333333331</v>
      </c>
      <c r="M1276">
        <v>4</v>
      </c>
      <c r="N1276">
        <v>145.25</v>
      </c>
      <c r="O1276">
        <v>54</v>
      </c>
      <c r="P1276">
        <v>76</v>
      </c>
      <c r="Q1276" t="s">
        <v>99</v>
      </c>
      <c r="R1276">
        <v>0</v>
      </c>
      <c r="S1276" s="19">
        <v>0.4375</v>
      </c>
      <c r="U1276" s="19">
        <v>0</v>
      </c>
      <c r="V1276" t="s">
        <v>328</v>
      </c>
      <c r="W1276">
        <v>4</v>
      </c>
      <c r="X1276" t="s">
        <v>102</v>
      </c>
      <c r="Y1276" t="b">
        <v>0</v>
      </c>
    </row>
    <row r="1277" spans="1:25" x14ac:dyDescent="0.55000000000000004">
      <c r="A1277" t="s">
        <v>94</v>
      </c>
      <c r="B1277" t="s">
        <v>321</v>
      </c>
      <c r="C1277" t="s">
        <v>322</v>
      </c>
      <c r="D1277" t="s">
        <v>111</v>
      </c>
      <c r="E1277" t="s">
        <v>327</v>
      </c>
      <c r="F1277" t="s">
        <v>99</v>
      </c>
      <c r="G1277">
        <v>24141</v>
      </c>
      <c r="H1277" t="s">
        <v>333</v>
      </c>
      <c r="I1277">
        <v>1</v>
      </c>
      <c r="J1277" t="s">
        <v>104</v>
      </c>
      <c r="K1277" s="19">
        <v>0.27083333333333331</v>
      </c>
      <c r="L1277" s="19">
        <v>0.60416666666666663</v>
      </c>
      <c r="M1277">
        <v>8</v>
      </c>
      <c r="N1277">
        <v>272.33999999999997</v>
      </c>
      <c r="O1277">
        <v>54</v>
      </c>
      <c r="P1277">
        <v>76</v>
      </c>
      <c r="Q1277" t="s">
        <v>99</v>
      </c>
      <c r="R1277">
        <v>30</v>
      </c>
      <c r="S1277" s="19">
        <v>0.54166666666666663</v>
      </c>
      <c r="U1277" s="19">
        <v>0</v>
      </c>
      <c r="V1277" t="s">
        <v>330</v>
      </c>
      <c r="W1277">
        <v>7.5</v>
      </c>
      <c r="X1277" t="s">
        <v>102</v>
      </c>
      <c r="Y1277" t="b">
        <v>0</v>
      </c>
    </row>
    <row r="1278" spans="1:25" x14ac:dyDescent="0.55000000000000004">
      <c r="A1278" t="s">
        <v>94</v>
      </c>
      <c r="B1278" t="s">
        <v>321</v>
      </c>
      <c r="C1278" t="s">
        <v>322</v>
      </c>
      <c r="D1278" t="s">
        <v>111</v>
      </c>
      <c r="E1278" t="s">
        <v>327</v>
      </c>
      <c r="F1278" t="s">
        <v>99</v>
      </c>
      <c r="G1278">
        <v>24141</v>
      </c>
      <c r="H1278" t="s">
        <v>333</v>
      </c>
      <c r="I1278">
        <v>1</v>
      </c>
      <c r="J1278" t="s">
        <v>105</v>
      </c>
      <c r="K1278" s="19">
        <v>0.29166666666666669</v>
      </c>
      <c r="L1278" s="19">
        <v>0.45833333333333331</v>
      </c>
      <c r="M1278">
        <v>4</v>
      </c>
      <c r="N1278">
        <v>145.25</v>
      </c>
      <c r="O1278">
        <v>54</v>
      </c>
      <c r="P1278">
        <v>76</v>
      </c>
      <c r="Q1278" t="s">
        <v>99</v>
      </c>
      <c r="R1278">
        <v>0</v>
      </c>
      <c r="S1278" s="19">
        <v>0.4375</v>
      </c>
      <c r="U1278" s="19">
        <v>0</v>
      </c>
      <c r="V1278" t="s">
        <v>328</v>
      </c>
      <c r="W1278">
        <v>4</v>
      </c>
      <c r="X1278" t="s">
        <v>102</v>
      </c>
      <c r="Y1278" t="b">
        <v>0</v>
      </c>
    </row>
    <row r="1279" spans="1:25" x14ac:dyDescent="0.55000000000000004">
      <c r="A1279" t="s">
        <v>94</v>
      </c>
      <c r="B1279" t="s">
        <v>321</v>
      </c>
      <c r="C1279" t="s">
        <v>322</v>
      </c>
      <c r="D1279" t="s">
        <v>111</v>
      </c>
      <c r="E1279" t="s">
        <v>327</v>
      </c>
      <c r="F1279" t="s">
        <v>99</v>
      </c>
      <c r="G1279">
        <v>24141</v>
      </c>
      <c r="H1279" t="s">
        <v>333</v>
      </c>
      <c r="I1279">
        <v>2</v>
      </c>
      <c r="J1279" t="s">
        <v>107</v>
      </c>
      <c r="K1279" s="19">
        <v>0.29166666666666669</v>
      </c>
      <c r="L1279" s="19">
        <v>0.45833333333333331</v>
      </c>
      <c r="M1279">
        <v>4</v>
      </c>
      <c r="N1279">
        <v>145.25</v>
      </c>
      <c r="O1279">
        <v>54</v>
      </c>
      <c r="P1279">
        <v>76</v>
      </c>
      <c r="Q1279" t="s">
        <v>99</v>
      </c>
      <c r="R1279">
        <v>0</v>
      </c>
      <c r="S1279" s="19">
        <v>0.4375</v>
      </c>
      <c r="U1279" s="19">
        <v>0</v>
      </c>
      <c r="V1279" t="s">
        <v>328</v>
      </c>
      <c r="W1279">
        <v>4</v>
      </c>
      <c r="X1279" t="s">
        <v>102</v>
      </c>
      <c r="Y1279" t="b">
        <v>0</v>
      </c>
    </row>
    <row r="1280" spans="1:25" x14ac:dyDescent="0.55000000000000004">
      <c r="A1280" t="s">
        <v>94</v>
      </c>
      <c r="B1280" t="s">
        <v>321</v>
      </c>
      <c r="C1280" t="s">
        <v>322</v>
      </c>
      <c r="D1280" t="s">
        <v>111</v>
      </c>
      <c r="E1280" t="s">
        <v>327</v>
      </c>
      <c r="F1280" t="s">
        <v>99</v>
      </c>
      <c r="G1280">
        <v>24141</v>
      </c>
      <c r="H1280" t="s">
        <v>333</v>
      </c>
      <c r="I1280">
        <v>2</v>
      </c>
      <c r="J1280" t="s">
        <v>101</v>
      </c>
      <c r="K1280" s="19">
        <v>0.27083333333333331</v>
      </c>
      <c r="L1280" s="19">
        <v>0.60416666666666663</v>
      </c>
      <c r="M1280">
        <v>8</v>
      </c>
      <c r="N1280">
        <v>272.33999999999997</v>
      </c>
      <c r="O1280">
        <v>54</v>
      </c>
      <c r="P1280">
        <v>76</v>
      </c>
      <c r="Q1280" t="s">
        <v>99</v>
      </c>
      <c r="R1280">
        <v>30</v>
      </c>
      <c r="S1280" s="19">
        <v>0.54166666666666663</v>
      </c>
      <c r="U1280" s="19">
        <v>0</v>
      </c>
      <c r="V1280" t="s">
        <v>330</v>
      </c>
      <c r="W1280">
        <v>7.5</v>
      </c>
      <c r="X1280" t="s">
        <v>102</v>
      </c>
      <c r="Y1280" t="b">
        <v>0</v>
      </c>
    </row>
    <row r="1281" spans="1:25" x14ac:dyDescent="0.55000000000000004">
      <c r="A1281" t="s">
        <v>94</v>
      </c>
      <c r="B1281" t="s">
        <v>321</v>
      </c>
      <c r="C1281" t="s">
        <v>322</v>
      </c>
      <c r="D1281" t="s">
        <v>111</v>
      </c>
      <c r="E1281" t="s">
        <v>327</v>
      </c>
      <c r="F1281" t="s">
        <v>99</v>
      </c>
      <c r="G1281">
        <v>24141</v>
      </c>
      <c r="H1281" t="s">
        <v>333</v>
      </c>
      <c r="I1281">
        <v>2</v>
      </c>
      <c r="J1281" t="s">
        <v>103</v>
      </c>
      <c r="K1281" s="19">
        <v>0.29166666666666669</v>
      </c>
      <c r="L1281" s="19">
        <v>0.45833333333333331</v>
      </c>
      <c r="M1281">
        <v>4</v>
      </c>
      <c r="N1281">
        <v>145.25</v>
      </c>
      <c r="O1281">
        <v>54</v>
      </c>
      <c r="P1281">
        <v>76</v>
      </c>
      <c r="Q1281" t="s">
        <v>99</v>
      </c>
      <c r="R1281">
        <v>0</v>
      </c>
      <c r="S1281" s="19">
        <v>0.4375</v>
      </c>
      <c r="U1281" s="19">
        <v>0</v>
      </c>
      <c r="V1281" t="s">
        <v>328</v>
      </c>
      <c r="W1281">
        <v>4</v>
      </c>
      <c r="X1281" t="s">
        <v>102</v>
      </c>
      <c r="Y1281" t="b">
        <v>0</v>
      </c>
    </row>
    <row r="1282" spans="1:25" x14ac:dyDescent="0.55000000000000004">
      <c r="A1282" t="s">
        <v>94</v>
      </c>
      <c r="B1282" t="s">
        <v>321</v>
      </c>
      <c r="C1282" t="s">
        <v>322</v>
      </c>
      <c r="D1282" t="s">
        <v>111</v>
      </c>
      <c r="E1282" t="s">
        <v>327</v>
      </c>
      <c r="F1282" t="s">
        <v>99</v>
      </c>
      <c r="G1282">
        <v>24141</v>
      </c>
      <c r="H1282" t="s">
        <v>333</v>
      </c>
      <c r="I1282">
        <v>2</v>
      </c>
      <c r="J1282" t="s">
        <v>104</v>
      </c>
      <c r="K1282" s="19">
        <v>0.27083333333333331</v>
      </c>
      <c r="L1282" s="19">
        <v>0.60416666666666663</v>
      </c>
      <c r="M1282">
        <v>8</v>
      </c>
      <c r="N1282">
        <v>272.33999999999997</v>
      </c>
      <c r="O1282">
        <v>54</v>
      </c>
      <c r="P1282">
        <v>76</v>
      </c>
      <c r="Q1282" t="s">
        <v>99</v>
      </c>
      <c r="R1282">
        <v>30</v>
      </c>
      <c r="S1282" s="19">
        <v>0.54166666666666663</v>
      </c>
      <c r="U1282" s="19">
        <v>0</v>
      </c>
      <c r="V1282" t="s">
        <v>330</v>
      </c>
      <c r="W1282">
        <v>7.5</v>
      </c>
      <c r="X1282" t="s">
        <v>102</v>
      </c>
      <c r="Y1282" t="b">
        <v>0</v>
      </c>
    </row>
    <row r="1283" spans="1:25" x14ac:dyDescent="0.55000000000000004">
      <c r="A1283" t="s">
        <v>94</v>
      </c>
      <c r="B1283" t="s">
        <v>321</v>
      </c>
      <c r="C1283" t="s">
        <v>322</v>
      </c>
      <c r="D1283" t="s">
        <v>111</v>
      </c>
      <c r="E1283" t="s">
        <v>327</v>
      </c>
      <c r="F1283" t="s">
        <v>99</v>
      </c>
      <c r="G1283">
        <v>24141</v>
      </c>
      <c r="H1283" t="s">
        <v>333</v>
      </c>
      <c r="I1283">
        <v>2</v>
      </c>
      <c r="J1283" t="s">
        <v>105</v>
      </c>
      <c r="K1283" s="19">
        <v>0.29166666666666669</v>
      </c>
      <c r="L1283" s="19">
        <v>0.45833333333333331</v>
      </c>
      <c r="M1283">
        <v>4</v>
      </c>
      <c r="N1283">
        <v>145.25</v>
      </c>
      <c r="O1283">
        <v>54</v>
      </c>
      <c r="P1283">
        <v>76</v>
      </c>
      <c r="Q1283" t="s">
        <v>99</v>
      </c>
      <c r="R1283">
        <v>0</v>
      </c>
      <c r="S1283" s="19">
        <v>0.4375</v>
      </c>
      <c r="U1283" s="19">
        <v>0</v>
      </c>
      <c r="V1283" t="s">
        <v>328</v>
      </c>
      <c r="W1283">
        <v>4</v>
      </c>
      <c r="X1283" t="s">
        <v>102</v>
      </c>
      <c r="Y1283" t="b">
        <v>0</v>
      </c>
    </row>
    <row r="1284" spans="1:25" x14ac:dyDescent="0.55000000000000004">
      <c r="A1284" t="s">
        <v>94</v>
      </c>
      <c r="B1284" t="s">
        <v>321</v>
      </c>
      <c r="C1284" t="s">
        <v>322</v>
      </c>
      <c r="D1284" t="s">
        <v>111</v>
      </c>
      <c r="E1284" t="s">
        <v>327</v>
      </c>
      <c r="F1284" t="s">
        <v>99</v>
      </c>
      <c r="G1284">
        <v>25083</v>
      </c>
      <c r="H1284" t="s">
        <v>334</v>
      </c>
      <c r="I1284">
        <v>1</v>
      </c>
      <c r="J1284" t="s">
        <v>101</v>
      </c>
      <c r="K1284" s="19">
        <v>0.27083333333333331</v>
      </c>
      <c r="L1284" s="19">
        <v>0.625</v>
      </c>
      <c r="M1284">
        <v>8.5</v>
      </c>
      <c r="N1284">
        <v>232.4</v>
      </c>
      <c r="O1284">
        <v>72</v>
      </c>
      <c r="P1284">
        <v>76</v>
      </c>
      <c r="Q1284" t="s">
        <v>99</v>
      </c>
      <c r="R1284">
        <v>30</v>
      </c>
      <c r="S1284" s="19">
        <v>0.54166666666666663</v>
      </c>
      <c r="U1284" s="19">
        <v>0</v>
      </c>
      <c r="V1284" t="s">
        <v>326</v>
      </c>
      <c r="W1284">
        <v>8</v>
      </c>
      <c r="X1284" t="s">
        <v>102</v>
      </c>
      <c r="Y1284" t="b">
        <v>0</v>
      </c>
    </row>
    <row r="1285" spans="1:25" x14ac:dyDescent="0.55000000000000004">
      <c r="A1285" t="s">
        <v>94</v>
      </c>
      <c r="B1285" t="s">
        <v>321</v>
      </c>
      <c r="C1285" t="s">
        <v>322</v>
      </c>
      <c r="D1285" t="s">
        <v>111</v>
      </c>
      <c r="E1285" t="s">
        <v>327</v>
      </c>
      <c r="F1285" t="s">
        <v>99</v>
      </c>
      <c r="G1285">
        <v>25083</v>
      </c>
      <c r="H1285" t="s">
        <v>334</v>
      </c>
      <c r="I1285">
        <v>1</v>
      </c>
      <c r="J1285" t="s">
        <v>116</v>
      </c>
      <c r="K1285" s="19">
        <v>0.27083333333333331</v>
      </c>
      <c r="L1285" s="19">
        <v>0.625</v>
      </c>
      <c r="M1285">
        <v>8.5</v>
      </c>
      <c r="N1285">
        <v>406.7</v>
      </c>
      <c r="O1285">
        <v>72</v>
      </c>
      <c r="P1285">
        <v>76</v>
      </c>
      <c r="Q1285" t="s">
        <v>99</v>
      </c>
      <c r="R1285">
        <v>30</v>
      </c>
      <c r="S1285" s="19">
        <v>0.54166666666666663</v>
      </c>
      <c r="U1285" s="19">
        <v>0</v>
      </c>
      <c r="V1285" t="s">
        <v>326</v>
      </c>
      <c r="W1285">
        <v>8</v>
      </c>
      <c r="X1285" t="s">
        <v>102</v>
      </c>
      <c r="Y1285" t="b">
        <v>0</v>
      </c>
    </row>
    <row r="1286" spans="1:25" x14ac:dyDescent="0.55000000000000004">
      <c r="A1286" t="s">
        <v>94</v>
      </c>
      <c r="B1286" t="s">
        <v>321</v>
      </c>
      <c r="C1286" t="s">
        <v>322</v>
      </c>
      <c r="D1286" t="s">
        <v>111</v>
      </c>
      <c r="E1286" t="s">
        <v>327</v>
      </c>
      <c r="F1286" t="s">
        <v>99</v>
      </c>
      <c r="G1286">
        <v>25083</v>
      </c>
      <c r="H1286" t="s">
        <v>334</v>
      </c>
      <c r="I1286">
        <v>1</v>
      </c>
      <c r="J1286" t="s">
        <v>104</v>
      </c>
      <c r="K1286" s="19">
        <v>0.27083333333333331</v>
      </c>
      <c r="L1286" s="19">
        <v>0.625</v>
      </c>
      <c r="M1286">
        <v>8.5</v>
      </c>
      <c r="N1286">
        <v>232.4</v>
      </c>
      <c r="O1286">
        <v>72</v>
      </c>
      <c r="P1286">
        <v>76</v>
      </c>
      <c r="Q1286" t="s">
        <v>99</v>
      </c>
      <c r="R1286">
        <v>30</v>
      </c>
      <c r="S1286" s="19">
        <v>0.54166666666666663</v>
      </c>
      <c r="U1286" s="19">
        <v>0</v>
      </c>
      <c r="V1286" t="s">
        <v>326</v>
      </c>
      <c r="W1286">
        <v>8</v>
      </c>
      <c r="X1286" t="s">
        <v>102</v>
      </c>
      <c r="Y1286" t="b">
        <v>0</v>
      </c>
    </row>
    <row r="1287" spans="1:25" x14ac:dyDescent="0.55000000000000004">
      <c r="A1287" t="s">
        <v>94</v>
      </c>
      <c r="B1287" t="s">
        <v>321</v>
      </c>
      <c r="C1287" t="s">
        <v>322</v>
      </c>
      <c r="D1287" t="s">
        <v>111</v>
      </c>
      <c r="E1287" t="s">
        <v>327</v>
      </c>
      <c r="F1287" t="s">
        <v>99</v>
      </c>
      <c r="G1287">
        <v>25083</v>
      </c>
      <c r="H1287" t="s">
        <v>334</v>
      </c>
      <c r="I1287">
        <v>1</v>
      </c>
      <c r="J1287" t="s">
        <v>105</v>
      </c>
      <c r="K1287" s="19">
        <v>0.27083333333333331</v>
      </c>
      <c r="L1287" s="19">
        <v>0.625</v>
      </c>
      <c r="M1287">
        <v>8.5</v>
      </c>
      <c r="N1287">
        <v>232.4</v>
      </c>
      <c r="O1287">
        <v>72</v>
      </c>
      <c r="P1287">
        <v>76</v>
      </c>
      <c r="Q1287" t="s">
        <v>99</v>
      </c>
      <c r="R1287">
        <v>30</v>
      </c>
      <c r="S1287" s="19">
        <v>0.54166666666666663</v>
      </c>
      <c r="U1287" s="19">
        <v>0</v>
      </c>
      <c r="V1287" t="s">
        <v>326</v>
      </c>
      <c r="W1287">
        <v>8</v>
      </c>
      <c r="X1287" t="s">
        <v>102</v>
      </c>
      <c r="Y1287" t="b">
        <v>0</v>
      </c>
    </row>
    <row r="1288" spans="1:25" x14ac:dyDescent="0.55000000000000004">
      <c r="A1288" t="s">
        <v>94</v>
      </c>
      <c r="B1288" t="s">
        <v>321</v>
      </c>
      <c r="C1288" t="s">
        <v>322</v>
      </c>
      <c r="D1288" t="s">
        <v>111</v>
      </c>
      <c r="E1288" t="s">
        <v>327</v>
      </c>
      <c r="F1288" t="s">
        <v>99</v>
      </c>
      <c r="G1288">
        <v>25083</v>
      </c>
      <c r="H1288" t="s">
        <v>334</v>
      </c>
      <c r="I1288">
        <v>2</v>
      </c>
      <c r="J1288" t="s">
        <v>107</v>
      </c>
      <c r="K1288" s="19">
        <v>0.27083333333333331</v>
      </c>
      <c r="L1288" s="19">
        <v>0.625</v>
      </c>
      <c r="M1288">
        <v>8.5</v>
      </c>
      <c r="N1288">
        <v>232.4</v>
      </c>
      <c r="O1288">
        <v>72</v>
      </c>
      <c r="P1288">
        <v>76</v>
      </c>
      <c r="Q1288" t="s">
        <v>99</v>
      </c>
      <c r="R1288">
        <v>30</v>
      </c>
      <c r="S1288" s="19">
        <v>0.54166666666666663</v>
      </c>
      <c r="U1288" s="19">
        <v>0</v>
      </c>
      <c r="V1288" t="s">
        <v>326</v>
      </c>
      <c r="W1288">
        <v>8</v>
      </c>
      <c r="X1288" t="s">
        <v>102</v>
      </c>
      <c r="Y1288" t="b">
        <v>0</v>
      </c>
    </row>
    <row r="1289" spans="1:25" x14ac:dyDescent="0.55000000000000004">
      <c r="A1289" t="s">
        <v>94</v>
      </c>
      <c r="B1289" t="s">
        <v>321</v>
      </c>
      <c r="C1289" t="s">
        <v>322</v>
      </c>
      <c r="D1289" t="s">
        <v>111</v>
      </c>
      <c r="E1289" t="s">
        <v>327</v>
      </c>
      <c r="F1289" t="s">
        <v>99</v>
      </c>
      <c r="G1289">
        <v>25083</v>
      </c>
      <c r="H1289" t="s">
        <v>334</v>
      </c>
      <c r="I1289">
        <v>2</v>
      </c>
      <c r="J1289" t="s">
        <v>101</v>
      </c>
      <c r="K1289" s="19">
        <v>0.27083333333333331</v>
      </c>
      <c r="L1289" s="19">
        <v>0.625</v>
      </c>
      <c r="M1289">
        <v>8.5</v>
      </c>
      <c r="N1289">
        <v>232.4</v>
      </c>
      <c r="O1289">
        <v>72</v>
      </c>
      <c r="P1289">
        <v>76</v>
      </c>
      <c r="Q1289" t="s">
        <v>99</v>
      </c>
      <c r="R1289">
        <v>30</v>
      </c>
      <c r="S1289" s="19">
        <v>0.54166666666666663</v>
      </c>
      <c r="U1289" s="19">
        <v>0</v>
      </c>
      <c r="V1289" t="s">
        <v>326</v>
      </c>
      <c r="W1289">
        <v>8</v>
      </c>
      <c r="X1289" t="s">
        <v>102</v>
      </c>
      <c r="Y1289" t="b">
        <v>0</v>
      </c>
    </row>
    <row r="1290" spans="1:25" x14ac:dyDescent="0.55000000000000004">
      <c r="A1290" t="s">
        <v>94</v>
      </c>
      <c r="B1290" t="s">
        <v>321</v>
      </c>
      <c r="C1290" t="s">
        <v>322</v>
      </c>
      <c r="D1290" t="s">
        <v>111</v>
      </c>
      <c r="E1290" t="s">
        <v>327</v>
      </c>
      <c r="F1290" t="s">
        <v>99</v>
      </c>
      <c r="G1290">
        <v>25083</v>
      </c>
      <c r="H1290" t="s">
        <v>334</v>
      </c>
      <c r="I1290">
        <v>2</v>
      </c>
      <c r="J1290" t="s">
        <v>115</v>
      </c>
      <c r="K1290" s="19">
        <v>0.27083333333333331</v>
      </c>
      <c r="L1290" s="19">
        <v>0.625</v>
      </c>
      <c r="M1290">
        <v>8.5</v>
      </c>
      <c r="N1290">
        <v>348.6</v>
      </c>
      <c r="O1290">
        <v>72</v>
      </c>
      <c r="P1290">
        <v>76</v>
      </c>
      <c r="Q1290" t="s">
        <v>99</v>
      </c>
      <c r="R1290">
        <v>30</v>
      </c>
      <c r="S1290" s="19">
        <v>0.54166666666666663</v>
      </c>
      <c r="U1290" s="19">
        <v>0</v>
      </c>
      <c r="V1290" t="s">
        <v>326</v>
      </c>
      <c r="W1290">
        <v>8</v>
      </c>
      <c r="X1290" t="s">
        <v>102</v>
      </c>
      <c r="Y1290" t="b">
        <v>0</v>
      </c>
    </row>
    <row r="1291" spans="1:25" x14ac:dyDescent="0.55000000000000004">
      <c r="A1291" t="s">
        <v>94</v>
      </c>
      <c r="B1291" t="s">
        <v>321</v>
      </c>
      <c r="C1291" t="s">
        <v>322</v>
      </c>
      <c r="D1291" t="s">
        <v>111</v>
      </c>
      <c r="E1291" t="s">
        <v>327</v>
      </c>
      <c r="F1291" t="s">
        <v>99</v>
      </c>
      <c r="G1291">
        <v>25083</v>
      </c>
      <c r="H1291" t="s">
        <v>334</v>
      </c>
      <c r="I1291">
        <v>2</v>
      </c>
      <c r="J1291" t="s">
        <v>116</v>
      </c>
      <c r="K1291" s="19">
        <v>0.27083333333333331</v>
      </c>
      <c r="L1291" s="19">
        <v>0.625</v>
      </c>
      <c r="M1291">
        <v>8.5</v>
      </c>
      <c r="N1291">
        <v>406.7</v>
      </c>
      <c r="O1291">
        <v>72</v>
      </c>
      <c r="P1291">
        <v>76</v>
      </c>
      <c r="Q1291" t="s">
        <v>99</v>
      </c>
      <c r="R1291">
        <v>30</v>
      </c>
      <c r="S1291" s="19">
        <v>0.54166666666666663</v>
      </c>
      <c r="U1291" s="19">
        <v>0</v>
      </c>
      <c r="V1291" t="s">
        <v>326</v>
      </c>
      <c r="W1291">
        <v>8</v>
      </c>
      <c r="X1291" t="s">
        <v>102</v>
      </c>
      <c r="Y1291" t="b">
        <v>0</v>
      </c>
    </row>
    <row r="1292" spans="1:25" x14ac:dyDescent="0.55000000000000004">
      <c r="A1292" t="s">
        <v>94</v>
      </c>
      <c r="B1292" t="s">
        <v>321</v>
      </c>
      <c r="C1292" t="s">
        <v>322</v>
      </c>
      <c r="D1292" t="s">
        <v>111</v>
      </c>
      <c r="E1292" t="s">
        <v>327</v>
      </c>
      <c r="F1292" t="s">
        <v>99</v>
      </c>
      <c r="G1292">
        <v>25083</v>
      </c>
      <c r="H1292" t="s">
        <v>334</v>
      </c>
      <c r="I1292">
        <v>2</v>
      </c>
      <c r="J1292" t="s">
        <v>104</v>
      </c>
      <c r="K1292" s="19">
        <v>0.27083333333333331</v>
      </c>
      <c r="L1292" s="19">
        <v>0.625</v>
      </c>
      <c r="M1292">
        <v>8.5</v>
      </c>
      <c r="N1292">
        <v>232.4</v>
      </c>
      <c r="O1292">
        <v>72</v>
      </c>
      <c r="P1292">
        <v>76</v>
      </c>
      <c r="Q1292" t="s">
        <v>99</v>
      </c>
      <c r="R1292">
        <v>30</v>
      </c>
      <c r="S1292" s="19">
        <v>0.54166666666666663</v>
      </c>
      <c r="U1292" s="19">
        <v>0</v>
      </c>
      <c r="V1292" t="s">
        <v>326</v>
      </c>
      <c r="W1292">
        <v>8</v>
      </c>
      <c r="X1292" t="s">
        <v>102</v>
      </c>
      <c r="Y1292" t="b">
        <v>0</v>
      </c>
    </row>
    <row r="1293" spans="1:25" x14ac:dyDescent="0.55000000000000004">
      <c r="A1293" t="s">
        <v>94</v>
      </c>
      <c r="B1293" t="s">
        <v>321</v>
      </c>
      <c r="C1293" t="s">
        <v>322</v>
      </c>
      <c r="D1293" t="s">
        <v>111</v>
      </c>
      <c r="E1293" t="s">
        <v>335</v>
      </c>
      <c r="F1293" t="s">
        <v>99</v>
      </c>
      <c r="H1293" t="s">
        <v>99</v>
      </c>
      <c r="I1293">
        <v>1</v>
      </c>
      <c r="J1293" t="s">
        <v>107</v>
      </c>
      <c r="K1293" s="19">
        <v>0.45833333333333331</v>
      </c>
      <c r="L1293" s="19">
        <v>0.8125</v>
      </c>
      <c r="M1293">
        <v>8.5</v>
      </c>
      <c r="N1293">
        <v>0</v>
      </c>
      <c r="O1293">
        <v>0</v>
      </c>
      <c r="P1293">
        <v>0</v>
      </c>
      <c r="Q1293" t="s">
        <v>99</v>
      </c>
      <c r="R1293">
        <v>30</v>
      </c>
      <c r="S1293" s="19">
        <v>0.54166666666666663</v>
      </c>
      <c r="U1293" s="19">
        <v>0</v>
      </c>
      <c r="V1293" t="s">
        <v>336</v>
      </c>
      <c r="W1293">
        <v>8</v>
      </c>
      <c r="X1293" t="s">
        <v>102</v>
      </c>
      <c r="Y1293" t="b">
        <v>0</v>
      </c>
    </row>
    <row r="1294" spans="1:25" x14ac:dyDescent="0.55000000000000004">
      <c r="A1294" t="s">
        <v>94</v>
      </c>
      <c r="B1294" t="s">
        <v>321</v>
      </c>
      <c r="C1294" t="s">
        <v>322</v>
      </c>
      <c r="D1294" t="s">
        <v>111</v>
      </c>
      <c r="E1294" t="s">
        <v>335</v>
      </c>
      <c r="F1294" t="s">
        <v>99</v>
      </c>
      <c r="H1294" t="s">
        <v>99</v>
      </c>
      <c r="I1294">
        <v>1</v>
      </c>
      <c r="J1294" t="s">
        <v>107</v>
      </c>
      <c r="K1294" s="19">
        <v>0.625</v>
      </c>
      <c r="L1294" s="19">
        <v>0.79166666666666663</v>
      </c>
      <c r="M1294">
        <v>4</v>
      </c>
      <c r="N1294">
        <v>0</v>
      </c>
      <c r="O1294">
        <v>0</v>
      </c>
      <c r="P1294">
        <v>0</v>
      </c>
      <c r="Q1294" t="s">
        <v>99</v>
      </c>
      <c r="R1294">
        <v>0</v>
      </c>
      <c r="S1294" s="19">
        <v>0</v>
      </c>
      <c r="U1294" s="19">
        <v>0</v>
      </c>
      <c r="V1294" t="s">
        <v>99</v>
      </c>
      <c r="W1294">
        <v>4</v>
      </c>
      <c r="X1294" t="s">
        <v>102</v>
      </c>
      <c r="Y1294" t="b">
        <v>0</v>
      </c>
    </row>
    <row r="1295" spans="1:25" x14ac:dyDescent="0.55000000000000004">
      <c r="A1295" t="s">
        <v>94</v>
      </c>
      <c r="B1295" t="s">
        <v>321</v>
      </c>
      <c r="C1295" t="s">
        <v>322</v>
      </c>
      <c r="D1295" t="s">
        <v>111</v>
      </c>
      <c r="E1295" t="s">
        <v>335</v>
      </c>
      <c r="F1295" t="s">
        <v>99</v>
      </c>
      <c r="H1295" t="s">
        <v>99</v>
      </c>
      <c r="I1295">
        <v>1</v>
      </c>
      <c r="J1295" t="s">
        <v>101</v>
      </c>
      <c r="K1295" s="19">
        <v>0.45833333333333331</v>
      </c>
      <c r="L1295" s="19">
        <v>0.8125</v>
      </c>
      <c r="M1295">
        <v>8.5</v>
      </c>
      <c r="N1295">
        <v>0</v>
      </c>
      <c r="O1295">
        <v>0</v>
      </c>
      <c r="P1295">
        <v>0</v>
      </c>
      <c r="Q1295" t="s">
        <v>99</v>
      </c>
      <c r="R1295">
        <v>30</v>
      </c>
      <c r="S1295" s="19">
        <v>0.54166666666666663</v>
      </c>
      <c r="U1295" s="19">
        <v>0</v>
      </c>
      <c r="V1295" t="s">
        <v>336</v>
      </c>
      <c r="W1295">
        <v>8</v>
      </c>
      <c r="X1295" t="s">
        <v>102</v>
      </c>
      <c r="Y1295" t="b">
        <v>0</v>
      </c>
    </row>
    <row r="1296" spans="1:25" x14ac:dyDescent="0.55000000000000004">
      <c r="A1296" t="s">
        <v>94</v>
      </c>
      <c r="B1296" t="s">
        <v>321</v>
      </c>
      <c r="C1296" t="s">
        <v>322</v>
      </c>
      <c r="D1296" t="s">
        <v>111</v>
      </c>
      <c r="E1296" t="s">
        <v>335</v>
      </c>
      <c r="F1296" t="s">
        <v>99</v>
      </c>
      <c r="H1296" t="s">
        <v>99</v>
      </c>
      <c r="I1296">
        <v>1</v>
      </c>
      <c r="J1296" t="s">
        <v>101</v>
      </c>
      <c r="K1296" s="19">
        <v>0.625</v>
      </c>
      <c r="L1296" s="19">
        <v>0.79166666666666663</v>
      </c>
      <c r="M1296">
        <v>4</v>
      </c>
      <c r="N1296">
        <v>0</v>
      </c>
      <c r="O1296">
        <v>0</v>
      </c>
      <c r="P1296">
        <v>0</v>
      </c>
      <c r="Q1296" t="s">
        <v>99</v>
      </c>
      <c r="R1296">
        <v>0</v>
      </c>
      <c r="S1296" s="19">
        <v>0</v>
      </c>
      <c r="U1296" s="19">
        <v>0</v>
      </c>
      <c r="V1296" t="s">
        <v>99</v>
      </c>
      <c r="W1296">
        <v>4</v>
      </c>
      <c r="X1296" t="s">
        <v>102</v>
      </c>
      <c r="Y1296" t="b">
        <v>0</v>
      </c>
    </row>
    <row r="1297" spans="1:25" x14ac:dyDescent="0.55000000000000004">
      <c r="A1297" t="s">
        <v>94</v>
      </c>
      <c r="B1297" t="s">
        <v>321</v>
      </c>
      <c r="C1297" t="s">
        <v>322</v>
      </c>
      <c r="D1297" t="s">
        <v>111</v>
      </c>
      <c r="E1297" t="s">
        <v>335</v>
      </c>
      <c r="F1297" t="s">
        <v>99</v>
      </c>
      <c r="H1297" t="s">
        <v>99</v>
      </c>
      <c r="I1297">
        <v>1</v>
      </c>
      <c r="J1297" t="s">
        <v>115</v>
      </c>
      <c r="K1297" s="19">
        <v>0.45833333333333331</v>
      </c>
      <c r="L1297" s="19">
        <v>0.8125</v>
      </c>
      <c r="M1297">
        <v>8.5</v>
      </c>
      <c r="N1297">
        <v>0</v>
      </c>
      <c r="O1297">
        <v>0</v>
      </c>
      <c r="P1297">
        <v>0</v>
      </c>
      <c r="Q1297" t="s">
        <v>99</v>
      </c>
      <c r="R1297">
        <v>30</v>
      </c>
      <c r="S1297" s="19">
        <v>0.54166666666666663</v>
      </c>
      <c r="U1297" s="19">
        <v>0</v>
      </c>
      <c r="V1297" t="s">
        <v>336</v>
      </c>
      <c r="W1297">
        <v>8</v>
      </c>
      <c r="X1297" t="s">
        <v>102</v>
      </c>
      <c r="Y1297" t="b">
        <v>0</v>
      </c>
    </row>
    <row r="1298" spans="1:25" x14ac:dyDescent="0.55000000000000004">
      <c r="A1298" t="s">
        <v>94</v>
      </c>
      <c r="B1298" t="s">
        <v>321</v>
      </c>
      <c r="C1298" t="s">
        <v>322</v>
      </c>
      <c r="D1298" t="s">
        <v>111</v>
      </c>
      <c r="E1298" t="s">
        <v>335</v>
      </c>
      <c r="F1298" t="s">
        <v>99</v>
      </c>
      <c r="H1298" t="s">
        <v>99</v>
      </c>
      <c r="I1298">
        <v>1</v>
      </c>
      <c r="J1298" t="s">
        <v>115</v>
      </c>
      <c r="K1298" s="19">
        <v>0.625</v>
      </c>
      <c r="L1298" s="19">
        <v>0.79166666666666663</v>
      </c>
      <c r="M1298">
        <v>4</v>
      </c>
      <c r="N1298">
        <v>0</v>
      </c>
      <c r="O1298">
        <v>0</v>
      </c>
      <c r="P1298">
        <v>0</v>
      </c>
      <c r="Q1298" t="s">
        <v>99</v>
      </c>
      <c r="R1298">
        <v>0</v>
      </c>
      <c r="S1298" s="19">
        <v>0</v>
      </c>
      <c r="U1298" s="19">
        <v>0</v>
      </c>
      <c r="V1298" t="s">
        <v>99</v>
      </c>
      <c r="W1298">
        <v>4</v>
      </c>
      <c r="X1298" t="s">
        <v>102</v>
      </c>
      <c r="Y1298" t="b">
        <v>0</v>
      </c>
    </row>
    <row r="1299" spans="1:25" x14ac:dyDescent="0.55000000000000004">
      <c r="A1299" t="s">
        <v>94</v>
      </c>
      <c r="B1299" t="s">
        <v>321</v>
      </c>
      <c r="C1299" t="s">
        <v>322</v>
      </c>
      <c r="D1299" t="s">
        <v>111</v>
      </c>
      <c r="E1299" t="s">
        <v>335</v>
      </c>
      <c r="F1299" t="s">
        <v>99</v>
      </c>
      <c r="H1299" t="s">
        <v>99</v>
      </c>
      <c r="I1299">
        <v>1</v>
      </c>
      <c r="J1299" t="s">
        <v>116</v>
      </c>
      <c r="K1299" s="19">
        <v>0.45833333333333331</v>
      </c>
      <c r="L1299" s="19">
        <v>0.8125</v>
      </c>
      <c r="M1299">
        <v>8.5</v>
      </c>
      <c r="N1299">
        <v>0</v>
      </c>
      <c r="O1299">
        <v>0</v>
      </c>
      <c r="P1299">
        <v>0</v>
      </c>
      <c r="Q1299" t="s">
        <v>99</v>
      </c>
      <c r="R1299">
        <v>30</v>
      </c>
      <c r="S1299" s="19">
        <v>0.54166666666666663</v>
      </c>
      <c r="U1299" s="19">
        <v>0</v>
      </c>
      <c r="V1299" t="s">
        <v>336</v>
      </c>
      <c r="W1299">
        <v>8</v>
      </c>
      <c r="X1299" t="s">
        <v>102</v>
      </c>
      <c r="Y1299" t="b">
        <v>0</v>
      </c>
    </row>
    <row r="1300" spans="1:25" x14ac:dyDescent="0.55000000000000004">
      <c r="A1300" t="s">
        <v>94</v>
      </c>
      <c r="B1300" t="s">
        <v>321</v>
      </c>
      <c r="C1300" t="s">
        <v>322</v>
      </c>
      <c r="D1300" t="s">
        <v>111</v>
      </c>
      <c r="E1300" t="s">
        <v>335</v>
      </c>
      <c r="F1300" t="s">
        <v>99</v>
      </c>
      <c r="H1300" t="s">
        <v>99</v>
      </c>
      <c r="I1300">
        <v>1</v>
      </c>
      <c r="J1300" t="s">
        <v>116</v>
      </c>
      <c r="K1300" s="19">
        <v>0.625</v>
      </c>
      <c r="L1300" s="19">
        <v>0.79166666666666663</v>
      </c>
      <c r="M1300">
        <v>4</v>
      </c>
      <c r="N1300">
        <v>0</v>
      </c>
      <c r="O1300">
        <v>0</v>
      </c>
      <c r="P1300">
        <v>0</v>
      </c>
      <c r="Q1300" t="s">
        <v>99</v>
      </c>
      <c r="R1300">
        <v>0</v>
      </c>
      <c r="S1300" s="19">
        <v>0</v>
      </c>
      <c r="U1300" s="19">
        <v>0</v>
      </c>
      <c r="V1300" t="s">
        <v>99</v>
      </c>
      <c r="W1300">
        <v>4</v>
      </c>
      <c r="X1300" t="s">
        <v>102</v>
      </c>
      <c r="Y1300" t="b">
        <v>0</v>
      </c>
    </row>
    <row r="1301" spans="1:25" x14ac:dyDescent="0.55000000000000004">
      <c r="A1301" t="s">
        <v>94</v>
      </c>
      <c r="B1301" t="s">
        <v>321</v>
      </c>
      <c r="C1301" t="s">
        <v>322</v>
      </c>
      <c r="D1301" t="s">
        <v>111</v>
      </c>
      <c r="E1301" t="s">
        <v>335</v>
      </c>
      <c r="F1301" t="s">
        <v>99</v>
      </c>
      <c r="H1301" t="s">
        <v>99</v>
      </c>
      <c r="I1301">
        <v>1</v>
      </c>
      <c r="J1301" t="s">
        <v>103</v>
      </c>
      <c r="K1301" s="19">
        <v>0.45833333333333331</v>
      </c>
      <c r="L1301" s="19">
        <v>0.8125</v>
      </c>
      <c r="M1301">
        <v>8.5</v>
      </c>
      <c r="N1301">
        <v>203.36</v>
      </c>
      <c r="O1301">
        <v>0</v>
      </c>
      <c r="P1301">
        <v>0</v>
      </c>
      <c r="Q1301" t="s">
        <v>99</v>
      </c>
      <c r="R1301">
        <v>30</v>
      </c>
      <c r="S1301" s="19">
        <v>0.54166666666666663</v>
      </c>
      <c r="U1301" s="19">
        <v>0</v>
      </c>
      <c r="V1301" t="s">
        <v>336</v>
      </c>
      <c r="W1301">
        <v>8</v>
      </c>
      <c r="X1301" t="s">
        <v>102</v>
      </c>
      <c r="Y1301" t="b">
        <v>0</v>
      </c>
    </row>
    <row r="1302" spans="1:25" x14ac:dyDescent="0.55000000000000004">
      <c r="A1302" t="s">
        <v>94</v>
      </c>
      <c r="B1302" t="s">
        <v>321</v>
      </c>
      <c r="C1302" t="s">
        <v>322</v>
      </c>
      <c r="D1302" t="s">
        <v>111</v>
      </c>
      <c r="E1302" t="s">
        <v>335</v>
      </c>
      <c r="F1302" t="s">
        <v>99</v>
      </c>
      <c r="H1302" t="s">
        <v>99</v>
      </c>
      <c r="I1302">
        <v>1</v>
      </c>
      <c r="J1302" t="s">
        <v>103</v>
      </c>
      <c r="K1302" s="19">
        <v>0.625</v>
      </c>
      <c r="L1302" s="19">
        <v>0.79166666666666663</v>
      </c>
      <c r="M1302">
        <v>4</v>
      </c>
      <c r="N1302">
        <v>0</v>
      </c>
      <c r="O1302">
        <v>0</v>
      </c>
      <c r="P1302">
        <v>0</v>
      </c>
      <c r="Q1302" t="s">
        <v>99</v>
      </c>
      <c r="R1302">
        <v>0</v>
      </c>
      <c r="S1302" s="19">
        <v>0</v>
      </c>
      <c r="U1302" s="19">
        <v>0</v>
      </c>
      <c r="V1302" t="s">
        <v>99</v>
      </c>
      <c r="W1302">
        <v>4</v>
      </c>
      <c r="X1302" t="s">
        <v>102</v>
      </c>
      <c r="Y1302" t="b">
        <v>0</v>
      </c>
    </row>
    <row r="1303" spans="1:25" x14ac:dyDescent="0.55000000000000004">
      <c r="A1303" t="s">
        <v>94</v>
      </c>
      <c r="B1303" t="s">
        <v>321</v>
      </c>
      <c r="C1303" t="s">
        <v>322</v>
      </c>
      <c r="D1303" t="s">
        <v>111</v>
      </c>
      <c r="E1303" t="s">
        <v>335</v>
      </c>
      <c r="F1303" t="s">
        <v>99</v>
      </c>
      <c r="H1303" t="s">
        <v>99</v>
      </c>
      <c r="I1303">
        <v>1</v>
      </c>
      <c r="J1303" t="s">
        <v>104</v>
      </c>
      <c r="K1303" s="19">
        <v>0.45833333333333331</v>
      </c>
      <c r="L1303" s="19">
        <v>0.8125</v>
      </c>
      <c r="M1303">
        <v>8.5</v>
      </c>
      <c r="N1303">
        <v>0</v>
      </c>
      <c r="O1303">
        <v>0</v>
      </c>
      <c r="P1303">
        <v>0</v>
      </c>
      <c r="Q1303" t="s">
        <v>99</v>
      </c>
      <c r="R1303">
        <v>30</v>
      </c>
      <c r="S1303" s="19">
        <v>0.54166666666666663</v>
      </c>
      <c r="U1303" s="19">
        <v>0</v>
      </c>
      <c r="V1303" t="s">
        <v>336</v>
      </c>
      <c r="W1303">
        <v>8</v>
      </c>
      <c r="X1303" t="s">
        <v>102</v>
      </c>
      <c r="Y1303" t="b">
        <v>0</v>
      </c>
    </row>
    <row r="1304" spans="1:25" x14ac:dyDescent="0.55000000000000004">
      <c r="A1304" t="s">
        <v>94</v>
      </c>
      <c r="B1304" t="s">
        <v>321</v>
      </c>
      <c r="C1304" t="s">
        <v>322</v>
      </c>
      <c r="D1304" t="s">
        <v>111</v>
      </c>
      <c r="E1304" t="s">
        <v>335</v>
      </c>
      <c r="F1304" t="s">
        <v>99</v>
      </c>
      <c r="H1304" t="s">
        <v>99</v>
      </c>
      <c r="I1304">
        <v>1</v>
      </c>
      <c r="J1304" t="s">
        <v>104</v>
      </c>
      <c r="K1304" s="19">
        <v>0.625</v>
      </c>
      <c r="L1304" s="19">
        <v>0.79166666666666663</v>
      </c>
      <c r="M1304">
        <v>4</v>
      </c>
      <c r="N1304">
        <v>0</v>
      </c>
      <c r="O1304">
        <v>0</v>
      </c>
      <c r="P1304">
        <v>0</v>
      </c>
      <c r="Q1304" t="s">
        <v>99</v>
      </c>
      <c r="R1304">
        <v>0</v>
      </c>
      <c r="S1304" s="19">
        <v>0</v>
      </c>
      <c r="U1304" s="19">
        <v>0</v>
      </c>
      <c r="V1304" t="s">
        <v>99</v>
      </c>
      <c r="W1304">
        <v>4</v>
      </c>
      <c r="X1304" t="s">
        <v>102</v>
      </c>
      <c r="Y1304" t="b">
        <v>0</v>
      </c>
    </row>
    <row r="1305" spans="1:25" x14ac:dyDescent="0.55000000000000004">
      <c r="A1305" t="s">
        <v>94</v>
      </c>
      <c r="B1305" t="s">
        <v>321</v>
      </c>
      <c r="C1305" t="s">
        <v>322</v>
      </c>
      <c r="D1305" t="s">
        <v>111</v>
      </c>
      <c r="E1305" t="s">
        <v>335</v>
      </c>
      <c r="F1305" t="s">
        <v>99</v>
      </c>
      <c r="H1305" t="s">
        <v>99</v>
      </c>
      <c r="I1305">
        <v>1</v>
      </c>
      <c r="J1305" t="s">
        <v>105</v>
      </c>
      <c r="K1305" s="19">
        <v>0.45833333333333331</v>
      </c>
      <c r="L1305" s="19">
        <v>0.8125</v>
      </c>
      <c r="M1305">
        <v>8.5</v>
      </c>
      <c r="N1305">
        <v>203.36</v>
      </c>
      <c r="O1305">
        <v>0</v>
      </c>
      <c r="P1305">
        <v>0</v>
      </c>
      <c r="Q1305" t="s">
        <v>99</v>
      </c>
      <c r="R1305">
        <v>30</v>
      </c>
      <c r="S1305" s="19">
        <v>0.54166666666666663</v>
      </c>
      <c r="U1305" s="19">
        <v>0</v>
      </c>
      <c r="V1305" t="s">
        <v>336</v>
      </c>
      <c r="W1305">
        <v>8</v>
      </c>
      <c r="X1305" t="s">
        <v>102</v>
      </c>
      <c r="Y1305" t="b">
        <v>0</v>
      </c>
    </row>
    <row r="1306" spans="1:25" x14ac:dyDescent="0.55000000000000004">
      <c r="A1306" t="s">
        <v>94</v>
      </c>
      <c r="B1306" t="s">
        <v>321</v>
      </c>
      <c r="C1306" t="s">
        <v>322</v>
      </c>
      <c r="D1306" t="s">
        <v>111</v>
      </c>
      <c r="E1306" t="s">
        <v>335</v>
      </c>
      <c r="F1306" t="s">
        <v>99</v>
      </c>
      <c r="H1306" t="s">
        <v>99</v>
      </c>
      <c r="I1306">
        <v>1</v>
      </c>
      <c r="J1306" t="s">
        <v>105</v>
      </c>
      <c r="K1306" s="19">
        <v>0.625</v>
      </c>
      <c r="L1306" s="19">
        <v>0.79166666666666663</v>
      </c>
      <c r="M1306">
        <v>4</v>
      </c>
      <c r="N1306">
        <v>0</v>
      </c>
      <c r="O1306">
        <v>0</v>
      </c>
      <c r="P1306">
        <v>0</v>
      </c>
      <c r="Q1306" t="s">
        <v>99</v>
      </c>
      <c r="R1306">
        <v>0</v>
      </c>
      <c r="S1306" s="19">
        <v>0</v>
      </c>
      <c r="U1306" s="19">
        <v>0</v>
      </c>
      <c r="V1306" t="s">
        <v>99</v>
      </c>
      <c r="W1306">
        <v>4</v>
      </c>
      <c r="X1306" t="s">
        <v>102</v>
      </c>
      <c r="Y1306" t="b">
        <v>0</v>
      </c>
    </row>
    <row r="1307" spans="1:25" x14ac:dyDescent="0.55000000000000004">
      <c r="A1307" t="s">
        <v>94</v>
      </c>
      <c r="B1307" t="s">
        <v>321</v>
      </c>
      <c r="C1307" t="s">
        <v>322</v>
      </c>
      <c r="D1307" t="s">
        <v>111</v>
      </c>
      <c r="E1307" t="s">
        <v>335</v>
      </c>
      <c r="F1307" t="s">
        <v>99</v>
      </c>
      <c r="H1307" t="s">
        <v>99</v>
      </c>
      <c r="I1307">
        <v>2</v>
      </c>
      <c r="J1307" t="s">
        <v>107</v>
      </c>
      <c r="K1307" s="19">
        <v>0.45833333333333331</v>
      </c>
      <c r="L1307" s="19">
        <v>0.8125</v>
      </c>
      <c r="M1307">
        <v>8.5</v>
      </c>
      <c r="N1307">
        <v>0</v>
      </c>
      <c r="O1307">
        <v>0</v>
      </c>
      <c r="P1307">
        <v>0</v>
      </c>
      <c r="Q1307" t="s">
        <v>99</v>
      </c>
      <c r="R1307">
        <v>30</v>
      </c>
      <c r="S1307" s="19">
        <v>0.54166666666666663</v>
      </c>
      <c r="U1307" s="19">
        <v>0</v>
      </c>
      <c r="V1307" t="s">
        <v>336</v>
      </c>
      <c r="W1307">
        <v>8</v>
      </c>
      <c r="X1307" t="s">
        <v>102</v>
      </c>
      <c r="Y1307" t="b">
        <v>0</v>
      </c>
    </row>
    <row r="1308" spans="1:25" x14ac:dyDescent="0.55000000000000004">
      <c r="A1308" t="s">
        <v>94</v>
      </c>
      <c r="B1308" t="s">
        <v>321</v>
      </c>
      <c r="C1308" t="s">
        <v>322</v>
      </c>
      <c r="D1308" t="s">
        <v>111</v>
      </c>
      <c r="E1308" t="s">
        <v>335</v>
      </c>
      <c r="F1308" t="s">
        <v>99</v>
      </c>
      <c r="H1308" t="s">
        <v>99</v>
      </c>
      <c r="I1308">
        <v>2</v>
      </c>
      <c r="J1308" t="s">
        <v>107</v>
      </c>
      <c r="K1308" s="19">
        <v>0.625</v>
      </c>
      <c r="L1308" s="19">
        <v>0.79166666666666663</v>
      </c>
      <c r="M1308">
        <v>4</v>
      </c>
      <c r="N1308">
        <v>0</v>
      </c>
      <c r="O1308">
        <v>0</v>
      </c>
      <c r="P1308">
        <v>0</v>
      </c>
      <c r="Q1308" t="s">
        <v>99</v>
      </c>
      <c r="R1308">
        <v>0</v>
      </c>
      <c r="S1308" s="19">
        <v>0</v>
      </c>
      <c r="U1308" s="19">
        <v>0</v>
      </c>
      <c r="V1308" t="s">
        <v>99</v>
      </c>
      <c r="W1308">
        <v>4</v>
      </c>
      <c r="X1308" t="s">
        <v>102</v>
      </c>
      <c r="Y1308" t="b">
        <v>0</v>
      </c>
    </row>
    <row r="1309" spans="1:25" x14ac:dyDescent="0.55000000000000004">
      <c r="A1309" t="s">
        <v>94</v>
      </c>
      <c r="B1309" t="s">
        <v>321</v>
      </c>
      <c r="C1309" t="s">
        <v>322</v>
      </c>
      <c r="D1309" t="s">
        <v>111</v>
      </c>
      <c r="E1309" t="s">
        <v>335</v>
      </c>
      <c r="F1309" t="s">
        <v>99</v>
      </c>
      <c r="H1309" t="s">
        <v>99</v>
      </c>
      <c r="I1309">
        <v>2</v>
      </c>
      <c r="J1309" t="s">
        <v>101</v>
      </c>
      <c r="K1309" s="19">
        <v>0.45833333333333331</v>
      </c>
      <c r="L1309" s="19">
        <v>0.8125</v>
      </c>
      <c r="M1309">
        <v>8.5</v>
      </c>
      <c r="N1309">
        <v>0</v>
      </c>
      <c r="O1309">
        <v>0</v>
      </c>
      <c r="P1309">
        <v>0</v>
      </c>
      <c r="Q1309" t="s">
        <v>99</v>
      </c>
      <c r="R1309">
        <v>30</v>
      </c>
      <c r="S1309" s="19">
        <v>0.54166666666666663</v>
      </c>
      <c r="U1309" s="19">
        <v>0</v>
      </c>
      <c r="V1309" t="s">
        <v>336</v>
      </c>
      <c r="W1309">
        <v>8</v>
      </c>
      <c r="X1309" t="s">
        <v>102</v>
      </c>
      <c r="Y1309" t="b">
        <v>0</v>
      </c>
    </row>
    <row r="1310" spans="1:25" x14ac:dyDescent="0.55000000000000004">
      <c r="A1310" t="s">
        <v>94</v>
      </c>
      <c r="B1310" t="s">
        <v>321</v>
      </c>
      <c r="C1310" t="s">
        <v>322</v>
      </c>
      <c r="D1310" t="s">
        <v>111</v>
      </c>
      <c r="E1310" t="s">
        <v>335</v>
      </c>
      <c r="F1310" t="s">
        <v>99</v>
      </c>
      <c r="H1310" t="s">
        <v>99</v>
      </c>
      <c r="I1310">
        <v>2</v>
      </c>
      <c r="J1310" t="s">
        <v>101</v>
      </c>
      <c r="K1310" s="19">
        <v>0.625</v>
      </c>
      <c r="L1310" s="19">
        <v>0.79166666666666663</v>
      </c>
      <c r="M1310">
        <v>4</v>
      </c>
      <c r="N1310">
        <v>0</v>
      </c>
      <c r="O1310">
        <v>0</v>
      </c>
      <c r="P1310">
        <v>0</v>
      </c>
      <c r="Q1310" t="s">
        <v>99</v>
      </c>
      <c r="R1310">
        <v>0</v>
      </c>
      <c r="S1310" s="19">
        <v>0</v>
      </c>
      <c r="U1310" s="19">
        <v>0</v>
      </c>
      <c r="V1310" t="s">
        <v>99</v>
      </c>
      <c r="W1310">
        <v>4</v>
      </c>
      <c r="X1310" t="s">
        <v>102</v>
      </c>
      <c r="Y1310" t="b">
        <v>0</v>
      </c>
    </row>
    <row r="1311" spans="1:25" x14ac:dyDescent="0.55000000000000004">
      <c r="A1311" t="s">
        <v>94</v>
      </c>
      <c r="B1311" t="s">
        <v>321</v>
      </c>
      <c r="C1311" t="s">
        <v>322</v>
      </c>
      <c r="D1311" t="s">
        <v>111</v>
      </c>
      <c r="E1311" t="s">
        <v>335</v>
      </c>
      <c r="F1311" t="s">
        <v>99</v>
      </c>
      <c r="H1311" t="s">
        <v>99</v>
      </c>
      <c r="I1311">
        <v>2</v>
      </c>
      <c r="J1311" t="s">
        <v>115</v>
      </c>
      <c r="K1311" s="19">
        <v>0.45833333333333331</v>
      </c>
      <c r="L1311" s="19">
        <v>0.8125</v>
      </c>
      <c r="M1311">
        <v>8.5</v>
      </c>
      <c r="N1311">
        <v>305.04000000000002</v>
      </c>
      <c r="O1311">
        <v>0</v>
      </c>
      <c r="P1311">
        <v>0</v>
      </c>
      <c r="Q1311" t="s">
        <v>99</v>
      </c>
      <c r="R1311">
        <v>30</v>
      </c>
      <c r="S1311" s="19">
        <v>0.54166666666666663</v>
      </c>
      <c r="U1311" s="19">
        <v>0</v>
      </c>
      <c r="V1311" t="s">
        <v>336</v>
      </c>
      <c r="W1311">
        <v>8</v>
      </c>
      <c r="X1311" t="s">
        <v>102</v>
      </c>
      <c r="Y1311" t="b">
        <v>0</v>
      </c>
    </row>
    <row r="1312" spans="1:25" x14ac:dyDescent="0.55000000000000004">
      <c r="A1312" t="s">
        <v>94</v>
      </c>
      <c r="B1312" t="s">
        <v>321</v>
      </c>
      <c r="C1312" t="s">
        <v>322</v>
      </c>
      <c r="D1312" t="s">
        <v>111</v>
      </c>
      <c r="E1312" t="s">
        <v>335</v>
      </c>
      <c r="F1312" t="s">
        <v>99</v>
      </c>
      <c r="H1312" t="s">
        <v>99</v>
      </c>
      <c r="I1312">
        <v>2</v>
      </c>
      <c r="J1312" t="s">
        <v>115</v>
      </c>
      <c r="K1312" s="19">
        <v>0.625</v>
      </c>
      <c r="L1312" s="19">
        <v>0.79166666666666663</v>
      </c>
      <c r="M1312">
        <v>4</v>
      </c>
      <c r="N1312">
        <v>0</v>
      </c>
      <c r="O1312">
        <v>0</v>
      </c>
      <c r="P1312">
        <v>0</v>
      </c>
      <c r="Q1312" t="s">
        <v>99</v>
      </c>
      <c r="R1312">
        <v>0</v>
      </c>
      <c r="S1312" s="19">
        <v>0</v>
      </c>
      <c r="U1312" s="19">
        <v>0</v>
      </c>
      <c r="V1312" t="s">
        <v>99</v>
      </c>
      <c r="W1312">
        <v>4</v>
      </c>
      <c r="X1312" t="s">
        <v>102</v>
      </c>
      <c r="Y1312" t="b">
        <v>0</v>
      </c>
    </row>
    <row r="1313" spans="1:25" x14ac:dyDescent="0.55000000000000004">
      <c r="A1313" t="s">
        <v>94</v>
      </c>
      <c r="B1313" t="s">
        <v>321</v>
      </c>
      <c r="C1313" t="s">
        <v>322</v>
      </c>
      <c r="D1313" t="s">
        <v>111</v>
      </c>
      <c r="E1313" t="s">
        <v>335</v>
      </c>
      <c r="F1313" t="s">
        <v>99</v>
      </c>
      <c r="H1313" t="s">
        <v>99</v>
      </c>
      <c r="I1313">
        <v>2</v>
      </c>
      <c r="J1313" t="s">
        <v>116</v>
      </c>
      <c r="K1313" s="19">
        <v>0.45833333333333331</v>
      </c>
      <c r="L1313" s="19">
        <v>0.8125</v>
      </c>
      <c r="M1313">
        <v>8.5</v>
      </c>
      <c r="N1313">
        <v>355.88</v>
      </c>
      <c r="O1313">
        <v>0</v>
      </c>
      <c r="P1313">
        <v>0</v>
      </c>
      <c r="Q1313" t="s">
        <v>99</v>
      </c>
      <c r="R1313">
        <v>30</v>
      </c>
      <c r="S1313" s="19">
        <v>0.54166666666666663</v>
      </c>
      <c r="U1313" s="19">
        <v>0</v>
      </c>
      <c r="V1313" t="s">
        <v>336</v>
      </c>
      <c r="W1313">
        <v>8</v>
      </c>
      <c r="X1313" t="s">
        <v>102</v>
      </c>
      <c r="Y1313" t="b">
        <v>0</v>
      </c>
    </row>
    <row r="1314" spans="1:25" x14ac:dyDescent="0.55000000000000004">
      <c r="A1314" t="s">
        <v>94</v>
      </c>
      <c r="B1314" t="s">
        <v>321</v>
      </c>
      <c r="C1314" t="s">
        <v>322</v>
      </c>
      <c r="D1314" t="s">
        <v>111</v>
      </c>
      <c r="E1314" t="s">
        <v>335</v>
      </c>
      <c r="F1314" t="s">
        <v>99</v>
      </c>
      <c r="H1314" t="s">
        <v>99</v>
      </c>
      <c r="I1314">
        <v>2</v>
      </c>
      <c r="J1314" t="s">
        <v>116</v>
      </c>
      <c r="K1314" s="19">
        <v>0.625</v>
      </c>
      <c r="L1314" s="19">
        <v>0.79166666666666663</v>
      </c>
      <c r="M1314">
        <v>4</v>
      </c>
      <c r="N1314">
        <v>0</v>
      </c>
      <c r="O1314">
        <v>0</v>
      </c>
      <c r="P1314">
        <v>0</v>
      </c>
      <c r="Q1314" t="s">
        <v>99</v>
      </c>
      <c r="R1314">
        <v>0</v>
      </c>
      <c r="S1314" s="19">
        <v>0</v>
      </c>
      <c r="U1314" s="19">
        <v>0</v>
      </c>
      <c r="V1314" t="s">
        <v>99</v>
      </c>
      <c r="W1314">
        <v>4</v>
      </c>
      <c r="X1314" t="s">
        <v>102</v>
      </c>
      <c r="Y1314" t="b">
        <v>0</v>
      </c>
    </row>
    <row r="1315" spans="1:25" x14ac:dyDescent="0.55000000000000004">
      <c r="A1315" t="s">
        <v>94</v>
      </c>
      <c r="B1315" t="s">
        <v>321</v>
      </c>
      <c r="C1315" t="s">
        <v>322</v>
      </c>
      <c r="D1315" t="s">
        <v>111</v>
      </c>
      <c r="E1315" t="s">
        <v>335</v>
      </c>
      <c r="F1315" t="s">
        <v>99</v>
      </c>
      <c r="H1315" t="s">
        <v>99</v>
      </c>
      <c r="I1315">
        <v>2</v>
      </c>
      <c r="J1315" t="s">
        <v>103</v>
      </c>
      <c r="K1315" s="19">
        <v>0.45833333333333331</v>
      </c>
      <c r="L1315" s="19">
        <v>0.8125</v>
      </c>
      <c r="M1315">
        <v>8.5</v>
      </c>
      <c r="N1315">
        <v>0</v>
      </c>
      <c r="O1315">
        <v>0</v>
      </c>
      <c r="P1315">
        <v>0</v>
      </c>
      <c r="Q1315" t="s">
        <v>99</v>
      </c>
      <c r="R1315">
        <v>30</v>
      </c>
      <c r="S1315" s="19">
        <v>0.54166666666666663</v>
      </c>
      <c r="U1315" s="19">
        <v>0</v>
      </c>
      <c r="V1315" t="s">
        <v>336</v>
      </c>
      <c r="W1315">
        <v>8</v>
      </c>
      <c r="X1315" t="s">
        <v>102</v>
      </c>
      <c r="Y1315" t="b">
        <v>0</v>
      </c>
    </row>
    <row r="1316" spans="1:25" x14ac:dyDescent="0.55000000000000004">
      <c r="A1316" t="s">
        <v>94</v>
      </c>
      <c r="B1316" t="s">
        <v>321</v>
      </c>
      <c r="C1316" t="s">
        <v>322</v>
      </c>
      <c r="D1316" t="s">
        <v>111</v>
      </c>
      <c r="E1316" t="s">
        <v>335</v>
      </c>
      <c r="F1316" t="s">
        <v>99</v>
      </c>
      <c r="H1316" t="s">
        <v>99</v>
      </c>
      <c r="I1316">
        <v>2</v>
      </c>
      <c r="J1316" t="s">
        <v>103</v>
      </c>
      <c r="K1316" s="19">
        <v>0.625</v>
      </c>
      <c r="L1316" s="19">
        <v>0.79166666666666663</v>
      </c>
      <c r="M1316">
        <v>4</v>
      </c>
      <c r="N1316">
        <v>0</v>
      </c>
      <c r="O1316">
        <v>0</v>
      </c>
      <c r="P1316">
        <v>0</v>
      </c>
      <c r="Q1316" t="s">
        <v>99</v>
      </c>
      <c r="R1316">
        <v>0</v>
      </c>
      <c r="S1316" s="19">
        <v>0</v>
      </c>
      <c r="U1316" s="19">
        <v>0</v>
      </c>
      <c r="V1316" t="s">
        <v>99</v>
      </c>
      <c r="W1316">
        <v>4</v>
      </c>
      <c r="X1316" t="s">
        <v>102</v>
      </c>
      <c r="Y1316" t="b">
        <v>0</v>
      </c>
    </row>
    <row r="1317" spans="1:25" x14ac:dyDescent="0.55000000000000004">
      <c r="A1317" t="s">
        <v>94</v>
      </c>
      <c r="B1317" t="s">
        <v>321</v>
      </c>
      <c r="C1317" t="s">
        <v>322</v>
      </c>
      <c r="D1317" t="s">
        <v>111</v>
      </c>
      <c r="E1317" t="s">
        <v>335</v>
      </c>
      <c r="F1317" t="s">
        <v>99</v>
      </c>
      <c r="H1317" t="s">
        <v>99</v>
      </c>
      <c r="I1317">
        <v>2</v>
      </c>
      <c r="J1317" t="s">
        <v>104</v>
      </c>
      <c r="K1317" s="19">
        <v>0.45833333333333331</v>
      </c>
      <c r="L1317" s="19">
        <v>0.8125</v>
      </c>
      <c r="M1317">
        <v>8.5</v>
      </c>
      <c r="N1317">
        <v>0</v>
      </c>
      <c r="O1317">
        <v>0</v>
      </c>
      <c r="P1317">
        <v>0</v>
      </c>
      <c r="Q1317" t="s">
        <v>99</v>
      </c>
      <c r="R1317">
        <v>30</v>
      </c>
      <c r="S1317" s="19">
        <v>0.54166666666666663</v>
      </c>
      <c r="U1317" s="19">
        <v>0</v>
      </c>
      <c r="V1317" t="s">
        <v>336</v>
      </c>
      <c r="W1317">
        <v>8</v>
      </c>
      <c r="X1317" t="s">
        <v>102</v>
      </c>
      <c r="Y1317" t="b">
        <v>0</v>
      </c>
    </row>
    <row r="1318" spans="1:25" x14ac:dyDescent="0.55000000000000004">
      <c r="A1318" t="s">
        <v>94</v>
      </c>
      <c r="B1318" t="s">
        <v>321</v>
      </c>
      <c r="C1318" t="s">
        <v>322</v>
      </c>
      <c r="D1318" t="s">
        <v>111</v>
      </c>
      <c r="E1318" t="s">
        <v>335</v>
      </c>
      <c r="F1318" t="s">
        <v>99</v>
      </c>
      <c r="H1318" t="s">
        <v>99</v>
      </c>
      <c r="I1318">
        <v>2</v>
      </c>
      <c r="J1318" t="s">
        <v>104</v>
      </c>
      <c r="K1318" s="19">
        <v>0.625</v>
      </c>
      <c r="L1318" s="19">
        <v>0.79166666666666663</v>
      </c>
      <c r="M1318">
        <v>4</v>
      </c>
      <c r="N1318">
        <v>0</v>
      </c>
      <c r="O1318">
        <v>0</v>
      </c>
      <c r="P1318">
        <v>0</v>
      </c>
      <c r="Q1318" t="s">
        <v>99</v>
      </c>
      <c r="R1318">
        <v>0</v>
      </c>
      <c r="S1318" s="19">
        <v>0</v>
      </c>
      <c r="U1318" s="19">
        <v>0</v>
      </c>
      <c r="V1318" t="s">
        <v>99</v>
      </c>
      <c r="W1318">
        <v>4</v>
      </c>
      <c r="X1318" t="s">
        <v>102</v>
      </c>
      <c r="Y1318" t="b">
        <v>0</v>
      </c>
    </row>
    <row r="1319" spans="1:25" x14ac:dyDescent="0.55000000000000004">
      <c r="A1319" t="s">
        <v>94</v>
      </c>
      <c r="B1319" t="s">
        <v>321</v>
      </c>
      <c r="C1319" t="s">
        <v>322</v>
      </c>
      <c r="D1319" t="s">
        <v>111</v>
      </c>
      <c r="E1319" t="s">
        <v>335</v>
      </c>
      <c r="F1319" t="s">
        <v>99</v>
      </c>
      <c r="H1319" t="s">
        <v>99</v>
      </c>
      <c r="I1319">
        <v>2</v>
      </c>
      <c r="J1319" t="s">
        <v>105</v>
      </c>
      <c r="K1319" s="19">
        <v>0.45833333333333331</v>
      </c>
      <c r="L1319" s="19">
        <v>0.8125</v>
      </c>
      <c r="M1319">
        <v>8.5</v>
      </c>
      <c r="N1319">
        <v>0</v>
      </c>
      <c r="O1319">
        <v>0</v>
      </c>
      <c r="P1319">
        <v>0</v>
      </c>
      <c r="Q1319" t="s">
        <v>99</v>
      </c>
      <c r="R1319">
        <v>30</v>
      </c>
      <c r="S1319" s="19">
        <v>0.54166666666666663</v>
      </c>
      <c r="U1319" s="19">
        <v>0</v>
      </c>
      <c r="V1319" t="s">
        <v>336</v>
      </c>
      <c r="W1319">
        <v>8</v>
      </c>
      <c r="X1319" t="s">
        <v>102</v>
      </c>
      <c r="Y1319" t="b">
        <v>0</v>
      </c>
    </row>
    <row r="1320" spans="1:25" x14ac:dyDescent="0.55000000000000004">
      <c r="A1320" t="s">
        <v>94</v>
      </c>
      <c r="B1320" t="s">
        <v>321</v>
      </c>
      <c r="C1320" t="s">
        <v>322</v>
      </c>
      <c r="D1320" t="s">
        <v>111</v>
      </c>
      <c r="E1320" t="s">
        <v>335</v>
      </c>
      <c r="F1320" t="s">
        <v>99</v>
      </c>
      <c r="H1320" t="s">
        <v>99</v>
      </c>
      <c r="I1320">
        <v>2</v>
      </c>
      <c r="J1320" t="s">
        <v>105</v>
      </c>
      <c r="K1320" s="19">
        <v>0.625</v>
      </c>
      <c r="L1320" s="19">
        <v>0.79166666666666663</v>
      </c>
      <c r="M1320">
        <v>4</v>
      </c>
      <c r="N1320">
        <v>0</v>
      </c>
      <c r="O1320">
        <v>0</v>
      </c>
      <c r="P1320">
        <v>0</v>
      </c>
      <c r="Q1320" t="s">
        <v>99</v>
      </c>
      <c r="R1320">
        <v>0</v>
      </c>
      <c r="S1320" s="19">
        <v>0</v>
      </c>
      <c r="U1320" s="19">
        <v>0</v>
      </c>
      <c r="V1320" t="s">
        <v>99</v>
      </c>
      <c r="W1320">
        <v>4</v>
      </c>
      <c r="X1320" t="s">
        <v>102</v>
      </c>
      <c r="Y1320" t="b">
        <v>0</v>
      </c>
    </row>
    <row r="1321" spans="1:25" x14ac:dyDescent="0.55000000000000004">
      <c r="A1321" t="s">
        <v>94</v>
      </c>
      <c r="B1321" t="s">
        <v>337</v>
      </c>
      <c r="C1321" t="s">
        <v>322</v>
      </c>
      <c r="D1321" t="s">
        <v>148</v>
      </c>
      <c r="E1321" t="s">
        <v>117</v>
      </c>
      <c r="F1321" t="s">
        <v>99</v>
      </c>
      <c r="H1321" t="s">
        <v>99</v>
      </c>
      <c r="I1321">
        <v>1</v>
      </c>
      <c r="J1321" t="s">
        <v>107</v>
      </c>
      <c r="K1321" s="19">
        <v>0.29166666666666669</v>
      </c>
      <c r="L1321" s="19">
        <v>0.64583333333333337</v>
      </c>
      <c r="M1321">
        <v>8.5</v>
      </c>
      <c r="N1321">
        <v>203.36</v>
      </c>
      <c r="O1321">
        <v>0</v>
      </c>
      <c r="P1321">
        <v>0</v>
      </c>
      <c r="Q1321" t="s">
        <v>99</v>
      </c>
      <c r="R1321">
        <v>30</v>
      </c>
      <c r="S1321" s="19">
        <v>0.5</v>
      </c>
      <c r="U1321" s="19">
        <v>0</v>
      </c>
      <c r="V1321" t="s">
        <v>99</v>
      </c>
      <c r="W1321">
        <v>8</v>
      </c>
      <c r="X1321" t="s">
        <v>102</v>
      </c>
      <c r="Y1321" t="b">
        <v>0</v>
      </c>
    </row>
    <row r="1322" spans="1:25" x14ac:dyDescent="0.55000000000000004">
      <c r="A1322" t="s">
        <v>94</v>
      </c>
      <c r="B1322" t="s">
        <v>337</v>
      </c>
      <c r="C1322" t="s">
        <v>322</v>
      </c>
      <c r="D1322" t="s">
        <v>148</v>
      </c>
      <c r="E1322" t="s">
        <v>117</v>
      </c>
      <c r="F1322" t="s">
        <v>99</v>
      </c>
      <c r="H1322" t="s">
        <v>99</v>
      </c>
      <c r="I1322">
        <v>2</v>
      </c>
      <c r="J1322" t="s">
        <v>107</v>
      </c>
      <c r="K1322" s="19">
        <v>0.29166666666666669</v>
      </c>
      <c r="L1322" s="19">
        <v>0.64583333333333337</v>
      </c>
      <c r="M1322">
        <v>8.5</v>
      </c>
      <c r="N1322">
        <v>203.36</v>
      </c>
      <c r="O1322">
        <v>0</v>
      </c>
      <c r="P1322">
        <v>0</v>
      </c>
      <c r="Q1322" t="s">
        <v>99</v>
      </c>
      <c r="R1322">
        <v>30</v>
      </c>
      <c r="S1322" s="19">
        <v>0.5</v>
      </c>
      <c r="U1322" s="19">
        <v>0</v>
      </c>
      <c r="V1322" t="s">
        <v>99</v>
      </c>
      <c r="W1322">
        <v>8</v>
      </c>
      <c r="X1322" t="s">
        <v>102</v>
      </c>
      <c r="Y1322" t="b">
        <v>0</v>
      </c>
    </row>
    <row r="1323" spans="1:25" x14ac:dyDescent="0.55000000000000004">
      <c r="A1323" t="s">
        <v>94</v>
      </c>
      <c r="B1323" t="s">
        <v>337</v>
      </c>
      <c r="C1323" t="s">
        <v>322</v>
      </c>
      <c r="D1323" t="s">
        <v>148</v>
      </c>
      <c r="E1323" t="s">
        <v>117</v>
      </c>
      <c r="F1323" t="s">
        <v>99</v>
      </c>
      <c r="G1323">
        <v>22857</v>
      </c>
      <c r="H1323" t="s">
        <v>332</v>
      </c>
      <c r="I1323">
        <v>1</v>
      </c>
      <c r="J1323" t="s">
        <v>101</v>
      </c>
      <c r="K1323" s="19">
        <v>0.29166666666666669</v>
      </c>
      <c r="L1323" s="19">
        <v>0.64583333333333337</v>
      </c>
      <c r="M1323">
        <v>8.5</v>
      </c>
      <c r="N1323">
        <v>228.56</v>
      </c>
      <c r="O1323">
        <v>64</v>
      </c>
      <c r="P1323">
        <v>76</v>
      </c>
      <c r="Q1323" t="s">
        <v>99</v>
      </c>
      <c r="R1323">
        <v>30</v>
      </c>
      <c r="S1323" s="19">
        <v>0.5</v>
      </c>
      <c r="U1323" s="19">
        <v>0</v>
      </c>
      <c r="V1323" t="s">
        <v>99</v>
      </c>
      <c r="W1323">
        <v>8</v>
      </c>
      <c r="X1323" t="s">
        <v>102</v>
      </c>
      <c r="Y1323" t="b">
        <v>0</v>
      </c>
    </row>
    <row r="1324" spans="1:25" x14ac:dyDescent="0.55000000000000004">
      <c r="A1324" t="s">
        <v>94</v>
      </c>
      <c r="B1324" t="s">
        <v>337</v>
      </c>
      <c r="C1324" t="s">
        <v>322</v>
      </c>
      <c r="D1324" t="s">
        <v>148</v>
      </c>
      <c r="E1324" t="s">
        <v>117</v>
      </c>
      <c r="F1324" t="s">
        <v>99</v>
      </c>
      <c r="G1324">
        <v>22857</v>
      </c>
      <c r="H1324" t="s">
        <v>332</v>
      </c>
      <c r="I1324">
        <v>1</v>
      </c>
      <c r="J1324" t="s">
        <v>103</v>
      </c>
      <c r="K1324" s="19">
        <v>0.29166666666666669</v>
      </c>
      <c r="L1324" s="19">
        <v>0.64583333333333337</v>
      </c>
      <c r="M1324">
        <v>8.5</v>
      </c>
      <c r="N1324">
        <v>228.56</v>
      </c>
      <c r="O1324">
        <v>64</v>
      </c>
      <c r="P1324">
        <v>76</v>
      </c>
      <c r="Q1324" t="s">
        <v>99</v>
      </c>
      <c r="R1324">
        <v>30</v>
      </c>
      <c r="S1324" s="19">
        <v>0.5</v>
      </c>
      <c r="U1324" s="19">
        <v>0.41666666666666669</v>
      </c>
      <c r="V1324" t="s">
        <v>99</v>
      </c>
      <c r="W1324">
        <v>8</v>
      </c>
      <c r="X1324" t="s">
        <v>102</v>
      </c>
      <c r="Y1324" t="b">
        <v>0</v>
      </c>
    </row>
    <row r="1325" spans="1:25" x14ac:dyDescent="0.55000000000000004">
      <c r="A1325" t="s">
        <v>94</v>
      </c>
      <c r="B1325" t="s">
        <v>337</v>
      </c>
      <c r="C1325" t="s">
        <v>322</v>
      </c>
      <c r="D1325" t="s">
        <v>148</v>
      </c>
      <c r="E1325" t="s">
        <v>117</v>
      </c>
      <c r="F1325" t="s">
        <v>99</v>
      </c>
      <c r="G1325">
        <v>22857</v>
      </c>
      <c r="H1325" t="s">
        <v>332</v>
      </c>
      <c r="I1325">
        <v>1</v>
      </c>
      <c r="J1325" t="s">
        <v>104</v>
      </c>
      <c r="K1325" s="19">
        <v>0.29166666666666669</v>
      </c>
      <c r="L1325" s="19">
        <v>0.64583333333333337</v>
      </c>
      <c r="M1325">
        <v>8.5</v>
      </c>
      <c r="N1325">
        <v>228.56</v>
      </c>
      <c r="O1325">
        <v>64</v>
      </c>
      <c r="P1325">
        <v>76</v>
      </c>
      <c r="Q1325" t="s">
        <v>99</v>
      </c>
      <c r="R1325">
        <v>30</v>
      </c>
      <c r="S1325" s="19">
        <v>0.5</v>
      </c>
      <c r="U1325" s="19">
        <v>0</v>
      </c>
      <c r="V1325" t="s">
        <v>99</v>
      </c>
      <c r="W1325">
        <v>8</v>
      </c>
      <c r="X1325" t="s">
        <v>102</v>
      </c>
      <c r="Y1325" t="b">
        <v>0</v>
      </c>
    </row>
    <row r="1326" spans="1:25" x14ac:dyDescent="0.55000000000000004">
      <c r="A1326" t="s">
        <v>94</v>
      </c>
      <c r="B1326" t="s">
        <v>337</v>
      </c>
      <c r="C1326" t="s">
        <v>322</v>
      </c>
      <c r="D1326" t="s">
        <v>148</v>
      </c>
      <c r="E1326" t="s">
        <v>117</v>
      </c>
      <c r="F1326" t="s">
        <v>99</v>
      </c>
      <c r="G1326">
        <v>22857</v>
      </c>
      <c r="H1326" t="s">
        <v>332</v>
      </c>
      <c r="I1326">
        <v>1</v>
      </c>
      <c r="J1326" t="s">
        <v>105</v>
      </c>
      <c r="K1326" s="19">
        <v>0.29166666666666669</v>
      </c>
      <c r="L1326" s="19">
        <v>0.64583333333333337</v>
      </c>
      <c r="M1326">
        <v>8.5</v>
      </c>
      <c r="N1326">
        <v>228.56</v>
      </c>
      <c r="O1326">
        <v>64</v>
      </c>
      <c r="P1326">
        <v>76</v>
      </c>
      <c r="Q1326" t="s">
        <v>99</v>
      </c>
      <c r="R1326">
        <v>30</v>
      </c>
      <c r="S1326" s="19">
        <v>0.5</v>
      </c>
      <c r="U1326" s="19">
        <v>0</v>
      </c>
      <c r="V1326" t="s">
        <v>99</v>
      </c>
      <c r="W1326">
        <v>8</v>
      </c>
      <c r="X1326" t="s">
        <v>102</v>
      </c>
      <c r="Y1326" t="b">
        <v>0</v>
      </c>
    </row>
    <row r="1327" spans="1:25" x14ac:dyDescent="0.55000000000000004">
      <c r="A1327" t="s">
        <v>94</v>
      </c>
      <c r="B1327" t="s">
        <v>337</v>
      </c>
      <c r="C1327" t="s">
        <v>322</v>
      </c>
      <c r="D1327" t="s">
        <v>148</v>
      </c>
      <c r="E1327" t="s">
        <v>117</v>
      </c>
      <c r="F1327" t="s">
        <v>99</v>
      </c>
      <c r="G1327">
        <v>22857</v>
      </c>
      <c r="H1327" t="s">
        <v>332</v>
      </c>
      <c r="I1327">
        <v>2</v>
      </c>
      <c r="J1327" t="s">
        <v>101</v>
      </c>
      <c r="K1327" s="19">
        <v>0.29166666666666669</v>
      </c>
      <c r="L1327" s="19">
        <v>0.64583333333333337</v>
      </c>
      <c r="M1327">
        <v>8.5</v>
      </c>
      <c r="N1327">
        <v>228.56</v>
      </c>
      <c r="O1327">
        <v>64</v>
      </c>
      <c r="P1327">
        <v>76</v>
      </c>
      <c r="Q1327" t="s">
        <v>99</v>
      </c>
      <c r="R1327">
        <v>30</v>
      </c>
      <c r="S1327" s="19">
        <v>0.5</v>
      </c>
      <c r="U1327" s="19">
        <v>0</v>
      </c>
      <c r="V1327" t="s">
        <v>99</v>
      </c>
      <c r="W1327">
        <v>8</v>
      </c>
      <c r="X1327" t="s">
        <v>102</v>
      </c>
      <c r="Y1327" t="b">
        <v>0</v>
      </c>
    </row>
    <row r="1328" spans="1:25" x14ac:dyDescent="0.55000000000000004">
      <c r="A1328" t="s">
        <v>94</v>
      </c>
      <c r="B1328" t="s">
        <v>337</v>
      </c>
      <c r="C1328" t="s">
        <v>322</v>
      </c>
      <c r="D1328" t="s">
        <v>148</v>
      </c>
      <c r="E1328" t="s">
        <v>117</v>
      </c>
      <c r="F1328" t="s">
        <v>99</v>
      </c>
      <c r="G1328">
        <v>22857</v>
      </c>
      <c r="H1328" t="s">
        <v>332</v>
      </c>
      <c r="I1328">
        <v>2</v>
      </c>
      <c r="J1328" t="s">
        <v>103</v>
      </c>
      <c r="K1328" s="19">
        <v>0.29166666666666669</v>
      </c>
      <c r="L1328" s="19">
        <v>0.64583333333333337</v>
      </c>
      <c r="M1328">
        <v>8.5</v>
      </c>
      <c r="N1328">
        <v>228.56</v>
      </c>
      <c r="O1328">
        <v>64</v>
      </c>
      <c r="P1328">
        <v>76</v>
      </c>
      <c r="Q1328" t="s">
        <v>99</v>
      </c>
      <c r="R1328">
        <v>30</v>
      </c>
      <c r="S1328" s="19">
        <v>0.5</v>
      </c>
      <c r="U1328" s="19"/>
      <c r="V1328" t="s">
        <v>99</v>
      </c>
      <c r="W1328">
        <v>8</v>
      </c>
      <c r="X1328" t="s">
        <v>102</v>
      </c>
      <c r="Y1328" t="b">
        <v>0</v>
      </c>
    </row>
    <row r="1329" spans="1:25" x14ac:dyDescent="0.55000000000000004">
      <c r="A1329" t="s">
        <v>94</v>
      </c>
      <c r="B1329" t="s">
        <v>337</v>
      </c>
      <c r="C1329" t="s">
        <v>322</v>
      </c>
      <c r="D1329" t="s">
        <v>148</v>
      </c>
      <c r="E1329" t="s">
        <v>117</v>
      </c>
      <c r="F1329" t="s">
        <v>99</v>
      </c>
      <c r="G1329">
        <v>22857</v>
      </c>
      <c r="H1329" t="s">
        <v>332</v>
      </c>
      <c r="I1329">
        <v>2</v>
      </c>
      <c r="J1329" t="s">
        <v>104</v>
      </c>
      <c r="K1329" s="19">
        <v>0.29166666666666669</v>
      </c>
      <c r="L1329" s="19">
        <v>0.64583333333333337</v>
      </c>
      <c r="M1329">
        <v>8.5</v>
      </c>
      <c r="N1329">
        <v>228.56</v>
      </c>
      <c r="O1329">
        <v>64</v>
      </c>
      <c r="P1329">
        <v>76</v>
      </c>
      <c r="Q1329" t="s">
        <v>99</v>
      </c>
      <c r="R1329">
        <v>30</v>
      </c>
      <c r="S1329" s="19">
        <v>0.5</v>
      </c>
      <c r="U1329" s="19">
        <v>0.41666666666666669</v>
      </c>
      <c r="V1329" t="s">
        <v>99</v>
      </c>
      <c r="W1329">
        <v>8</v>
      </c>
      <c r="X1329" t="s">
        <v>102</v>
      </c>
      <c r="Y1329" t="b">
        <v>0</v>
      </c>
    </row>
    <row r="1330" spans="1:25" x14ac:dyDescent="0.55000000000000004">
      <c r="A1330" t="s">
        <v>94</v>
      </c>
      <c r="B1330" t="s">
        <v>337</v>
      </c>
      <c r="C1330" t="s">
        <v>322</v>
      </c>
      <c r="D1330" t="s">
        <v>148</v>
      </c>
      <c r="E1330" t="s">
        <v>117</v>
      </c>
      <c r="F1330" t="s">
        <v>99</v>
      </c>
      <c r="G1330">
        <v>22857</v>
      </c>
      <c r="H1330" t="s">
        <v>332</v>
      </c>
      <c r="I1330">
        <v>2</v>
      </c>
      <c r="J1330" t="s">
        <v>105</v>
      </c>
      <c r="K1330" s="19">
        <v>0.29166666666666669</v>
      </c>
      <c r="L1330" s="19">
        <v>0.64583333333333337</v>
      </c>
      <c r="M1330">
        <v>8.5</v>
      </c>
      <c r="N1330">
        <v>228.56</v>
      </c>
      <c r="O1330">
        <v>64</v>
      </c>
      <c r="P1330">
        <v>76</v>
      </c>
      <c r="Q1330" t="s">
        <v>99</v>
      </c>
      <c r="R1330">
        <v>30</v>
      </c>
      <c r="S1330" s="19">
        <v>0.5</v>
      </c>
      <c r="U1330" s="19">
        <v>0.41666666666666669</v>
      </c>
      <c r="V1330" t="s">
        <v>99</v>
      </c>
      <c r="W1330">
        <v>8</v>
      </c>
      <c r="X1330" t="s">
        <v>102</v>
      </c>
      <c r="Y1330" t="b">
        <v>0</v>
      </c>
    </row>
    <row r="1331" spans="1:25" x14ac:dyDescent="0.55000000000000004">
      <c r="A1331" t="s">
        <v>94</v>
      </c>
      <c r="B1331" t="s">
        <v>338</v>
      </c>
      <c r="C1331" t="s">
        <v>322</v>
      </c>
      <c r="D1331" t="s">
        <v>156</v>
      </c>
      <c r="E1331" t="s">
        <v>117</v>
      </c>
      <c r="F1331" t="s">
        <v>99</v>
      </c>
      <c r="H1331" t="s">
        <v>99</v>
      </c>
      <c r="I1331">
        <v>2</v>
      </c>
      <c r="J1331" t="s">
        <v>107</v>
      </c>
      <c r="K1331" s="19">
        <v>0.29166666666666669</v>
      </c>
      <c r="L1331" s="19">
        <v>0.5625</v>
      </c>
      <c r="M1331">
        <v>6.5</v>
      </c>
      <c r="N1331">
        <v>133.32</v>
      </c>
      <c r="O1331">
        <v>0</v>
      </c>
      <c r="P1331">
        <v>0</v>
      </c>
      <c r="Q1331" t="s">
        <v>99</v>
      </c>
      <c r="R1331">
        <v>30</v>
      </c>
      <c r="S1331" s="19">
        <v>0.5</v>
      </c>
      <c r="U1331" s="19">
        <v>0</v>
      </c>
      <c r="V1331" t="s">
        <v>99</v>
      </c>
      <c r="W1331">
        <v>6</v>
      </c>
      <c r="X1331" t="s">
        <v>102</v>
      </c>
      <c r="Y1331" t="b">
        <v>0</v>
      </c>
    </row>
    <row r="1332" spans="1:25" x14ac:dyDescent="0.55000000000000004">
      <c r="A1332" t="s">
        <v>94</v>
      </c>
      <c r="B1332" t="s">
        <v>338</v>
      </c>
      <c r="C1332" t="s">
        <v>322</v>
      </c>
      <c r="D1332" t="s">
        <v>156</v>
      </c>
      <c r="E1332" t="s">
        <v>117</v>
      </c>
      <c r="F1332" t="s">
        <v>99</v>
      </c>
      <c r="H1332" t="s">
        <v>99</v>
      </c>
      <c r="I1332">
        <v>2</v>
      </c>
      <c r="J1332" t="s">
        <v>107</v>
      </c>
      <c r="K1332" s="19">
        <v>0.29166666666666669</v>
      </c>
      <c r="L1332" s="19">
        <v>0.64583333333333337</v>
      </c>
      <c r="M1332">
        <v>8.5</v>
      </c>
      <c r="N1332">
        <v>177.76</v>
      </c>
      <c r="O1332">
        <v>0</v>
      </c>
      <c r="P1332">
        <v>0</v>
      </c>
      <c r="Q1332" t="s">
        <v>99</v>
      </c>
      <c r="R1332">
        <v>30</v>
      </c>
      <c r="S1332" s="19">
        <v>0.5</v>
      </c>
      <c r="U1332" s="19">
        <v>0</v>
      </c>
      <c r="V1332" t="s">
        <v>99</v>
      </c>
      <c r="W1332">
        <v>8</v>
      </c>
      <c r="X1332" t="s">
        <v>102</v>
      </c>
      <c r="Y1332" t="b">
        <v>0</v>
      </c>
    </row>
    <row r="1333" spans="1:25" x14ac:dyDescent="0.55000000000000004">
      <c r="A1333" t="s">
        <v>94</v>
      </c>
      <c r="B1333" t="s">
        <v>338</v>
      </c>
      <c r="C1333" t="s">
        <v>322</v>
      </c>
      <c r="D1333" t="s">
        <v>156</v>
      </c>
      <c r="E1333" t="s">
        <v>117</v>
      </c>
      <c r="F1333" t="s">
        <v>99</v>
      </c>
      <c r="H1333" t="s">
        <v>99</v>
      </c>
      <c r="I1333">
        <v>2</v>
      </c>
      <c r="J1333" t="s">
        <v>103</v>
      </c>
      <c r="K1333" s="19">
        <v>0.29166666666666669</v>
      </c>
      <c r="L1333" s="19">
        <v>0.64583333333333337</v>
      </c>
      <c r="M1333">
        <v>8.5</v>
      </c>
      <c r="N1333">
        <v>232.4</v>
      </c>
      <c r="O1333">
        <v>0</v>
      </c>
      <c r="P1333">
        <v>0</v>
      </c>
      <c r="Q1333" t="s">
        <v>99</v>
      </c>
      <c r="R1333">
        <v>30</v>
      </c>
      <c r="S1333" s="19">
        <v>0.5</v>
      </c>
      <c r="U1333" s="19">
        <v>0.41666666666666669</v>
      </c>
      <c r="V1333" t="s">
        <v>99</v>
      </c>
      <c r="W1333">
        <v>8</v>
      </c>
      <c r="X1333" t="s">
        <v>102</v>
      </c>
      <c r="Y1333" t="b">
        <v>0</v>
      </c>
    </row>
    <row r="1334" spans="1:25" x14ac:dyDescent="0.55000000000000004">
      <c r="A1334" t="s">
        <v>94</v>
      </c>
      <c r="B1334" t="s">
        <v>338</v>
      </c>
      <c r="C1334" t="s">
        <v>322</v>
      </c>
      <c r="D1334" t="s">
        <v>156</v>
      </c>
      <c r="E1334" t="s">
        <v>117</v>
      </c>
      <c r="F1334" t="s">
        <v>99</v>
      </c>
      <c r="H1334" t="s">
        <v>99</v>
      </c>
      <c r="I1334">
        <v>2</v>
      </c>
      <c r="J1334" t="s">
        <v>104</v>
      </c>
      <c r="K1334" s="19">
        <v>0.29166666666666669</v>
      </c>
      <c r="L1334" s="19">
        <v>0.64583333333333337</v>
      </c>
      <c r="M1334">
        <v>8.5</v>
      </c>
      <c r="N1334">
        <v>232.4</v>
      </c>
      <c r="O1334">
        <v>0</v>
      </c>
      <c r="P1334">
        <v>0</v>
      </c>
      <c r="Q1334" t="s">
        <v>99</v>
      </c>
      <c r="R1334">
        <v>30</v>
      </c>
      <c r="S1334" s="19">
        <v>0.5</v>
      </c>
      <c r="U1334" s="19">
        <v>0</v>
      </c>
      <c r="V1334" t="s">
        <v>99</v>
      </c>
      <c r="W1334">
        <v>8</v>
      </c>
      <c r="X1334" t="s">
        <v>102</v>
      </c>
      <c r="Y1334" t="b">
        <v>0</v>
      </c>
    </row>
    <row r="1335" spans="1:25" x14ac:dyDescent="0.55000000000000004">
      <c r="A1335" t="s">
        <v>94</v>
      </c>
      <c r="B1335" t="s">
        <v>338</v>
      </c>
      <c r="C1335" t="s">
        <v>322</v>
      </c>
      <c r="D1335" t="s">
        <v>156</v>
      </c>
      <c r="E1335" t="s">
        <v>117</v>
      </c>
      <c r="F1335" t="s">
        <v>99</v>
      </c>
      <c r="H1335" t="s">
        <v>99</v>
      </c>
      <c r="I1335">
        <v>2</v>
      </c>
      <c r="J1335" t="s">
        <v>105</v>
      </c>
      <c r="K1335" s="19">
        <v>0.29166666666666669</v>
      </c>
      <c r="L1335" s="19">
        <v>0.64583333333333337</v>
      </c>
      <c r="M1335">
        <v>8.5</v>
      </c>
      <c r="N1335">
        <v>232.4</v>
      </c>
      <c r="O1335">
        <v>0</v>
      </c>
      <c r="P1335">
        <v>0</v>
      </c>
      <c r="Q1335" t="s">
        <v>99</v>
      </c>
      <c r="R1335">
        <v>30</v>
      </c>
      <c r="S1335" s="19">
        <v>0.5</v>
      </c>
      <c r="U1335" s="19">
        <v>0.41666666666666669</v>
      </c>
      <c r="V1335" t="s">
        <v>99</v>
      </c>
      <c r="W1335">
        <v>8</v>
      </c>
      <c r="X1335" t="s">
        <v>102</v>
      </c>
      <c r="Y1335" t="b">
        <v>0</v>
      </c>
    </row>
    <row r="1336" spans="1:25" x14ac:dyDescent="0.55000000000000004">
      <c r="A1336" t="s">
        <v>94</v>
      </c>
      <c r="B1336" t="s">
        <v>338</v>
      </c>
      <c r="C1336" t="s">
        <v>322</v>
      </c>
      <c r="D1336" t="s">
        <v>156</v>
      </c>
      <c r="E1336" t="s">
        <v>117</v>
      </c>
      <c r="F1336" t="s">
        <v>99</v>
      </c>
      <c r="G1336">
        <v>16740</v>
      </c>
      <c r="H1336" t="s">
        <v>339</v>
      </c>
      <c r="I1336">
        <v>1</v>
      </c>
      <c r="J1336" t="s">
        <v>103</v>
      </c>
      <c r="K1336" s="19">
        <v>0.29166666666666669</v>
      </c>
      <c r="L1336" s="19">
        <v>0.5625</v>
      </c>
      <c r="M1336">
        <v>6.5</v>
      </c>
      <c r="N1336">
        <v>158.28</v>
      </c>
      <c r="O1336">
        <v>12</v>
      </c>
      <c r="P1336">
        <v>76</v>
      </c>
      <c r="Q1336" t="s">
        <v>99</v>
      </c>
      <c r="R1336">
        <v>30</v>
      </c>
      <c r="S1336" s="19">
        <v>0.5</v>
      </c>
      <c r="U1336" s="19">
        <v>0</v>
      </c>
      <c r="V1336" t="s">
        <v>99</v>
      </c>
      <c r="W1336">
        <v>6</v>
      </c>
      <c r="X1336" t="s">
        <v>102</v>
      </c>
      <c r="Y1336" t="b">
        <v>0</v>
      </c>
    </row>
    <row r="1337" spans="1:25" x14ac:dyDescent="0.55000000000000004">
      <c r="A1337" t="s">
        <v>94</v>
      </c>
      <c r="B1337" t="s">
        <v>338</v>
      </c>
      <c r="C1337" t="s">
        <v>322</v>
      </c>
      <c r="D1337" t="s">
        <v>156</v>
      </c>
      <c r="E1337" t="s">
        <v>117</v>
      </c>
      <c r="F1337" t="s">
        <v>99</v>
      </c>
      <c r="G1337">
        <v>16740</v>
      </c>
      <c r="H1337" t="s">
        <v>339</v>
      </c>
      <c r="I1337">
        <v>1</v>
      </c>
      <c r="J1337" t="s">
        <v>104</v>
      </c>
      <c r="K1337" s="19">
        <v>0.29166666666666669</v>
      </c>
      <c r="L1337" s="19">
        <v>0.64583333333333337</v>
      </c>
      <c r="M1337">
        <v>8.5</v>
      </c>
      <c r="N1337">
        <v>211.04</v>
      </c>
      <c r="O1337">
        <v>12</v>
      </c>
      <c r="P1337">
        <v>76</v>
      </c>
      <c r="Q1337" t="s">
        <v>99</v>
      </c>
      <c r="R1337">
        <v>30</v>
      </c>
      <c r="S1337" s="19">
        <v>0.5</v>
      </c>
      <c r="U1337" s="19">
        <v>0</v>
      </c>
      <c r="V1337" t="s">
        <v>99</v>
      </c>
      <c r="W1337">
        <v>8</v>
      </c>
      <c r="X1337" t="s">
        <v>102</v>
      </c>
      <c r="Y1337" t="b">
        <v>0</v>
      </c>
    </row>
    <row r="1338" spans="1:25" x14ac:dyDescent="0.55000000000000004">
      <c r="A1338" t="s">
        <v>94</v>
      </c>
      <c r="B1338" t="s">
        <v>338</v>
      </c>
      <c r="C1338" t="s">
        <v>322</v>
      </c>
      <c r="D1338" t="s">
        <v>156</v>
      </c>
      <c r="E1338" t="s">
        <v>117</v>
      </c>
      <c r="F1338" t="s">
        <v>99</v>
      </c>
      <c r="G1338">
        <v>16740</v>
      </c>
      <c r="H1338" t="s">
        <v>339</v>
      </c>
      <c r="I1338">
        <v>1</v>
      </c>
      <c r="J1338" t="s">
        <v>105</v>
      </c>
      <c r="K1338" s="19">
        <v>0.29166666666666669</v>
      </c>
      <c r="L1338" s="19">
        <v>0.5625</v>
      </c>
      <c r="M1338">
        <v>6.5</v>
      </c>
      <c r="N1338">
        <v>158.28</v>
      </c>
      <c r="O1338">
        <v>12</v>
      </c>
      <c r="P1338">
        <v>76</v>
      </c>
      <c r="Q1338" t="s">
        <v>99</v>
      </c>
      <c r="R1338">
        <v>30</v>
      </c>
      <c r="S1338" s="19">
        <v>0.5</v>
      </c>
      <c r="U1338" s="19">
        <v>0</v>
      </c>
      <c r="V1338" t="s">
        <v>99</v>
      </c>
      <c r="W1338">
        <v>6</v>
      </c>
      <c r="X1338" t="s">
        <v>102</v>
      </c>
      <c r="Y1338" t="b">
        <v>0</v>
      </c>
    </row>
    <row r="1339" spans="1:25" x14ac:dyDescent="0.55000000000000004">
      <c r="A1339" t="s">
        <v>94</v>
      </c>
      <c r="B1339" t="s">
        <v>338</v>
      </c>
      <c r="C1339" t="s">
        <v>322</v>
      </c>
      <c r="D1339" t="s">
        <v>156</v>
      </c>
      <c r="E1339" t="s">
        <v>117</v>
      </c>
      <c r="F1339" t="s">
        <v>99</v>
      </c>
      <c r="G1339">
        <v>16740</v>
      </c>
      <c r="H1339" t="s">
        <v>339</v>
      </c>
      <c r="I1339">
        <v>2</v>
      </c>
      <c r="J1339" t="s">
        <v>103</v>
      </c>
      <c r="K1339" s="19">
        <v>0.29166666666666669</v>
      </c>
      <c r="L1339" s="19">
        <v>0.5625</v>
      </c>
      <c r="M1339">
        <v>6.5</v>
      </c>
      <c r="N1339">
        <v>158.28</v>
      </c>
      <c r="O1339">
        <v>12</v>
      </c>
      <c r="P1339">
        <v>76</v>
      </c>
      <c r="Q1339" t="s">
        <v>99</v>
      </c>
      <c r="R1339">
        <v>30</v>
      </c>
      <c r="S1339" s="19">
        <v>0.5</v>
      </c>
      <c r="U1339" s="19">
        <v>0</v>
      </c>
      <c r="V1339" t="s">
        <v>99</v>
      </c>
      <c r="W1339">
        <v>6</v>
      </c>
      <c r="X1339" t="s">
        <v>102</v>
      </c>
      <c r="Y1339" t="b">
        <v>0</v>
      </c>
    </row>
    <row r="1340" spans="1:25" x14ac:dyDescent="0.55000000000000004">
      <c r="A1340" t="s">
        <v>94</v>
      </c>
      <c r="B1340" t="s">
        <v>338</v>
      </c>
      <c r="C1340" t="s">
        <v>322</v>
      </c>
      <c r="D1340" t="s">
        <v>156</v>
      </c>
      <c r="E1340" t="s">
        <v>117</v>
      </c>
      <c r="F1340" t="s">
        <v>99</v>
      </c>
      <c r="G1340">
        <v>16740</v>
      </c>
      <c r="H1340" t="s">
        <v>339</v>
      </c>
      <c r="I1340">
        <v>2</v>
      </c>
      <c r="J1340" t="s">
        <v>104</v>
      </c>
      <c r="K1340" s="19">
        <v>0.29166666666666669</v>
      </c>
      <c r="L1340" s="19">
        <v>0.64583333333333337</v>
      </c>
      <c r="M1340">
        <v>8.5</v>
      </c>
      <c r="N1340">
        <v>211.04</v>
      </c>
      <c r="O1340">
        <v>12</v>
      </c>
      <c r="P1340">
        <v>76</v>
      </c>
      <c r="Q1340" t="s">
        <v>99</v>
      </c>
      <c r="R1340">
        <v>30</v>
      </c>
      <c r="S1340" s="19">
        <v>0.5</v>
      </c>
      <c r="U1340" s="19">
        <v>0</v>
      </c>
      <c r="V1340" t="s">
        <v>99</v>
      </c>
      <c r="W1340">
        <v>8</v>
      </c>
      <c r="X1340" t="s">
        <v>102</v>
      </c>
      <c r="Y1340" t="b">
        <v>0</v>
      </c>
    </row>
    <row r="1341" spans="1:25" x14ac:dyDescent="0.55000000000000004">
      <c r="A1341" t="s">
        <v>94</v>
      </c>
      <c r="B1341" t="s">
        <v>338</v>
      </c>
      <c r="C1341" t="s">
        <v>322</v>
      </c>
      <c r="D1341" t="s">
        <v>156</v>
      </c>
      <c r="E1341" t="s">
        <v>117</v>
      </c>
      <c r="F1341" t="s">
        <v>99</v>
      </c>
      <c r="G1341">
        <v>16740</v>
      </c>
      <c r="H1341" t="s">
        <v>339</v>
      </c>
      <c r="I1341">
        <v>2</v>
      </c>
      <c r="J1341" t="s">
        <v>105</v>
      </c>
      <c r="K1341" s="19">
        <v>0.29166666666666669</v>
      </c>
      <c r="L1341" s="19">
        <v>0.5625</v>
      </c>
      <c r="M1341">
        <v>6.5</v>
      </c>
      <c r="N1341">
        <v>158.28</v>
      </c>
      <c r="O1341">
        <v>12</v>
      </c>
      <c r="P1341">
        <v>76</v>
      </c>
      <c r="Q1341" t="s">
        <v>99</v>
      </c>
      <c r="R1341">
        <v>30</v>
      </c>
      <c r="S1341" s="19">
        <v>0.5</v>
      </c>
      <c r="U1341" s="19">
        <v>0</v>
      </c>
      <c r="V1341" t="s">
        <v>99</v>
      </c>
      <c r="W1341">
        <v>6</v>
      </c>
      <c r="X1341" t="s">
        <v>102</v>
      </c>
      <c r="Y1341" t="b">
        <v>0</v>
      </c>
    </row>
    <row r="1342" spans="1:25" x14ac:dyDescent="0.55000000000000004">
      <c r="A1342" t="s">
        <v>94</v>
      </c>
      <c r="B1342" t="s">
        <v>338</v>
      </c>
      <c r="C1342" t="s">
        <v>322</v>
      </c>
      <c r="D1342" t="s">
        <v>156</v>
      </c>
      <c r="E1342" t="s">
        <v>117</v>
      </c>
      <c r="F1342" t="s">
        <v>99</v>
      </c>
      <c r="G1342">
        <v>24456</v>
      </c>
      <c r="H1342" t="s">
        <v>340</v>
      </c>
      <c r="I1342">
        <v>1</v>
      </c>
      <c r="J1342" t="s">
        <v>103</v>
      </c>
      <c r="K1342" s="19">
        <v>0.29166666666666669</v>
      </c>
      <c r="L1342" s="19">
        <v>0.5625</v>
      </c>
      <c r="M1342">
        <v>6.5</v>
      </c>
      <c r="N1342">
        <v>217.88</v>
      </c>
      <c r="O1342">
        <v>0</v>
      </c>
      <c r="P1342">
        <v>76</v>
      </c>
      <c r="Q1342" t="s">
        <v>99</v>
      </c>
      <c r="R1342">
        <v>30</v>
      </c>
      <c r="S1342" s="19">
        <v>0.5</v>
      </c>
      <c r="U1342" s="19">
        <v>0.41666666666666669</v>
      </c>
      <c r="V1342" t="s">
        <v>99</v>
      </c>
      <c r="W1342">
        <v>6</v>
      </c>
      <c r="X1342" t="s">
        <v>102</v>
      </c>
      <c r="Y1342" t="b">
        <v>0</v>
      </c>
    </row>
    <row r="1343" spans="1:25" x14ac:dyDescent="0.55000000000000004">
      <c r="A1343" t="s">
        <v>94</v>
      </c>
      <c r="B1343" t="s">
        <v>338</v>
      </c>
      <c r="C1343" t="s">
        <v>322</v>
      </c>
      <c r="D1343" t="s">
        <v>156</v>
      </c>
      <c r="E1343" t="s">
        <v>117</v>
      </c>
      <c r="F1343" t="s">
        <v>99</v>
      </c>
      <c r="G1343">
        <v>24456</v>
      </c>
      <c r="H1343" t="s">
        <v>340</v>
      </c>
      <c r="I1343">
        <v>1</v>
      </c>
      <c r="J1343" t="s">
        <v>104</v>
      </c>
      <c r="K1343" s="19">
        <v>0.29166666666666669</v>
      </c>
      <c r="L1343" s="19">
        <v>0.64583333333333337</v>
      </c>
      <c r="M1343">
        <v>8.5</v>
      </c>
      <c r="N1343">
        <v>290.5</v>
      </c>
      <c r="O1343">
        <v>0</v>
      </c>
      <c r="P1343">
        <v>76</v>
      </c>
      <c r="Q1343" t="s">
        <v>99</v>
      </c>
      <c r="R1343">
        <v>30</v>
      </c>
      <c r="S1343" s="19">
        <v>0.5</v>
      </c>
      <c r="U1343" s="19">
        <v>0</v>
      </c>
      <c r="V1343" t="s">
        <v>99</v>
      </c>
      <c r="W1343">
        <v>8</v>
      </c>
      <c r="X1343" t="s">
        <v>102</v>
      </c>
      <c r="Y1343" t="b">
        <v>0</v>
      </c>
    </row>
    <row r="1344" spans="1:25" x14ac:dyDescent="0.55000000000000004">
      <c r="A1344" t="s">
        <v>94</v>
      </c>
      <c r="B1344" t="s">
        <v>338</v>
      </c>
      <c r="C1344" t="s">
        <v>322</v>
      </c>
      <c r="D1344" t="s">
        <v>156</v>
      </c>
      <c r="E1344" t="s">
        <v>117</v>
      </c>
      <c r="F1344" t="s">
        <v>99</v>
      </c>
      <c r="G1344">
        <v>24456</v>
      </c>
      <c r="H1344" t="s">
        <v>340</v>
      </c>
      <c r="I1344">
        <v>1</v>
      </c>
      <c r="J1344" t="s">
        <v>105</v>
      </c>
      <c r="K1344" s="19">
        <v>0.29166666666666669</v>
      </c>
      <c r="L1344" s="19">
        <v>0.5625</v>
      </c>
      <c r="M1344">
        <v>6.5</v>
      </c>
      <c r="N1344">
        <v>217.88</v>
      </c>
      <c r="O1344">
        <v>0</v>
      </c>
      <c r="P1344">
        <v>76</v>
      </c>
      <c r="Q1344" t="s">
        <v>99</v>
      </c>
      <c r="R1344">
        <v>30</v>
      </c>
      <c r="S1344" s="19">
        <v>0.5</v>
      </c>
      <c r="U1344" s="19">
        <v>0.41666666666666669</v>
      </c>
      <c r="V1344" t="s">
        <v>99</v>
      </c>
      <c r="W1344">
        <v>6</v>
      </c>
      <c r="X1344" t="s">
        <v>102</v>
      </c>
      <c r="Y1344" t="b">
        <v>0</v>
      </c>
    </row>
    <row r="1345" spans="1:25" x14ac:dyDescent="0.55000000000000004">
      <c r="A1345" t="s">
        <v>94</v>
      </c>
      <c r="B1345" t="s">
        <v>341</v>
      </c>
      <c r="C1345" t="s">
        <v>322</v>
      </c>
      <c r="D1345" t="s">
        <v>160</v>
      </c>
      <c r="E1345" t="s">
        <v>164</v>
      </c>
      <c r="F1345" t="s">
        <v>99</v>
      </c>
      <c r="G1345">
        <v>10938</v>
      </c>
      <c r="H1345" t="s">
        <v>342</v>
      </c>
      <c r="I1345">
        <v>1</v>
      </c>
      <c r="J1345" t="s">
        <v>104</v>
      </c>
      <c r="K1345" s="19">
        <v>0.41666666666666669</v>
      </c>
      <c r="L1345" s="19">
        <v>0.58333333333333337</v>
      </c>
      <c r="M1345">
        <v>4</v>
      </c>
      <c r="N1345">
        <v>116.2</v>
      </c>
      <c r="O1345">
        <v>12</v>
      </c>
      <c r="P1345">
        <v>76</v>
      </c>
      <c r="Q1345" t="s">
        <v>99</v>
      </c>
      <c r="R1345">
        <v>0</v>
      </c>
      <c r="S1345" s="19">
        <v>0.54166666666666663</v>
      </c>
      <c r="U1345" s="19"/>
      <c r="V1345" t="s">
        <v>343</v>
      </c>
      <c r="W1345">
        <v>4</v>
      </c>
      <c r="X1345" t="s">
        <v>102</v>
      </c>
      <c r="Y1345" t="b">
        <v>0</v>
      </c>
    </row>
    <row r="1346" spans="1:25" x14ac:dyDescent="0.55000000000000004">
      <c r="A1346" t="s">
        <v>94</v>
      </c>
      <c r="B1346" t="s">
        <v>341</v>
      </c>
      <c r="C1346" t="s">
        <v>322</v>
      </c>
      <c r="D1346" t="s">
        <v>160</v>
      </c>
      <c r="E1346" t="s">
        <v>164</v>
      </c>
      <c r="F1346" t="s">
        <v>99</v>
      </c>
      <c r="G1346">
        <v>10938</v>
      </c>
      <c r="H1346" t="s">
        <v>342</v>
      </c>
      <c r="I1346">
        <v>2</v>
      </c>
      <c r="J1346" t="s">
        <v>104</v>
      </c>
      <c r="K1346" s="19">
        <v>0.41666666666666669</v>
      </c>
      <c r="L1346" s="19">
        <v>0.58333333333333337</v>
      </c>
      <c r="M1346">
        <v>4</v>
      </c>
      <c r="N1346">
        <v>116.2</v>
      </c>
      <c r="O1346">
        <v>12</v>
      </c>
      <c r="P1346">
        <v>76</v>
      </c>
      <c r="Q1346" t="s">
        <v>99</v>
      </c>
      <c r="R1346">
        <v>0</v>
      </c>
      <c r="S1346" s="19">
        <v>0.54166666666666663</v>
      </c>
      <c r="U1346" s="19"/>
      <c r="V1346" t="s">
        <v>343</v>
      </c>
      <c r="W1346">
        <v>4</v>
      </c>
      <c r="X1346" t="s">
        <v>102</v>
      </c>
      <c r="Y1346" t="b">
        <v>0</v>
      </c>
    </row>
    <row r="1347" spans="1:25" x14ac:dyDescent="0.55000000000000004">
      <c r="A1347" t="s">
        <v>94</v>
      </c>
      <c r="B1347" t="s">
        <v>341</v>
      </c>
      <c r="C1347" t="s">
        <v>322</v>
      </c>
      <c r="D1347" t="s">
        <v>160</v>
      </c>
      <c r="E1347" t="s">
        <v>164</v>
      </c>
      <c r="F1347" t="s">
        <v>99</v>
      </c>
      <c r="G1347">
        <v>10989</v>
      </c>
      <c r="H1347" t="s">
        <v>344</v>
      </c>
      <c r="I1347">
        <v>1</v>
      </c>
      <c r="J1347" t="s">
        <v>107</v>
      </c>
      <c r="K1347" s="19">
        <v>0.375</v>
      </c>
      <c r="L1347" s="19">
        <v>0.6875</v>
      </c>
      <c r="M1347">
        <v>7.5</v>
      </c>
      <c r="N1347">
        <v>226.03</v>
      </c>
      <c r="O1347">
        <v>76</v>
      </c>
      <c r="P1347">
        <v>76</v>
      </c>
      <c r="Q1347" t="s">
        <v>99</v>
      </c>
      <c r="R1347">
        <v>30</v>
      </c>
      <c r="S1347" s="19">
        <v>0.54166666666666663</v>
      </c>
      <c r="U1347" s="19">
        <v>0.41666666666666669</v>
      </c>
      <c r="V1347" t="s">
        <v>345</v>
      </c>
      <c r="W1347">
        <v>7</v>
      </c>
      <c r="X1347" t="s">
        <v>102</v>
      </c>
      <c r="Y1347" t="b">
        <v>0</v>
      </c>
    </row>
    <row r="1348" spans="1:25" x14ac:dyDescent="0.55000000000000004">
      <c r="A1348" t="s">
        <v>94</v>
      </c>
      <c r="B1348" t="s">
        <v>341</v>
      </c>
      <c r="C1348" t="s">
        <v>322</v>
      </c>
      <c r="D1348" t="s">
        <v>160</v>
      </c>
      <c r="E1348" t="s">
        <v>164</v>
      </c>
      <c r="F1348" t="s">
        <v>99</v>
      </c>
      <c r="G1348">
        <v>10989</v>
      </c>
      <c r="H1348" t="s">
        <v>344</v>
      </c>
      <c r="I1348">
        <v>1</v>
      </c>
      <c r="J1348" t="s">
        <v>101</v>
      </c>
      <c r="K1348" s="19">
        <v>0.375</v>
      </c>
      <c r="L1348" s="19">
        <v>0.72916666666666663</v>
      </c>
      <c r="M1348">
        <v>8.5</v>
      </c>
      <c r="N1348">
        <v>258.32</v>
      </c>
      <c r="O1348">
        <v>76</v>
      </c>
      <c r="P1348">
        <v>76</v>
      </c>
      <c r="Q1348" t="s">
        <v>99</v>
      </c>
      <c r="R1348">
        <v>30</v>
      </c>
      <c r="S1348" s="19">
        <v>0.58333333333333337</v>
      </c>
      <c r="U1348" s="19"/>
      <c r="V1348" t="s">
        <v>99</v>
      </c>
      <c r="W1348">
        <v>8</v>
      </c>
      <c r="X1348" t="s">
        <v>102</v>
      </c>
      <c r="Y1348" t="b">
        <v>0</v>
      </c>
    </row>
    <row r="1349" spans="1:25" x14ac:dyDescent="0.55000000000000004">
      <c r="A1349" t="s">
        <v>94</v>
      </c>
      <c r="B1349" t="s">
        <v>341</v>
      </c>
      <c r="C1349" t="s">
        <v>322</v>
      </c>
      <c r="D1349" t="s">
        <v>160</v>
      </c>
      <c r="E1349" t="s">
        <v>164</v>
      </c>
      <c r="F1349" t="s">
        <v>99</v>
      </c>
      <c r="G1349">
        <v>10989</v>
      </c>
      <c r="H1349" t="s">
        <v>344</v>
      </c>
      <c r="I1349">
        <v>1</v>
      </c>
      <c r="J1349" t="s">
        <v>103</v>
      </c>
      <c r="K1349" s="19">
        <v>0.375</v>
      </c>
      <c r="L1349" s="19">
        <v>0.72916666666666663</v>
      </c>
      <c r="M1349">
        <v>8.5</v>
      </c>
      <c r="N1349">
        <v>258.32</v>
      </c>
      <c r="O1349">
        <v>76</v>
      </c>
      <c r="P1349">
        <v>76</v>
      </c>
      <c r="Q1349" t="s">
        <v>99</v>
      </c>
      <c r="R1349">
        <v>30</v>
      </c>
      <c r="S1349" s="19">
        <v>0.58333333333333337</v>
      </c>
      <c r="U1349" s="19">
        <v>0.41666666666666669</v>
      </c>
      <c r="V1349" t="s">
        <v>99</v>
      </c>
      <c r="W1349">
        <v>8</v>
      </c>
      <c r="X1349" t="s">
        <v>102</v>
      </c>
      <c r="Y1349" t="b">
        <v>0</v>
      </c>
    </row>
    <row r="1350" spans="1:25" x14ac:dyDescent="0.55000000000000004">
      <c r="A1350" t="s">
        <v>94</v>
      </c>
      <c r="B1350" t="s">
        <v>341</v>
      </c>
      <c r="C1350" t="s">
        <v>322</v>
      </c>
      <c r="D1350" t="s">
        <v>160</v>
      </c>
      <c r="E1350" t="s">
        <v>164</v>
      </c>
      <c r="F1350" t="s">
        <v>99</v>
      </c>
      <c r="G1350">
        <v>10989</v>
      </c>
      <c r="H1350" t="s">
        <v>344</v>
      </c>
      <c r="I1350">
        <v>1</v>
      </c>
      <c r="J1350" t="s">
        <v>104</v>
      </c>
      <c r="K1350" s="19">
        <v>0.375</v>
      </c>
      <c r="L1350" s="19">
        <v>0.6875</v>
      </c>
      <c r="M1350">
        <v>7.5</v>
      </c>
      <c r="N1350">
        <v>226.03</v>
      </c>
      <c r="O1350">
        <v>76</v>
      </c>
      <c r="P1350">
        <v>76</v>
      </c>
      <c r="Q1350" t="s">
        <v>99</v>
      </c>
      <c r="R1350">
        <v>30</v>
      </c>
      <c r="S1350" s="19">
        <v>0.54166666666666663</v>
      </c>
      <c r="U1350" s="19"/>
      <c r="V1350" t="s">
        <v>345</v>
      </c>
      <c r="W1350">
        <v>7</v>
      </c>
      <c r="X1350" t="s">
        <v>102</v>
      </c>
      <c r="Y1350" t="b">
        <v>0</v>
      </c>
    </row>
    <row r="1351" spans="1:25" x14ac:dyDescent="0.55000000000000004">
      <c r="A1351" t="s">
        <v>94</v>
      </c>
      <c r="B1351" t="s">
        <v>341</v>
      </c>
      <c r="C1351" t="s">
        <v>322</v>
      </c>
      <c r="D1351" t="s">
        <v>160</v>
      </c>
      <c r="E1351" t="s">
        <v>164</v>
      </c>
      <c r="F1351" t="s">
        <v>99</v>
      </c>
      <c r="G1351">
        <v>10989</v>
      </c>
      <c r="H1351" t="s">
        <v>344</v>
      </c>
      <c r="I1351">
        <v>1</v>
      </c>
      <c r="J1351" t="s">
        <v>105</v>
      </c>
      <c r="K1351" s="19">
        <v>0.375</v>
      </c>
      <c r="L1351" s="19">
        <v>0.72916666666666663</v>
      </c>
      <c r="M1351">
        <v>8.5</v>
      </c>
      <c r="N1351">
        <v>258.32</v>
      </c>
      <c r="O1351">
        <v>76</v>
      </c>
      <c r="P1351">
        <v>76</v>
      </c>
      <c r="Q1351" t="s">
        <v>99</v>
      </c>
      <c r="R1351">
        <v>30</v>
      </c>
      <c r="S1351" s="19">
        <v>0.58333333333333337</v>
      </c>
      <c r="U1351" s="19"/>
      <c r="V1351" t="s">
        <v>99</v>
      </c>
      <c r="W1351">
        <v>8</v>
      </c>
      <c r="X1351" t="s">
        <v>102</v>
      </c>
      <c r="Y1351" t="b">
        <v>0</v>
      </c>
    </row>
    <row r="1352" spans="1:25" x14ac:dyDescent="0.55000000000000004">
      <c r="A1352" t="s">
        <v>94</v>
      </c>
      <c r="B1352" t="s">
        <v>341</v>
      </c>
      <c r="C1352" t="s">
        <v>322</v>
      </c>
      <c r="D1352" t="s">
        <v>160</v>
      </c>
      <c r="E1352" t="s">
        <v>164</v>
      </c>
      <c r="F1352" t="s">
        <v>99</v>
      </c>
      <c r="G1352">
        <v>10989</v>
      </c>
      <c r="H1352" t="s">
        <v>344</v>
      </c>
      <c r="I1352">
        <v>2</v>
      </c>
      <c r="J1352" t="s">
        <v>107</v>
      </c>
      <c r="K1352" s="19">
        <v>0.375</v>
      </c>
      <c r="L1352" s="19">
        <v>0.6875</v>
      </c>
      <c r="M1352">
        <v>7.5</v>
      </c>
      <c r="N1352">
        <v>226.03</v>
      </c>
      <c r="O1352">
        <v>76</v>
      </c>
      <c r="P1352">
        <v>76</v>
      </c>
      <c r="Q1352" t="s">
        <v>99</v>
      </c>
      <c r="R1352">
        <v>30</v>
      </c>
      <c r="S1352" s="19">
        <v>0.54166666666666663</v>
      </c>
      <c r="U1352" s="19">
        <v>0.41666666666666669</v>
      </c>
      <c r="V1352" t="s">
        <v>345</v>
      </c>
      <c r="W1352">
        <v>7</v>
      </c>
      <c r="X1352" t="s">
        <v>102</v>
      </c>
      <c r="Y1352" t="b">
        <v>0</v>
      </c>
    </row>
    <row r="1353" spans="1:25" x14ac:dyDescent="0.55000000000000004">
      <c r="A1353" t="s">
        <v>94</v>
      </c>
      <c r="B1353" t="s">
        <v>341</v>
      </c>
      <c r="C1353" t="s">
        <v>322</v>
      </c>
      <c r="D1353" t="s">
        <v>160</v>
      </c>
      <c r="E1353" t="s">
        <v>164</v>
      </c>
      <c r="F1353" t="s">
        <v>99</v>
      </c>
      <c r="G1353">
        <v>10989</v>
      </c>
      <c r="H1353" t="s">
        <v>344</v>
      </c>
      <c r="I1353">
        <v>2</v>
      </c>
      <c r="J1353" t="s">
        <v>101</v>
      </c>
      <c r="K1353" s="19">
        <v>0.375</v>
      </c>
      <c r="L1353" s="19">
        <v>0.6875</v>
      </c>
      <c r="M1353">
        <v>7.5</v>
      </c>
      <c r="N1353">
        <v>226.03</v>
      </c>
      <c r="O1353">
        <v>76</v>
      </c>
      <c r="P1353">
        <v>76</v>
      </c>
      <c r="Q1353" t="s">
        <v>99</v>
      </c>
      <c r="R1353">
        <v>30</v>
      </c>
      <c r="S1353" s="19">
        <v>0.54166666666666663</v>
      </c>
      <c r="U1353" s="19"/>
      <c r="V1353" t="s">
        <v>345</v>
      </c>
      <c r="W1353">
        <v>7</v>
      </c>
      <c r="X1353" t="s">
        <v>102</v>
      </c>
      <c r="Y1353" t="b">
        <v>0</v>
      </c>
    </row>
    <row r="1354" spans="1:25" x14ac:dyDescent="0.55000000000000004">
      <c r="A1354" t="s">
        <v>94</v>
      </c>
      <c r="B1354" t="s">
        <v>341</v>
      </c>
      <c r="C1354" t="s">
        <v>322</v>
      </c>
      <c r="D1354" t="s">
        <v>160</v>
      </c>
      <c r="E1354" t="s">
        <v>164</v>
      </c>
      <c r="F1354" t="s">
        <v>99</v>
      </c>
      <c r="G1354">
        <v>10989</v>
      </c>
      <c r="H1354" t="s">
        <v>344</v>
      </c>
      <c r="I1354">
        <v>2</v>
      </c>
      <c r="J1354" t="s">
        <v>103</v>
      </c>
      <c r="K1354" s="19">
        <v>0.375</v>
      </c>
      <c r="L1354" s="19">
        <v>0.72916666666666663</v>
      </c>
      <c r="M1354">
        <v>8.5</v>
      </c>
      <c r="N1354">
        <v>258.32</v>
      </c>
      <c r="O1354">
        <v>76</v>
      </c>
      <c r="P1354">
        <v>76</v>
      </c>
      <c r="Q1354" t="s">
        <v>99</v>
      </c>
      <c r="R1354">
        <v>30</v>
      </c>
      <c r="S1354" s="19">
        <v>0.58333333333333337</v>
      </c>
      <c r="U1354" s="19">
        <v>0.41666666666666669</v>
      </c>
      <c r="V1354" t="s">
        <v>99</v>
      </c>
      <c r="W1354">
        <v>8</v>
      </c>
      <c r="X1354" t="s">
        <v>102</v>
      </c>
      <c r="Y1354" t="b">
        <v>0</v>
      </c>
    </row>
    <row r="1355" spans="1:25" x14ac:dyDescent="0.55000000000000004">
      <c r="A1355" t="s">
        <v>94</v>
      </c>
      <c r="B1355" t="s">
        <v>341</v>
      </c>
      <c r="C1355" t="s">
        <v>322</v>
      </c>
      <c r="D1355" t="s">
        <v>160</v>
      </c>
      <c r="E1355" t="s">
        <v>164</v>
      </c>
      <c r="F1355" t="s">
        <v>99</v>
      </c>
      <c r="G1355">
        <v>10989</v>
      </c>
      <c r="H1355" t="s">
        <v>344</v>
      </c>
      <c r="I1355">
        <v>2</v>
      </c>
      <c r="J1355" t="s">
        <v>104</v>
      </c>
      <c r="K1355" s="19">
        <v>0.375</v>
      </c>
      <c r="L1355" s="19">
        <v>0.72916666666666663</v>
      </c>
      <c r="M1355">
        <v>8.5</v>
      </c>
      <c r="N1355">
        <v>258.32</v>
      </c>
      <c r="O1355">
        <v>76</v>
      </c>
      <c r="P1355">
        <v>76</v>
      </c>
      <c r="Q1355" t="s">
        <v>99</v>
      </c>
      <c r="R1355">
        <v>30</v>
      </c>
      <c r="S1355" s="19">
        <v>0.58333333333333337</v>
      </c>
      <c r="U1355" s="19"/>
      <c r="V1355" t="s">
        <v>99</v>
      </c>
      <c r="W1355">
        <v>8</v>
      </c>
      <c r="X1355" t="s">
        <v>102</v>
      </c>
      <c r="Y1355" t="b">
        <v>0</v>
      </c>
    </row>
    <row r="1356" spans="1:25" x14ac:dyDescent="0.55000000000000004">
      <c r="A1356" t="s">
        <v>94</v>
      </c>
      <c r="B1356" t="s">
        <v>341</v>
      </c>
      <c r="C1356" t="s">
        <v>322</v>
      </c>
      <c r="D1356" t="s">
        <v>160</v>
      </c>
      <c r="E1356" t="s">
        <v>164</v>
      </c>
      <c r="F1356" t="s">
        <v>99</v>
      </c>
      <c r="G1356">
        <v>10989</v>
      </c>
      <c r="H1356" t="s">
        <v>344</v>
      </c>
      <c r="I1356">
        <v>2</v>
      </c>
      <c r="J1356" t="s">
        <v>105</v>
      </c>
      <c r="K1356" s="19">
        <v>0.375</v>
      </c>
      <c r="L1356" s="19">
        <v>0.72916666666666663</v>
      </c>
      <c r="M1356">
        <v>8.5</v>
      </c>
      <c r="N1356">
        <v>258.32</v>
      </c>
      <c r="O1356">
        <v>76</v>
      </c>
      <c r="P1356">
        <v>76</v>
      </c>
      <c r="Q1356" t="s">
        <v>99</v>
      </c>
      <c r="R1356">
        <v>30</v>
      </c>
      <c r="S1356" s="19">
        <v>0.58333333333333337</v>
      </c>
      <c r="U1356" s="19">
        <v>0.41666666666666669</v>
      </c>
      <c r="V1356" t="s">
        <v>99</v>
      </c>
      <c r="W1356">
        <v>8</v>
      </c>
      <c r="X1356" t="s">
        <v>102</v>
      </c>
      <c r="Y1356" t="b">
        <v>0</v>
      </c>
    </row>
    <row r="1357" spans="1:25" x14ac:dyDescent="0.55000000000000004">
      <c r="A1357" t="s">
        <v>94</v>
      </c>
      <c r="B1357" t="s">
        <v>341</v>
      </c>
      <c r="C1357" t="s">
        <v>322</v>
      </c>
      <c r="D1357" t="s">
        <v>160</v>
      </c>
      <c r="E1357" t="s">
        <v>164</v>
      </c>
      <c r="F1357" t="s">
        <v>99</v>
      </c>
      <c r="G1357">
        <v>14508</v>
      </c>
      <c r="H1357" t="s">
        <v>346</v>
      </c>
      <c r="I1357">
        <v>1</v>
      </c>
      <c r="J1357" t="s">
        <v>107</v>
      </c>
      <c r="K1357" s="19">
        <v>0.375</v>
      </c>
      <c r="L1357" s="19">
        <v>0.72916666666666663</v>
      </c>
      <c r="M1357">
        <v>8.5</v>
      </c>
      <c r="N1357">
        <v>258.32</v>
      </c>
      <c r="O1357">
        <v>72</v>
      </c>
      <c r="P1357">
        <v>76</v>
      </c>
      <c r="Q1357" t="s">
        <v>99</v>
      </c>
      <c r="R1357">
        <v>30</v>
      </c>
      <c r="S1357" s="19">
        <v>0.54166666666666663</v>
      </c>
      <c r="U1357" s="19">
        <v>0.41666666666666669</v>
      </c>
      <c r="V1357" t="s">
        <v>99</v>
      </c>
      <c r="W1357">
        <v>8</v>
      </c>
      <c r="X1357" t="s">
        <v>102</v>
      </c>
      <c r="Y1357" t="b">
        <v>0</v>
      </c>
    </row>
    <row r="1358" spans="1:25" x14ac:dyDescent="0.55000000000000004">
      <c r="A1358" t="s">
        <v>94</v>
      </c>
      <c r="B1358" t="s">
        <v>341</v>
      </c>
      <c r="C1358" t="s">
        <v>322</v>
      </c>
      <c r="D1358" t="s">
        <v>160</v>
      </c>
      <c r="E1358" t="s">
        <v>164</v>
      </c>
      <c r="F1358" t="s">
        <v>99</v>
      </c>
      <c r="G1358">
        <v>14508</v>
      </c>
      <c r="H1358" t="s">
        <v>346</v>
      </c>
      <c r="I1358">
        <v>1</v>
      </c>
      <c r="J1358" t="s">
        <v>105</v>
      </c>
      <c r="K1358" s="19">
        <v>0.375</v>
      </c>
      <c r="L1358" s="19">
        <v>0.72916666666666663</v>
      </c>
      <c r="M1358">
        <v>8.5</v>
      </c>
      <c r="N1358">
        <v>258.32</v>
      </c>
      <c r="O1358">
        <v>72</v>
      </c>
      <c r="P1358">
        <v>76</v>
      </c>
      <c r="Q1358" t="s">
        <v>99</v>
      </c>
      <c r="R1358">
        <v>30</v>
      </c>
      <c r="S1358" s="19">
        <v>0.54166666666666663</v>
      </c>
      <c r="U1358" s="19"/>
      <c r="V1358" t="s">
        <v>99</v>
      </c>
      <c r="W1358">
        <v>8</v>
      </c>
      <c r="X1358" t="s">
        <v>102</v>
      </c>
      <c r="Y1358" t="b">
        <v>0</v>
      </c>
    </row>
    <row r="1359" spans="1:25" x14ac:dyDescent="0.55000000000000004">
      <c r="A1359" t="s">
        <v>94</v>
      </c>
      <c r="B1359" t="s">
        <v>341</v>
      </c>
      <c r="C1359" t="s">
        <v>322</v>
      </c>
      <c r="D1359" t="s">
        <v>160</v>
      </c>
      <c r="E1359" t="s">
        <v>164</v>
      </c>
      <c r="F1359" t="s">
        <v>99</v>
      </c>
      <c r="G1359">
        <v>14508</v>
      </c>
      <c r="H1359" t="s">
        <v>346</v>
      </c>
      <c r="I1359">
        <v>2</v>
      </c>
      <c r="J1359" t="s">
        <v>107</v>
      </c>
      <c r="K1359" s="19">
        <v>0.375</v>
      </c>
      <c r="L1359" s="19">
        <v>0.72916666666666663</v>
      </c>
      <c r="M1359">
        <v>8.5</v>
      </c>
      <c r="N1359">
        <v>258.32</v>
      </c>
      <c r="O1359">
        <v>72</v>
      </c>
      <c r="P1359">
        <v>76</v>
      </c>
      <c r="Q1359" t="s">
        <v>99</v>
      </c>
      <c r="R1359">
        <v>30</v>
      </c>
      <c r="S1359" s="19">
        <v>0.54166666666666663</v>
      </c>
      <c r="U1359" s="19">
        <v>0.41666666666666669</v>
      </c>
      <c r="V1359" t="s">
        <v>99</v>
      </c>
      <c r="W1359">
        <v>8</v>
      </c>
      <c r="X1359" t="s">
        <v>102</v>
      </c>
      <c r="Y1359" t="b">
        <v>0</v>
      </c>
    </row>
    <row r="1360" spans="1:25" x14ac:dyDescent="0.55000000000000004">
      <c r="A1360" t="s">
        <v>94</v>
      </c>
      <c r="B1360" t="s">
        <v>341</v>
      </c>
      <c r="C1360" t="s">
        <v>322</v>
      </c>
      <c r="D1360" t="s">
        <v>160</v>
      </c>
      <c r="E1360" t="s">
        <v>164</v>
      </c>
      <c r="F1360" t="s">
        <v>99</v>
      </c>
      <c r="G1360">
        <v>14508</v>
      </c>
      <c r="H1360" t="s">
        <v>346</v>
      </c>
      <c r="I1360">
        <v>2</v>
      </c>
      <c r="J1360" t="s">
        <v>105</v>
      </c>
      <c r="K1360" s="19">
        <v>0.375</v>
      </c>
      <c r="L1360" s="19">
        <v>0.72916666666666663</v>
      </c>
      <c r="M1360">
        <v>8.5</v>
      </c>
      <c r="N1360">
        <v>258.32</v>
      </c>
      <c r="O1360">
        <v>72</v>
      </c>
      <c r="P1360">
        <v>76</v>
      </c>
      <c r="Q1360" t="s">
        <v>99</v>
      </c>
      <c r="R1360">
        <v>30</v>
      </c>
      <c r="S1360" s="19">
        <v>0.54166666666666663</v>
      </c>
      <c r="U1360" s="19">
        <v>0.41666666666666669</v>
      </c>
      <c r="V1360" t="s">
        <v>99</v>
      </c>
      <c r="W1360">
        <v>8</v>
      </c>
      <c r="X1360" t="s">
        <v>102</v>
      </c>
      <c r="Y1360" t="b">
        <v>0</v>
      </c>
    </row>
    <row r="1361" spans="1:25" x14ac:dyDescent="0.55000000000000004">
      <c r="A1361" t="s">
        <v>94</v>
      </c>
      <c r="B1361" t="s">
        <v>347</v>
      </c>
      <c r="C1361" t="s">
        <v>348</v>
      </c>
      <c r="D1361" t="s">
        <v>97</v>
      </c>
      <c r="E1361" t="s">
        <v>98</v>
      </c>
      <c r="F1361" t="s">
        <v>99</v>
      </c>
      <c r="G1361">
        <v>20676</v>
      </c>
      <c r="H1361" t="s">
        <v>349</v>
      </c>
      <c r="I1361">
        <v>1</v>
      </c>
      <c r="J1361" t="s">
        <v>107</v>
      </c>
      <c r="K1361" s="19">
        <v>0.33333333333333331</v>
      </c>
      <c r="L1361" s="19">
        <v>0.60416666666666663</v>
      </c>
      <c r="M1361">
        <v>6.5</v>
      </c>
      <c r="N1361">
        <v>175.14</v>
      </c>
      <c r="O1361">
        <v>64</v>
      </c>
      <c r="P1361">
        <v>76</v>
      </c>
      <c r="Q1361" t="s">
        <v>99</v>
      </c>
      <c r="R1361">
        <v>30</v>
      </c>
      <c r="S1361" s="19">
        <v>0.46875</v>
      </c>
      <c r="U1361" s="19"/>
      <c r="V1361" t="s">
        <v>99</v>
      </c>
      <c r="W1361">
        <v>6</v>
      </c>
      <c r="X1361" t="s">
        <v>102</v>
      </c>
      <c r="Y1361" t="b">
        <v>0</v>
      </c>
    </row>
    <row r="1362" spans="1:25" x14ac:dyDescent="0.55000000000000004">
      <c r="A1362" t="s">
        <v>94</v>
      </c>
      <c r="B1362" t="s">
        <v>347</v>
      </c>
      <c r="C1362" t="s">
        <v>348</v>
      </c>
      <c r="D1362" t="s">
        <v>97</v>
      </c>
      <c r="E1362" t="s">
        <v>98</v>
      </c>
      <c r="F1362" t="s">
        <v>99</v>
      </c>
      <c r="G1362">
        <v>20676</v>
      </c>
      <c r="H1362" t="s">
        <v>349</v>
      </c>
      <c r="I1362">
        <v>1</v>
      </c>
      <c r="J1362" t="s">
        <v>101</v>
      </c>
      <c r="K1362" s="19">
        <v>0.33333333333333331</v>
      </c>
      <c r="L1362" s="19">
        <v>0.6875</v>
      </c>
      <c r="M1362">
        <v>8.5</v>
      </c>
      <c r="N1362">
        <v>233.52</v>
      </c>
      <c r="O1362">
        <v>64</v>
      </c>
      <c r="P1362">
        <v>76</v>
      </c>
      <c r="Q1362" t="s">
        <v>99</v>
      </c>
      <c r="R1362">
        <v>30</v>
      </c>
      <c r="S1362" s="19">
        <v>0.54166666666666663</v>
      </c>
      <c r="U1362" s="19">
        <v>0</v>
      </c>
      <c r="V1362" t="s">
        <v>350</v>
      </c>
      <c r="W1362">
        <v>8</v>
      </c>
      <c r="X1362" t="s">
        <v>102</v>
      </c>
      <c r="Y1362" t="b">
        <v>0</v>
      </c>
    </row>
    <row r="1363" spans="1:25" x14ac:dyDescent="0.55000000000000004">
      <c r="A1363" t="s">
        <v>94</v>
      </c>
      <c r="B1363" t="s">
        <v>347</v>
      </c>
      <c r="C1363" t="s">
        <v>348</v>
      </c>
      <c r="D1363" t="s">
        <v>97</v>
      </c>
      <c r="E1363" t="s">
        <v>98</v>
      </c>
      <c r="F1363" t="s">
        <v>99</v>
      </c>
      <c r="G1363">
        <v>20676</v>
      </c>
      <c r="H1363" t="s">
        <v>349</v>
      </c>
      <c r="I1363">
        <v>1</v>
      </c>
      <c r="J1363" t="s">
        <v>103</v>
      </c>
      <c r="K1363" s="19">
        <v>0.33333333333333331</v>
      </c>
      <c r="L1363" s="19">
        <v>0.6875</v>
      </c>
      <c r="M1363">
        <v>8.5</v>
      </c>
      <c r="N1363">
        <v>233.52</v>
      </c>
      <c r="O1363">
        <v>64</v>
      </c>
      <c r="P1363">
        <v>76</v>
      </c>
      <c r="Q1363" t="s">
        <v>99</v>
      </c>
      <c r="R1363">
        <v>30</v>
      </c>
      <c r="S1363" s="19">
        <v>0.54166666666666663</v>
      </c>
      <c r="U1363" s="19">
        <v>0</v>
      </c>
      <c r="V1363" t="s">
        <v>350</v>
      </c>
      <c r="W1363">
        <v>8</v>
      </c>
      <c r="X1363" t="s">
        <v>102</v>
      </c>
      <c r="Y1363" t="b">
        <v>0</v>
      </c>
    </row>
    <row r="1364" spans="1:25" x14ac:dyDescent="0.55000000000000004">
      <c r="A1364" t="s">
        <v>94</v>
      </c>
      <c r="B1364" t="s">
        <v>347</v>
      </c>
      <c r="C1364" t="s">
        <v>348</v>
      </c>
      <c r="D1364" t="s">
        <v>97</v>
      </c>
      <c r="E1364" t="s">
        <v>98</v>
      </c>
      <c r="F1364" t="s">
        <v>99</v>
      </c>
      <c r="G1364">
        <v>20676</v>
      </c>
      <c r="H1364" t="s">
        <v>349</v>
      </c>
      <c r="I1364">
        <v>1</v>
      </c>
      <c r="J1364" t="s">
        <v>104</v>
      </c>
      <c r="K1364" s="19">
        <v>0.33333333333333331</v>
      </c>
      <c r="L1364" s="19">
        <v>0.6875</v>
      </c>
      <c r="M1364">
        <v>8.5</v>
      </c>
      <c r="N1364">
        <v>233.52</v>
      </c>
      <c r="O1364">
        <v>64</v>
      </c>
      <c r="P1364">
        <v>76</v>
      </c>
      <c r="Q1364" t="s">
        <v>99</v>
      </c>
      <c r="R1364">
        <v>30</v>
      </c>
      <c r="S1364" s="19">
        <v>0.54166666666666663</v>
      </c>
      <c r="U1364" s="19">
        <v>0</v>
      </c>
      <c r="V1364" t="s">
        <v>350</v>
      </c>
      <c r="W1364">
        <v>8</v>
      </c>
      <c r="X1364" t="s">
        <v>102</v>
      </c>
      <c r="Y1364" t="b">
        <v>0</v>
      </c>
    </row>
    <row r="1365" spans="1:25" x14ac:dyDescent="0.55000000000000004">
      <c r="A1365" t="s">
        <v>94</v>
      </c>
      <c r="B1365" t="s">
        <v>347</v>
      </c>
      <c r="C1365" t="s">
        <v>348</v>
      </c>
      <c r="D1365" t="s">
        <v>97</v>
      </c>
      <c r="E1365" t="s">
        <v>98</v>
      </c>
      <c r="F1365" t="s">
        <v>99</v>
      </c>
      <c r="G1365">
        <v>20676</v>
      </c>
      <c r="H1365" t="s">
        <v>349</v>
      </c>
      <c r="I1365">
        <v>1</v>
      </c>
      <c r="J1365" t="s">
        <v>105</v>
      </c>
      <c r="K1365" s="19">
        <v>0.33333333333333331</v>
      </c>
      <c r="L1365" s="19">
        <v>0.6875</v>
      </c>
      <c r="M1365">
        <v>8.5</v>
      </c>
      <c r="N1365">
        <v>233.52</v>
      </c>
      <c r="O1365">
        <v>64</v>
      </c>
      <c r="P1365">
        <v>76</v>
      </c>
      <c r="Q1365" t="s">
        <v>99</v>
      </c>
      <c r="R1365">
        <v>30</v>
      </c>
      <c r="S1365" s="19">
        <v>0.54166666666666663</v>
      </c>
      <c r="U1365" s="19">
        <v>0</v>
      </c>
      <c r="V1365" t="s">
        <v>350</v>
      </c>
      <c r="W1365">
        <v>8</v>
      </c>
      <c r="X1365" t="s">
        <v>102</v>
      </c>
      <c r="Y1365" t="b">
        <v>0</v>
      </c>
    </row>
    <row r="1366" spans="1:25" x14ac:dyDescent="0.55000000000000004">
      <c r="A1366" t="s">
        <v>94</v>
      </c>
      <c r="B1366" t="s">
        <v>347</v>
      </c>
      <c r="C1366" t="s">
        <v>348</v>
      </c>
      <c r="D1366" t="s">
        <v>97</v>
      </c>
      <c r="E1366" t="s">
        <v>98</v>
      </c>
      <c r="F1366" t="s">
        <v>99</v>
      </c>
      <c r="G1366">
        <v>20676</v>
      </c>
      <c r="H1366" t="s">
        <v>349</v>
      </c>
      <c r="I1366">
        <v>2</v>
      </c>
      <c r="J1366" t="s">
        <v>107</v>
      </c>
      <c r="K1366" s="19">
        <v>0.33333333333333331</v>
      </c>
      <c r="L1366" s="19">
        <v>0.60416666666666663</v>
      </c>
      <c r="M1366">
        <v>6.5</v>
      </c>
      <c r="N1366">
        <v>175.14</v>
      </c>
      <c r="O1366">
        <v>64</v>
      </c>
      <c r="P1366">
        <v>76</v>
      </c>
      <c r="Q1366" t="s">
        <v>99</v>
      </c>
      <c r="R1366">
        <v>30</v>
      </c>
      <c r="S1366" s="19">
        <v>0.54166666666666663</v>
      </c>
      <c r="U1366" s="19"/>
      <c r="V1366" t="s">
        <v>350</v>
      </c>
      <c r="W1366">
        <v>6</v>
      </c>
      <c r="X1366" t="s">
        <v>102</v>
      </c>
      <c r="Y1366" t="b">
        <v>0</v>
      </c>
    </row>
    <row r="1367" spans="1:25" x14ac:dyDescent="0.55000000000000004">
      <c r="A1367" t="s">
        <v>94</v>
      </c>
      <c r="B1367" t="s">
        <v>347</v>
      </c>
      <c r="C1367" t="s">
        <v>348</v>
      </c>
      <c r="D1367" t="s">
        <v>97</v>
      </c>
      <c r="E1367" t="s">
        <v>98</v>
      </c>
      <c r="F1367" t="s">
        <v>99</v>
      </c>
      <c r="G1367">
        <v>20676</v>
      </c>
      <c r="H1367" t="s">
        <v>349</v>
      </c>
      <c r="I1367">
        <v>2</v>
      </c>
      <c r="J1367" t="s">
        <v>101</v>
      </c>
      <c r="K1367" s="19">
        <v>0.33333333333333331</v>
      </c>
      <c r="L1367" s="19">
        <v>0.6875</v>
      </c>
      <c r="M1367">
        <v>8.5</v>
      </c>
      <c r="N1367">
        <v>233.52</v>
      </c>
      <c r="O1367">
        <v>64</v>
      </c>
      <c r="P1367">
        <v>76</v>
      </c>
      <c r="Q1367" t="s">
        <v>99</v>
      </c>
      <c r="R1367">
        <v>30</v>
      </c>
      <c r="S1367" s="19">
        <v>0.54166666666666663</v>
      </c>
      <c r="U1367" s="19">
        <v>0</v>
      </c>
      <c r="V1367" t="s">
        <v>350</v>
      </c>
      <c r="W1367">
        <v>8</v>
      </c>
      <c r="X1367" t="s">
        <v>102</v>
      </c>
      <c r="Y1367" t="b">
        <v>0</v>
      </c>
    </row>
    <row r="1368" spans="1:25" x14ac:dyDescent="0.55000000000000004">
      <c r="A1368" t="s">
        <v>94</v>
      </c>
      <c r="B1368" t="s">
        <v>347</v>
      </c>
      <c r="C1368" t="s">
        <v>348</v>
      </c>
      <c r="D1368" t="s">
        <v>97</v>
      </c>
      <c r="E1368" t="s">
        <v>98</v>
      </c>
      <c r="F1368" t="s">
        <v>99</v>
      </c>
      <c r="G1368">
        <v>20676</v>
      </c>
      <c r="H1368" t="s">
        <v>349</v>
      </c>
      <c r="I1368">
        <v>2</v>
      </c>
      <c r="J1368" t="s">
        <v>103</v>
      </c>
      <c r="K1368" s="19">
        <v>0.33333333333333331</v>
      </c>
      <c r="L1368" s="19">
        <v>0.6875</v>
      </c>
      <c r="M1368">
        <v>8.5</v>
      </c>
      <c r="N1368">
        <v>233.52</v>
      </c>
      <c r="O1368">
        <v>64</v>
      </c>
      <c r="P1368">
        <v>76</v>
      </c>
      <c r="Q1368" t="s">
        <v>99</v>
      </c>
      <c r="R1368">
        <v>30</v>
      </c>
      <c r="S1368" s="19">
        <v>0.54166666666666663</v>
      </c>
      <c r="U1368" s="19">
        <v>0</v>
      </c>
      <c r="V1368" t="s">
        <v>350</v>
      </c>
      <c r="W1368">
        <v>8</v>
      </c>
      <c r="X1368" t="s">
        <v>102</v>
      </c>
      <c r="Y1368" t="b">
        <v>0</v>
      </c>
    </row>
    <row r="1369" spans="1:25" x14ac:dyDescent="0.55000000000000004">
      <c r="A1369" t="s">
        <v>94</v>
      </c>
      <c r="B1369" t="s">
        <v>347</v>
      </c>
      <c r="C1369" t="s">
        <v>348</v>
      </c>
      <c r="D1369" t="s">
        <v>97</v>
      </c>
      <c r="E1369" t="s">
        <v>98</v>
      </c>
      <c r="F1369" t="s">
        <v>99</v>
      </c>
      <c r="G1369">
        <v>20676</v>
      </c>
      <c r="H1369" t="s">
        <v>349</v>
      </c>
      <c r="I1369">
        <v>2</v>
      </c>
      <c r="J1369" t="s">
        <v>104</v>
      </c>
      <c r="K1369" s="19">
        <v>0.33333333333333331</v>
      </c>
      <c r="L1369" s="19">
        <v>0.6875</v>
      </c>
      <c r="M1369">
        <v>8.5</v>
      </c>
      <c r="N1369">
        <v>233.52</v>
      </c>
      <c r="O1369">
        <v>64</v>
      </c>
      <c r="P1369">
        <v>76</v>
      </c>
      <c r="Q1369" t="s">
        <v>99</v>
      </c>
      <c r="R1369">
        <v>30</v>
      </c>
      <c r="S1369" s="19">
        <v>0.54166666666666663</v>
      </c>
      <c r="U1369" s="19">
        <v>0</v>
      </c>
      <c r="V1369" t="s">
        <v>350</v>
      </c>
      <c r="W1369">
        <v>8</v>
      </c>
      <c r="X1369" t="s">
        <v>102</v>
      </c>
      <c r="Y1369" t="b">
        <v>0</v>
      </c>
    </row>
    <row r="1370" spans="1:25" x14ac:dyDescent="0.55000000000000004">
      <c r="A1370" t="s">
        <v>94</v>
      </c>
      <c r="B1370" t="s">
        <v>347</v>
      </c>
      <c r="C1370" t="s">
        <v>348</v>
      </c>
      <c r="D1370" t="s">
        <v>97</v>
      </c>
      <c r="E1370" t="s">
        <v>98</v>
      </c>
      <c r="F1370" t="s">
        <v>99</v>
      </c>
      <c r="G1370">
        <v>20676</v>
      </c>
      <c r="H1370" t="s">
        <v>349</v>
      </c>
      <c r="I1370">
        <v>2</v>
      </c>
      <c r="J1370" t="s">
        <v>105</v>
      </c>
      <c r="K1370" s="19">
        <v>0.33333333333333331</v>
      </c>
      <c r="L1370" s="19">
        <v>0.6875</v>
      </c>
      <c r="M1370">
        <v>8.5</v>
      </c>
      <c r="N1370">
        <v>233.52</v>
      </c>
      <c r="O1370">
        <v>64</v>
      </c>
      <c r="P1370">
        <v>76</v>
      </c>
      <c r="Q1370" t="s">
        <v>99</v>
      </c>
      <c r="R1370">
        <v>30</v>
      </c>
      <c r="S1370" s="19">
        <v>0.54166666666666663</v>
      </c>
      <c r="U1370" s="19">
        <v>0</v>
      </c>
      <c r="V1370" t="s">
        <v>350</v>
      </c>
      <c r="W1370">
        <v>8</v>
      </c>
      <c r="X1370" t="s">
        <v>102</v>
      </c>
      <c r="Y1370" t="b">
        <v>0</v>
      </c>
    </row>
    <row r="1371" spans="1:25" x14ac:dyDescent="0.55000000000000004">
      <c r="A1371" t="s">
        <v>94</v>
      </c>
      <c r="B1371" t="s">
        <v>347</v>
      </c>
      <c r="C1371" t="s">
        <v>348</v>
      </c>
      <c r="D1371" t="s">
        <v>97</v>
      </c>
      <c r="E1371" t="s">
        <v>98</v>
      </c>
      <c r="F1371" t="s">
        <v>99</v>
      </c>
      <c r="G1371">
        <v>24286</v>
      </c>
      <c r="H1371" t="s">
        <v>351</v>
      </c>
      <c r="I1371">
        <v>1</v>
      </c>
      <c r="J1371" t="s">
        <v>107</v>
      </c>
      <c r="K1371" s="19">
        <v>0.35416666666666669</v>
      </c>
      <c r="L1371" s="19">
        <v>0.6875</v>
      </c>
      <c r="M1371">
        <v>8</v>
      </c>
      <c r="N1371">
        <v>218.93</v>
      </c>
      <c r="O1371">
        <v>72</v>
      </c>
      <c r="P1371">
        <v>76</v>
      </c>
      <c r="Q1371" t="s">
        <v>99</v>
      </c>
      <c r="R1371">
        <v>30</v>
      </c>
      <c r="S1371" s="19">
        <v>0.54166666666666663</v>
      </c>
      <c r="U1371" s="19"/>
      <c r="V1371" t="s">
        <v>350</v>
      </c>
      <c r="W1371">
        <v>7.5</v>
      </c>
      <c r="X1371" t="s">
        <v>102</v>
      </c>
      <c r="Y1371" t="b">
        <v>0</v>
      </c>
    </row>
    <row r="1372" spans="1:25" x14ac:dyDescent="0.55000000000000004">
      <c r="A1372" t="s">
        <v>94</v>
      </c>
      <c r="B1372" t="s">
        <v>347</v>
      </c>
      <c r="C1372" t="s">
        <v>348</v>
      </c>
      <c r="D1372" t="s">
        <v>97</v>
      </c>
      <c r="E1372" t="s">
        <v>98</v>
      </c>
      <c r="F1372" t="s">
        <v>99</v>
      </c>
      <c r="G1372">
        <v>24286</v>
      </c>
      <c r="H1372" t="s">
        <v>351</v>
      </c>
      <c r="I1372">
        <v>1</v>
      </c>
      <c r="J1372" t="s">
        <v>101</v>
      </c>
      <c r="K1372" s="19">
        <v>0.35416666666666669</v>
      </c>
      <c r="L1372" s="19">
        <v>0.6875</v>
      </c>
      <c r="M1372">
        <v>8</v>
      </c>
      <c r="N1372">
        <v>218.93</v>
      </c>
      <c r="O1372">
        <v>72</v>
      </c>
      <c r="P1372">
        <v>76</v>
      </c>
      <c r="Q1372" t="s">
        <v>99</v>
      </c>
      <c r="R1372">
        <v>30</v>
      </c>
      <c r="S1372" s="19">
        <v>0.54166666666666663</v>
      </c>
      <c r="U1372" s="19">
        <v>0</v>
      </c>
      <c r="V1372" t="s">
        <v>350</v>
      </c>
      <c r="W1372">
        <v>7.5</v>
      </c>
      <c r="X1372" t="s">
        <v>102</v>
      </c>
      <c r="Y1372" t="b">
        <v>0</v>
      </c>
    </row>
    <row r="1373" spans="1:25" x14ac:dyDescent="0.55000000000000004">
      <c r="A1373" t="s">
        <v>94</v>
      </c>
      <c r="B1373" t="s">
        <v>347</v>
      </c>
      <c r="C1373" t="s">
        <v>348</v>
      </c>
      <c r="D1373" t="s">
        <v>97</v>
      </c>
      <c r="E1373" t="s">
        <v>98</v>
      </c>
      <c r="F1373" t="s">
        <v>99</v>
      </c>
      <c r="G1373">
        <v>24286</v>
      </c>
      <c r="H1373" t="s">
        <v>351</v>
      </c>
      <c r="I1373">
        <v>1</v>
      </c>
      <c r="J1373" t="s">
        <v>103</v>
      </c>
      <c r="K1373" s="19">
        <v>0.35416666666666669</v>
      </c>
      <c r="L1373" s="19">
        <v>0.625</v>
      </c>
      <c r="M1373">
        <v>6.5</v>
      </c>
      <c r="N1373">
        <v>175.14</v>
      </c>
      <c r="O1373">
        <v>72</v>
      </c>
      <c r="P1373">
        <v>76</v>
      </c>
      <c r="Q1373" t="s">
        <v>99</v>
      </c>
      <c r="R1373">
        <v>30</v>
      </c>
      <c r="S1373" s="19">
        <v>0.5</v>
      </c>
      <c r="U1373" s="19"/>
      <c r="V1373" t="s">
        <v>99</v>
      </c>
      <c r="W1373">
        <v>6</v>
      </c>
      <c r="X1373" t="s">
        <v>102</v>
      </c>
      <c r="Y1373" t="b">
        <v>0</v>
      </c>
    </row>
    <row r="1374" spans="1:25" x14ac:dyDescent="0.55000000000000004">
      <c r="A1374" t="s">
        <v>94</v>
      </c>
      <c r="B1374" t="s">
        <v>347</v>
      </c>
      <c r="C1374" t="s">
        <v>348</v>
      </c>
      <c r="D1374" t="s">
        <v>97</v>
      </c>
      <c r="E1374" t="s">
        <v>98</v>
      </c>
      <c r="F1374" t="s">
        <v>99</v>
      </c>
      <c r="G1374">
        <v>24286</v>
      </c>
      <c r="H1374" t="s">
        <v>351</v>
      </c>
      <c r="I1374">
        <v>1</v>
      </c>
      <c r="J1374" t="s">
        <v>104</v>
      </c>
      <c r="K1374" s="19">
        <v>0.35416666666666669</v>
      </c>
      <c r="L1374" s="19">
        <v>0.6875</v>
      </c>
      <c r="M1374">
        <v>8</v>
      </c>
      <c r="N1374">
        <v>218.93</v>
      </c>
      <c r="O1374">
        <v>72</v>
      </c>
      <c r="P1374">
        <v>76</v>
      </c>
      <c r="Q1374" t="s">
        <v>99</v>
      </c>
      <c r="R1374">
        <v>30</v>
      </c>
      <c r="S1374" s="19">
        <v>0.54166666666666663</v>
      </c>
      <c r="U1374" s="19">
        <v>0</v>
      </c>
      <c r="V1374" t="s">
        <v>350</v>
      </c>
      <c r="W1374">
        <v>7.5</v>
      </c>
      <c r="X1374" t="s">
        <v>102</v>
      </c>
      <c r="Y1374" t="b">
        <v>0</v>
      </c>
    </row>
    <row r="1375" spans="1:25" x14ac:dyDescent="0.55000000000000004">
      <c r="A1375" t="s">
        <v>94</v>
      </c>
      <c r="B1375" t="s">
        <v>347</v>
      </c>
      <c r="C1375" t="s">
        <v>348</v>
      </c>
      <c r="D1375" t="s">
        <v>97</v>
      </c>
      <c r="E1375" t="s">
        <v>98</v>
      </c>
      <c r="F1375" t="s">
        <v>99</v>
      </c>
      <c r="G1375">
        <v>24286</v>
      </c>
      <c r="H1375" t="s">
        <v>351</v>
      </c>
      <c r="I1375">
        <v>1</v>
      </c>
      <c r="J1375" t="s">
        <v>105</v>
      </c>
      <c r="K1375" s="19">
        <v>0.35416666666666669</v>
      </c>
      <c r="L1375" s="19">
        <v>0.6875</v>
      </c>
      <c r="M1375">
        <v>8</v>
      </c>
      <c r="N1375">
        <v>218.93</v>
      </c>
      <c r="O1375">
        <v>72</v>
      </c>
      <c r="P1375">
        <v>76</v>
      </c>
      <c r="Q1375" t="s">
        <v>99</v>
      </c>
      <c r="R1375">
        <v>30</v>
      </c>
      <c r="S1375" s="19">
        <v>0.54166666666666663</v>
      </c>
      <c r="U1375" s="19">
        <v>0</v>
      </c>
      <c r="V1375" t="s">
        <v>350</v>
      </c>
      <c r="W1375">
        <v>7.5</v>
      </c>
      <c r="X1375" t="s">
        <v>102</v>
      </c>
      <c r="Y1375" t="b">
        <v>0</v>
      </c>
    </row>
    <row r="1376" spans="1:25" x14ac:dyDescent="0.55000000000000004">
      <c r="A1376" t="s">
        <v>94</v>
      </c>
      <c r="B1376" t="s">
        <v>347</v>
      </c>
      <c r="C1376" t="s">
        <v>348</v>
      </c>
      <c r="D1376" t="s">
        <v>97</v>
      </c>
      <c r="E1376" t="s">
        <v>98</v>
      </c>
      <c r="F1376" t="s">
        <v>99</v>
      </c>
      <c r="G1376">
        <v>24286</v>
      </c>
      <c r="H1376" t="s">
        <v>351</v>
      </c>
      <c r="I1376">
        <v>2</v>
      </c>
      <c r="J1376" t="s">
        <v>107</v>
      </c>
      <c r="K1376" s="19">
        <v>0.35416666666666669</v>
      </c>
      <c r="L1376" s="19">
        <v>0.6875</v>
      </c>
      <c r="M1376">
        <v>8</v>
      </c>
      <c r="N1376">
        <v>218.93</v>
      </c>
      <c r="O1376">
        <v>72</v>
      </c>
      <c r="P1376">
        <v>76</v>
      </c>
      <c r="Q1376" t="s">
        <v>99</v>
      </c>
      <c r="R1376">
        <v>30</v>
      </c>
      <c r="S1376" s="19">
        <v>0.54166666666666663</v>
      </c>
      <c r="U1376" s="19"/>
      <c r="V1376" t="s">
        <v>350</v>
      </c>
      <c r="W1376">
        <v>7.5</v>
      </c>
      <c r="X1376" t="s">
        <v>102</v>
      </c>
      <c r="Y1376" t="b">
        <v>0</v>
      </c>
    </row>
    <row r="1377" spans="1:25" x14ac:dyDescent="0.55000000000000004">
      <c r="A1377" t="s">
        <v>94</v>
      </c>
      <c r="B1377" t="s">
        <v>347</v>
      </c>
      <c r="C1377" t="s">
        <v>348</v>
      </c>
      <c r="D1377" t="s">
        <v>97</v>
      </c>
      <c r="E1377" t="s">
        <v>98</v>
      </c>
      <c r="F1377" t="s">
        <v>99</v>
      </c>
      <c r="G1377">
        <v>24286</v>
      </c>
      <c r="H1377" t="s">
        <v>351</v>
      </c>
      <c r="I1377">
        <v>2</v>
      </c>
      <c r="J1377" t="s">
        <v>101</v>
      </c>
      <c r="K1377" s="19">
        <v>0.35416666666666669</v>
      </c>
      <c r="L1377" s="19">
        <v>0.6875</v>
      </c>
      <c r="M1377">
        <v>8</v>
      </c>
      <c r="N1377">
        <v>218.93</v>
      </c>
      <c r="O1377">
        <v>72</v>
      </c>
      <c r="P1377">
        <v>76</v>
      </c>
      <c r="Q1377" t="s">
        <v>99</v>
      </c>
      <c r="R1377">
        <v>30</v>
      </c>
      <c r="S1377" s="19">
        <v>0.54166666666666663</v>
      </c>
      <c r="U1377" s="19">
        <v>0</v>
      </c>
      <c r="V1377" t="s">
        <v>350</v>
      </c>
      <c r="W1377">
        <v>7.5</v>
      </c>
      <c r="X1377" t="s">
        <v>102</v>
      </c>
      <c r="Y1377" t="b">
        <v>0</v>
      </c>
    </row>
    <row r="1378" spans="1:25" x14ac:dyDescent="0.55000000000000004">
      <c r="A1378" t="s">
        <v>94</v>
      </c>
      <c r="B1378" t="s">
        <v>347</v>
      </c>
      <c r="C1378" t="s">
        <v>348</v>
      </c>
      <c r="D1378" t="s">
        <v>97</v>
      </c>
      <c r="E1378" t="s">
        <v>98</v>
      </c>
      <c r="F1378" t="s">
        <v>99</v>
      </c>
      <c r="G1378">
        <v>24286</v>
      </c>
      <c r="H1378" t="s">
        <v>351</v>
      </c>
      <c r="I1378">
        <v>2</v>
      </c>
      <c r="J1378" t="s">
        <v>103</v>
      </c>
      <c r="K1378" s="19">
        <v>0.35416666666666669</v>
      </c>
      <c r="L1378" s="19">
        <v>0.625</v>
      </c>
      <c r="M1378">
        <v>6.5</v>
      </c>
      <c r="N1378">
        <v>175.14</v>
      </c>
      <c r="O1378">
        <v>72</v>
      </c>
      <c r="P1378">
        <v>76</v>
      </c>
      <c r="Q1378" t="s">
        <v>99</v>
      </c>
      <c r="R1378">
        <v>30</v>
      </c>
      <c r="S1378" s="19">
        <v>0.5</v>
      </c>
      <c r="U1378" s="19"/>
      <c r="V1378" t="s">
        <v>99</v>
      </c>
      <c r="W1378">
        <v>6</v>
      </c>
      <c r="X1378" t="s">
        <v>102</v>
      </c>
      <c r="Y1378" t="b">
        <v>0</v>
      </c>
    </row>
    <row r="1379" spans="1:25" x14ac:dyDescent="0.55000000000000004">
      <c r="A1379" t="s">
        <v>94</v>
      </c>
      <c r="B1379" t="s">
        <v>347</v>
      </c>
      <c r="C1379" t="s">
        <v>348</v>
      </c>
      <c r="D1379" t="s">
        <v>97</v>
      </c>
      <c r="E1379" t="s">
        <v>98</v>
      </c>
      <c r="F1379" t="s">
        <v>99</v>
      </c>
      <c r="G1379">
        <v>24286</v>
      </c>
      <c r="H1379" t="s">
        <v>351</v>
      </c>
      <c r="I1379">
        <v>2</v>
      </c>
      <c r="J1379" t="s">
        <v>104</v>
      </c>
      <c r="K1379" s="19">
        <v>0.35416666666666669</v>
      </c>
      <c r="L1379" s="19">
        <v>0.6875</v>
      </c>
      <c r="M1379">
        <v>8</v>
      </c>
      <c r="N1379">
        <v>218.93</v>
      </c>
      <c r="O1379">
        <v>72</v>
      </c>
      <c r="P1379">
        <v>76</v>
      </c>
      <c r="Q1379" t="s">
        <v>99</v>
      </c>
      <c r="R1379">
        <v>30</v>
      </c>
      <c r="S1379" s="19">
        <v>0.54166666666666663</v>
      </c>
      <c r="U1379" s="19">
        <v>0</v>
      </c>
      <c r="V1379" t="s">
        <v>350</v>
      </c>
      <c r="W1379">
        <v>7.5</v>
      </c>
      <c r="X1379" t="s">
        <v>102</v>
      </c>
      <c r="Y1379" t="b">
        <v>0</v>
      </c>
    </row>
    <row r="1380" spans="1:25" x14ac:dyDescent="0.55000000000000004">
      <c r="A1380" t="s">
        <v>94</v>
      </c>
      <c r="B1380" t="s">
        <v>347</v>
      </c>
      <c r="C1380" t="s">
        <v>348</v>
      </c>
      <c r="D1380" t="s">
        <v>97</v>
      </c>
      <c r="E1380" t="s">
        <v>98</v>
      </c>
      <c r="F1380" t="s">
        <v>99</v>
      </c>
      <c r="G1380">
        <v>24286</v>
      </c>
      <c r="H1380" t="s">
        <v>351</v>
      </c>
      <c r="I1380">
        <v>2</v>
      </c>
      <c r="J1380" t="s">
        <v>105</v>
      </c>
      <c r="K1380" s="19">
        <v>0.35416666666666669</v>
      </c>
      <c r="L1380" s="19">
        <v>0.6875</v>
      </c>
      <c r="M1380">
        <v>8</v>
      </c>
      <c r="N1380">
        <v>218.93</v>
      </c>
      <c r="O1380">
        <v>72</v>
      </c>
      <c r="P1380">
        <v>76</v>
      </c>
      <c r="Q1380" t="s">
        <v>99</v>
      </c>
      <c r="R1380">
        <v>30</v>
      </c>
      <c r="S1380" s="19">
        <v>0.54166666666666663</v>
      </c>
      <c r="U1380" s="19">
        <v>0</v>
      </c>
      <c r="V1380" t="s">
        <v>350</v>
      </c>
      <c r="W1380">
        <v>7.5</v>
      </c>
      <c r="X1380" t="s">
        <v>102</v>
      </c>
      <c r="Y1380" t="b">
        <v>0</v>
      </c>
    </row>
    <row r="1381" spans="1:25" x14ac:dyDescent="0.55000000000000004">
      <c r="A1381" t="s">
        <v>94</v>
      </c>
      <c r="B1381" t="s">
        <v>352</v>
      </c>
      <c r="C1381" t="s">
        <v>348</v>
      </c>
      <c r="D1381" t="s">
        <v>111</v>
      </c>
      <c r="E1381" t="s">
        <v>327</v>
      </c>
      <c r="F1381" t="s">
        <v>353</v>
      </c>
      <c r="H1381" t="s">
        <v>99</v>
      </c>
      <c r="I1381">
        <v>1</v>
      </c>
      <c r="J1381" t="s">
        <v>104</v>
      </c>
      <c r="K1381" s="19">
        <v>0.27083333333333331</v>
      </c>
      <c r="L1381" s="19">
        <v>0.625</v>
      </c>
      <c r="M1381">
        <v>8.5</v>
      </c>
      <c r="N1381">
        <v>0</v>
      </c>
      <c r="O1381">
        <v>0</v>
      </c>
      <c r="P1381">
        <v>0</v>
      </c>
      <c r="Q1381" t="s">
        <v>99</v>
      </c>
      <c r="R1381">
        <v>30</v>
      </c>
      <c r="S1381" s="19">
        <v>0.54166666666666663</v>
      </c>
      <c r="U1381" s="19">
        <v>0</v>
      </c>
      <c r="V1381" t="s">
        <v>326</v>
      </c>
      <c r="W1381">
        <v>8</v>
      </c>
      <c r="X1381" t="s">
        <v>102</v>
      </c>
      <c r="Y1381" t="b">
        <v>0</v>
      </c>
    </row>
    <row r="1382" spans="1:25" x14ac:dyDescent="0.55000000000000004">
      <c r="A1382" t="s">
        <v>94</v>
      </c>
      <c r="B1382" t="s">
        <v>352</v>
      </c>
      <c r="C1382" t="s">
        <v>348</v>
      </c>
      <c r="D1382" t="s">
        <v>111</v>
      </c>
      <c r="E1382" t="s">
        <v>327</v>
      </c>
      <c r="F1382" t="s">
        <v>353</v>
      </c>
      <c r="H1382" t="s">
        <v>99</v>
      </c>
      <c r="I1382">
        <v>1</v>
      </c>
      <c r="J1382" t="s">
        <v>105</v>
      </c>
      <c r="K1382" s="19">
        <v>0.27083333333333331</v>
      </c>
      <c r="L1382" s="19">
        <v>0.625</v>
      </c>
      <c r="M1382">
        <v>8.5</v>
      </c>
      <c r="N1382">
        <v>0</v>
      </c>
      <c r="O1382">
        <v>0</v>
      </c>
      <c r="P1382">
        <v>0</v>
      </c>
      <c r="Q1382" t="s">
        <v>99</v>
      </c>
      <c r="R1382">
        <v>30</v>
      </c>
      <c r="S1382" s="19">
        <v>0.54166666666666663</v>
      </c>
      <c r="U1382" s="19">
        <v>0</v>
      </c>
      <c r="V1382" t="s">
        <v>326</v>
      </c>
      <c r="W1382">
        <v>8</v>
      </c>
      <c r="X1382" t="s">
        <v>102</v>
      </c>
      <c r="Y1382" t="b">
        <v>0</v>
      </c>
    </row>
    <row r="1383" spans="1:25" x14ac:dyDescent="0.55000000000000004">
      <c r="A1383" t="s">
        <v>94</v>
      </c>
      <c r="B1383" t="s">
        <v>352</v>
      </c>
      <c r="C1383" t="s">
        <v>348</v>
      </c>
      <c r="D1383" t="s">
        <v>111</v>
      </c>
      <c r="E1383" t="s">
        <v>327</v>
      </c>
      <c r="F1383" t="s">
        <v>353</v>
      </c>
      <c r="H1383" t="s">
        <v>99</v>
      </c>
      <c r="I1383">
        <v>2</v>
      </c>
      <c r="J1383" t="s">
        <v>107</v>
      </c>
      <c r="K1383" s="19">
        <v>0.27083333333333331</v>
      </c>
      <c r="L1383" s="19">
        <v>0.625</v>
      </c>
      <c r="M1383">
        <v>8.5</v>
      </c>
      <c r="N1383">
        <v>0</v>
      </c>
      <c r="O1383">
        <v>0</v>
      </c>
      <c r="P1383">
        <v>0</v>
      </c>
      <c r="Q1383" t="s">
        <v>99</v>
      </c>
      <c r="R1383">
        <v>30</v>
      </c>
      <c r="S1383" s="19">
        <v>0.54166666666666663</v>
      </c>
      <c r="U1383" s="19">
        <v>0</v>
      </c>
      <c r="V1383" t="s">
        <v>326</v>
      </c>
      <c r="W1383">
        <v>8</v>
      </c>
      <c r="X1383" t="s">
        <v>102</v>
      </c>
      <c r="Y1383" t="b">
        <v>0</v>
      </c>
    </row>
    <row r="1384" spans="1:25" x14ac:dyDescent="0.55000000000000004">
      <c r="A1384" t="s">
        <v>94</v>
      </c>
      <c r="B1384" t="s">
        <v>352</v>
      </c>
      <c r="C1384" t="s">
        <v>348</v>
      </c>
      <c r="D1384" t="s">
        <v>111</v>
      </c>
      <c r="E1384" t="s">
        <v>327</v>
      </c>
      <c r="F1384" t="s">
        <v>353</v>
      </c>
      <c r="H1384" t="s">
        <v>99</v>
      </c>
      <c r="I1384">
        <v>2</v>
      </c>
      <c r="J1384" t="s">
        <v>115</v>
      </c>
      <c r="K1384" s="19">
        <v>0.27083333333333331</v>
      </c>
      <c r="L1384" s="19">
        <v>0.625</v>
      </c>
      <c r="M1384">
        <v>8.5</v>
      </c>
      <c r="N1384">
        <v>0</v>
      </c>
      <c r="O1384">
        <v>0</v>
      </c>
      <c r="P1384">
        <v>0</v>
      </c>
      <c r="Q1384" t="s">
        <v>99</v>
      </c>
      <c r="R1384">
        <v>30</v>
      </c>
      <c r="S1384" s="19">
        <v>0.54166666666666663</v>
      </c>
      <c r="U1384" s="19">
        <v>0</v>
      </c>
      <c r="V1384" t="s">
        <v>326</v>
      </c>
      <c r="W1384">
        <v>8</v>
      </c>
      <c r="X1384" t="s">
        <v>102</v>
      </c>
      <c r="Y1384" t="b">
        <v>0</v>
      </c>
    </row>
    <row r="1385" spans="1:25" x14ac:dyDescent="0.55000000000000004">
      <c r="A1385" t="s">
        <v>94</v>
      </c>
      <c r="B1385" t="s">
        <v>352</v>
      </c>
      <c r="C1385" t="s">
        <v>348</v>
      </c>
      <c r="D1385" t="s">
        <v>111</v>
      </c>
      <c r="E1385" t="s">
        <v>327</v>
      </c>
      <c r="F1385" t="s">
        <v>353</v>
      </c>
      <c r="H1385" t="s">
        <v>99</v>
      </c>
      <c r="I1385">
        <v>2</v>
      </c>
      <c r="J1385" t="s">
        <v>103</v>
      </c>
      <c r="K1385" s="19">
        <v>0.27083333333333331</v>
      </c>
      <c r="L1385" s="19">
        <v>0.625</v>
      </c>
      <c r="M1385">
        <v>8.5</v>
      </c>
      <c r="N1385">
        <v>0</v>
      </c>
      <c r="O1385">
        <v>0</v>
      </c>
      <c r="P1385">
        <v>0</v>
      </c>
      <c r="Q1385" t="s">
        <v>99</v>
      </c>
      <c r="R1385">
        <v>30</v>
      </c>
      <c r="S1385" s="19">
        <v>0.54166666666666663</v>
      </c>
      <c r="U1385" s="19">
        <v>0</v>
      </c>
      <c r="V1385" t="s">
        <v>326</v>
      </c>
      <c r="W1385">
        <v>8</v>
      </c>
      <c r="X1385" t="s">
        <v>102</v>
      </c>
      <c r="Y1385" t="b">
        <v>0</v>
      </c>
    </row>
    <row r="1386" spans="1:25" x14ac:dyDescent="0.55000000000000004">
      <c r="A1386" t="s">
        <v>94</v>
      </c>
      <c r="B1386" t="s">
        <v>352</v>
      </c>
      <c r="C1386" t="s">
        <v>348</v>
      </c>
      <c r="D1386" t="s">
        <v>111</v>
      </c>
      <c r="E1386" t="s">
        <v>327</v>
      </c>
      <c r="F1386" t="s">
        <v>353</v>
      </c>
      <c r="G1386">
        <v>12112</v>
      </c>
      <c r="H1386" t="s">
        <v>354</v>
      </c>
      <c r="I1386">
        <v>1</v>
      </c>
      <c r="J1386" t="s">
        <v>107</v>
      </c>
      <c r="K1386" s="19">
        <v>0.27083333333333331</v>
      </c>
      <c r="L1386" s="19">
        <v>0.625</v>
      </c>
      <c r="M1386">
        <v>8.5</v>
      </c>
      <c r="N1386">
        <v>232.4</v>
      </c>
      <c r="O1386">
        <v>50</v>
      </c>
      <c r="P1386">
        <v>76</v>
      </c>
      <c r="Q1386" t="s">
        <v>99</v>
      </c>
      <c r="R1386">
        <v>30</v>
      </c>
      <c r="S1386" s="19">
        <v>0.54166666666666663</v>
      </c>
      <c r="U1386" s="19">
        <v>0</v>
      </c>
      <c r="V1386" t="s">
        <v>326</v>
      </c>
      <c r="W1386">
        <v>8</v>
      </c>
      <c r="X1386" t="s">
        <v>102</v>
      </c>
      <c r="Y1386" t="b">
        <v>0</v>
      </c>
    </row>
    <row r="1387" spans="1:25" x14ac:dyDescent="0.55000000000000004">
      <c r="A1387" t="s">
        <v>94</v>
      </c>
      <c r="B1387" t="s">
        <v>352</v>
      </c>
      <c r="C1387" t="s">
        <v>348</v>
      </c>
      <c r="D1387" t="s">
        <v>111</v>
      </c>
      <c r="E1387" t="s">
        <v>327</v>
      </c>
      <c r="F1387" t="s">
        <v>353</v>
      </c>
      <c r="G1387">
        <v>12112</v>
      </c>
      <c r="H1387" t="s">
        <v>354</v>
      </c>
      <c r="I1387">
        <v>1</v>
      </c>
      <c r="J1387" t="s">
        <v>101</v>
      </c>
      <c r="K1387" s="19">
        <v>0.27083333333333331</v>
      </c>
      <c r="L1387" s="19">
        <v>0.625</v>
      </c>
      <c r="M1387">
        <v>8.5</v>
      </c>
      <c r="N1387">
        <v>232.4</v>
      </c>
      <c r="O1387">
        <v>50</v>
      </c>
      <c r="P1387">
        <v>76</v>
      </c>
      <c r="Q1387" t="s">
        <v>99</v>
      </c>
      <c r="R1387">
        <v>30</v>
      </c>
      <c r="S1387" s="19">
        <v>0.54166666666666663</v>
      </c>
      <c r="U1387" s="19">
        <v>0</v>
      </c>
      <c r="V1387" t="s">
        <v>326</v>
      </c>
      <c r="W1387">
        <v>8</v>
      </c>
      <c r="X1387" t="s">
        <v>102</v>
      </c>
      <c r="Y1387" t="b">
        <v>0</v>
      </c>
    </row>
    <row r="1388" spans="1:25" x14ac:dyDescent="0.55000000000000004">
      <c r="A1388" t="s">
        <v>94</v>
      </c>
      <c r="B1388" t="s">
        <v>352</v>
      </c>
      <c r="C1388" t="s">
        <v>348</v>
      </c>
      <c r="D1388" t="s">
        <v>111</v>
      </c>
      <c r="E1388" t="s">
        <v>327</v>
      </c>
      <c r="F1388" t="s">
        <v>353</v>
      </c>
      <c r="G1388">
        <v>12112</v>
      </c>
      <c r="H1388" t="s">
        <v>354</v>
      </c>
      <c r="I1388">
        <v>1</v>
      </c>
      <c r="J1388" t="s">
        <v>115</v>
      </c>
      <c r="K1388" s="19">
        <v>0.27083333333333331</v>
      </c>
      <c r="L1388" s="19">
        <v>0.625</v>
      </c>
      <c r="M1388">
        <v>8.5</v>
      </c>
      <c r="N1388">
        <v>348.6</v>
      </c>
      <c r="O1388">
        <v>50</v>
      </c>
      <c r="P1388">
        <v>76</v>
      </c>
      <c r="Q1388" t="s">
        <v>99</v>
      </c>
      <c r="R1388">
        <v>30</v>
      </c>
      <c r="S1388" s="19">
        <v>0.54166666666666663</v>
      </c>
      <c r="U1388" s="19">
        <v>0</v>
      </c>
      <c r="V1388" t="s">
        <v>326</v>
      </c>
      <c r="W1388">
        <v>8</v>
      </c>
      <c r="X1388" t="s">
        <v>102</v>
      </c>
      <c r="Y1388" t="b">
        <v>0</v>
      </c>
    </row>
    <row r="1389" spans="1:25" x14ac:dyDescent="0.55000000000000004">
      <c r="A1389" t="s">
        <v>94</v>
      </c>
      <c r="B1389" t="s">
        <v>352</v>
      </c>
      <c r="C1389" t="s">
        <v>348</v>
      </c>
      <c r="D1389" t="s">
        <v>111</v>
      </c>
      <c r="E1389" t="s">
        <v>327</v>
      </c>
      <c r="F1389" t="s">
        <v>353</v>
      </c>
      <c r="G1389">
        <v>12112</v>
      </c>
      <c r="H1389" t="s">
        <v>354</v>
      </c>
      <c r="I1389">
        <v>1</v>
      </c>
      <c r="J1389" t="s">
        <v>116</v>
      </c>
      <c r="K1389" s="19">
        <v>0.27083333333333331</v>
      </c>
      <c r="L1389" s="19">
        <v>0.625</v>
      </c>
      <c r="M1389">
        <v>8.5</v>
      </c>
      <c r="N1389">
        <v>406.7</v>
      </c>
      <c r="O1389">
        <v>50</v>
      </c>
      <c r="P1389">
        <v>76</v>
      </c>
      <c r="Q1389" t="s">
        <v>99</v>
      </c>
      <c r="R1389">
        <v>30</v>
      </c>
      <c r="S1389" s="19">
        <v>0.54166666666666663</v>
      </c>
      <c r="U1389" s="19">
        <v>0</v>
      </c>
      <c r="V1389" t="s">
        <v>326</v>
      </c>
      <c r="W1389">
        <v>8</v>
      </c>
      <c r="X1389" t="s">
        <v>102</v>
      </c>
      <c r="Y1389" t="b">
        <v>0</v>
      </c>
    </row>
    <row r="1390" spans="1:25" x14ac:dyDescent="0.55000000000000004">
      <c r="A1390" t="s">
        <v>94</v>
      </c>
      <c r="B1390" t="s">
        <v>352</v>
      </c>
      <c r="C1390" t="s">
        <v>348</v>
      </c>
      <c r="D1390" t="s">
        <v>111</v>
      </c>
      <c r="E1390" t="s">
        <v>327</v>
      </c>
      <c r="F1390" t="s">
        <v>353</v>
      </c>
      <c r="G1390">
        <v>12112</v>
      </c>
      <c r="H1390" t="s">
        <v>354</v>
      </c>
      <c r="I1390">
        <v>1</v>
      </c>
      <c r="J1390" t="s">
        <v>103</v>
      </c>
      <c r="K1390" s="19">
        <v>0.27083333333333331</v>
      </c>
      <c r="L1390" s="19">
        <v>0.625</v>
      </c>
      <c r="M1390">
        <v>8.5</v>
      </c>
      <c r="N1390">
        <v>232.4</v>
      </c>
      <c r="O1390">
        <v>50</v>
      </c>
      <c r="P1390">
        <v>76</v>
      </c>
      <c r="Q1390" t="s">
        <v>99</v>
      </c>
      <c r="R1390">
        <v>30</v>
      </c>
      <c r="S1390" s="19">
        <v>0.54166666666666663</v>
      </c>
      <c r="U1390" s="19">
        <v>0</v>
      </c>
      <c r="V1390" t="s">
        <v>326</v>
      </c>
      <c r="W1390">
        <v>8</v>
      </c>
      <c r="X1390" t="s">
        <v>102</v>
      </c>
      <c r="Y1390" t="b">
        <v>0</v>
      </c>
    </row>
    <row r="1391" spans="1:25" x14ac:dyDescent="0.55000000000000004">
      <c r="A1391" t="s">
        <v>94</v>
      </c>
      <c r="B1391" t="s">
        <v>352</v>
      </c>
      <c r="C1391" t="s">
        <v>348</v>
      </c>
      <c r="D1391" t="s">
        <v>111</v>
      </c>
      <c r="E1391" t="s">
        <v>327</v>
      </c>
      <c r="F1391" t="s">
        <v>353</v>
      </c>
      <c r="G1391">
        <v>12112</v>
      </c>
      <c r="H1391" t="s">
        <v>354</v>
      </c>
      <c r="I1391">
        <v>2</v>
      </c>
      <c r="J1391" t="s">
        <v>101</v>
      </c>
      <c r="K1391" s="19">
        <v>0.27083333333333331</v>
      </c>
      <c r="L1391" s="19">
        <v>0.625</v>
      </c>
      <c r="M1391">
        <v>8.5</v>
      </c>
      <c r="N1391">
        <v>232.4</v>
      </c>
      <c r="O1391">
        <v>50</v>
      </c>
      <c r="P1391">
        <v>76</v>
      </c>
      <c r="Q1391" t="s">
        <v>99</v>
      </c>
      <c r="R1391">
        <v>30</v>
      </c>
      <c r="S1391" s="19">
        <v>0.54166666666666663</v>
      </c>
      <c r="U1391" s="19">
        <v>0</v>
      </c>
      <c r="V1391" t="s">
        <v>326</v>
      </c>
      <c r="W1391">
        <v>8</v>
      </c>
      <c r="X1391" t="s">
        <v>102</v>
      </c>
      <c r="Y1391" t="b">
        <v>0</v>
      </c>
    </row>
    <row r="1392" spans="1:25" x14ac:dyDescent="0.55000000000000004">
      <c r="A1392" t="s">
        <v>94</v>
      </c>
      <c r="B1392" t="s">
        <v>352</v>
      </c>
      <c r="C1392" t="s">
        <v>348</v>
      </c>
      <c r="D1392" t="s">
        <v>111</v>
      </c>
      <c r="E1392" t="s">
        <v>327</v>
      </c>
      <c r="F1392" t="s">
        <v>353</v>
      </c>
      <c r="G1392">
        <v>12112</v>
      </c>
      <c r="H1392" t="s">
        <v>354</v>
      </c>
      <c r="I1392">
        <v>2</v>
      </c>
      <c r="J1392" t="s">
        <v>116</v>
      </c>
      <c r="K1392" s="19">
        <v>0.27083333333333331</v>
      </c>
      <c r="L1392" s="19">
        <v>0.625</v>
      </c>
      <c r="M1392">
        <v>8.5</v>
      </c>
      <c r="N1392">
        <v>406.7</v>
      </c>
      <c r="O1392">
        <v>50</v>
      </c>
      <c r="P1392">
        <v>76</v>
      </c>
      <c r="Q1392" t="s">
        <v>99</v>
      </c>
      <c r="R1392">
        <v>30</v>
      </c>
      <c r="S1392" s="19">
        <v>0.54166666666666663</v>
      </c>
      <c r="U1392" s="19">
        <v>0</v>
      </c>
      <c r="V1392" t="s">
        <v>326</v>
      </c>
      <c r="W1392">
        <v>8</v>
      </c>
      <c r="X1392" t="s">
        <v>102</v>
      </c>
      <c r="Y1392" t="b">
        <v>0</v>
      </c>
    </row>
    <row r="1393" spans="1:25" x14ac:dyDescent="0.55000000000000004">
      <c r="A1393" t="s">
        <v>94</v>
      </c>
      <c r="B1393" t="s">
        <v>352</v>
      </c>
      <c r="C1393" t="s">
        <v>348</v>
      </c>
      <c r="D1393" t="s">
        <v>111</v>
      </c>
      <c r="E1393" t="s">
        <v>327</v>
      </c>
      <c r="F1393" t="s">
        <v>353</v>
      </c>
      <c r="G1393">
        <v>12112</v>
      </c>
      <c r="H1393" t="s">
        <v>354</v>
      </c>
      <c r="I1393">
        <v>2</v>
      </c>
      <c r="J1393" t="s">
        <v>104</v>
      </c>
      <c r="K1393" s="19">
        <v>0.27083333333333331</v>
      </c>
      <c r="L1393" s="19">
        <v>0.625</v>
      </c>
      <c r="M1393">
        <v>8.5</v>
      </c>
      <c r="N1393">
        <v>232.4</v>
      </c>
      <c r="O1393">
        <v>50</v>
      </c>
      <c r="P1393">
        <v>76</v>
      </c>
      <c r="Q1393" t="s">
        <v>99</v>
      </c>
      <c r="R1393">
        <v>30</v>
      </c>
      <c r="S1393" s="19">
        <v>0.54166666666666663</v>
      </c>
      <c r="U1393" s="19">
        <v>0</v>
      </c>
      <c r="V1393" t="s">
        <v>326</v>
      </c>
      <c r="W1393">
        <v>8</v>
      </c>
      <c r="X1393" t="s">
        <v>102</v>
      </c>
      <c r="Y1393" t="b">
        <v>0</v>
      </c>
    </row>
    <row r="1394" spans="1:25" x14ac:dyDescent="0.55000000000000004">
      <c r="A1394" t="s">
        <v>94</v>
      </c>
      <c r="B1394" t="s">
        <v>352</v>
      </c>
      <c r="C1394" t="s">
        <v>348</v>
      </c>
      <c r="D1394" t="s">
        <v>111</v>
      </c>
      <c r="E1394" t="s">
        <v>327</v>
      </c>
      <c r="F1394" t="s">
        <v>353</v>
      </c>
      <c r="G1394">
        <v>12112</v>
      </c>
      <c r="H1394" t="s">
        <v>354</v>
      </c>
      <c r="I1394">
        <v>2</v>
      </c>
      <c r="J1394" t="s">
        <v>105</v>
      </c>
      <c r="K1394" s="19">
        <v>0.27083333333333331</v>
      </c>
      <c r="L1394" s="19">
        <v>0.625</v>
      </c>
      <c r="M1394">
        <v>8.5</v>
      </c>
      <c r="N1394">
        <v>232.4</v>
      </c>
      <c r="O1394">
        <v>50</v>
      </c>
      <c r="P1394">
        <v>76</v>
      </c>
      <c r="Q1394" t="s">
        <v>99</v>
      </c>
      <c r="R1394">
        <v>30</v>
      </c>
      <c r="S1394" s="19">
        <v>0.54166666666666663</v>
      </c>
      <c r="U1394" s="19">
        <v>0</v>
      </c>
      <c r="V1394" t="s">
        <v>326</v>
      </c>
      <c r="W1394">
        <v>8</v>
      </c>
      <c r="X1394" t="s">
        <v>102</v>
      </c>
      <c r="Y1394" t="b">
        <v>0</v>
      </c>
    </row>
    <row r="1395" spans="1:25" x14ac:dyDescent="0.55000000000000004">
      <c r="A1395" t="s">
        <v>94</v>
      </c>
      <c r="B1395" t="s">
        <v>352</v>
      </c>
      <c r="C1395" t="s">
        <v>348</v>
      </c>
      <c r="D1395" t="s">
        <v>111</v>
      </c>
      <c r="E1395" t="s">
        <v>335</v>
      </c>
      <c r="F1395" t="s">
        <v>99</v>
      </c>
      <c r="H1395" t="s">
        <v>99</v>
      </c>
      <c r="I1395">
        <v>1</v>
      </c>
      <c r="J1395" t="s">
        <v>101</v>
      </c>
      <c r="K1395" s="19">
        <v>0.29166666666666669</v>
      </c>
      <c r="L1395" s="19">
        <v>0.45833333333333331</v>
      </c>
      <c r="M1395">
        <v>4</v>
      </c>
      <c r="N1395">
        <v>0</v>
      </c>
      <c r="O1395">
        <v>0</v>
      </c>
      <c r="P1395">
        <v>0</v>
      </c>
      <c r="Q1395" t="s">
        <v>99</v>
      </c>
      <c r="S1395" s="19"/>
      <c r="U1395" s="19"/>
      <c r="V1395" t="s">
        <v>99</v>
      </c>
      <c r="W1395">
        <v>4</v>
      </c>
      <c r="X1395" t="s">
        <v>102</v>
      </c>
      <c r="Y1395" t="b">
        <v>0</v>
      </c>
    </row>
    <row r="1396" spans="1:25" x14ac:dyDescent="0.55000000000000004">
      <c r="A1396" t="s">
        <v>94</v>
      </c>
      <c r="B1396" t="s">
        <v>352</v>
      </c>
      <c r="C1396" t="s">
        <v>348</v>
      </c>
      <c r="D1396" t="s">
        <v>111</v>
      </c>
      <c r="E1396" t="s">
        <v>335</v>
      </c>
      <c r="F1396" t="s">
        <v>99</v>
      </c>
      <c r="H1396" t="s">
        <v>99</v>
      </c>
      <c r="I1396">
        <v>2</v>
      </c>
      <c r="J1396" t="s">
        <v>101</v>
      </c>
      <c r="K1396" s="19">
        <v>0.29166666666666669</v>
      </c>
      <c r="L1396" s="19">
        <v>0.45833333333333331</v>
      </c>
      <c r="M1396">
        <v>4</v>
      </c>
      <c r="N1396">
        <v>0</v>
      </c>
      <c r="O1396">
        <v>0</v>
      </c>
      <c r="P1396">
        <v>0</v>
      </c>
      <c r="Q1396" t="s">
        <v>99</v>
      </c>
      <c r="S1396" s="19"/>
      <c r="U1396" s="19"/>
      <c r="V1396" t="s">
        <v>99</v>
      </c>
      <c r="W1396">
        <v>4</v>
      </c>
      <c r="X1396" t="s">
        <v>102</v>
      </c>
      <c r="Y1396" t="b">
        <v>0</v>
      </c>
    </row>
    <row r="1397" spans="1:25" x14ac:dyDescent="0.55000000000000004">
      <c r="A1397" t="s">
        <v>94</v>
      </c>
      <c r="B1397" t="s">
        <v>352</v>
      </c>
      <c r="C1397" t="s">
        <v>348</v>
      </c>
      <c r="D1397" t="s">
        <v>111</v>
      </c>
      <c r="E1397" t="s">
        <v>335</v>
      </c>
      <c r="F1397" t="s">
        <v>353</v>
      </c>
      <c r="H1397" t="s">
        <v>99</v>
      </c>
      <c r="I1397">
        <v>1</v>
      </c>
      <c r="J1397" t="s">
        <v>103</v>
      </c>
      <c r="K1397" s="19">
        <v>0.45833333333333331</v>
      </c>
      <c r="L1397" s="19">
        <v>0.8125</v>
      </c>
      <c r="M1397">
        <v>8.5</v>
      </c>
      <c r="N1397">
        <v>0</v>
      </c>
      <c r="O1397">
        <v>0</v>
      </c>
      <c r="P1397">
        <v>0</v>
      </c>
      <c r="Q1397" t="s">
        <v>99</v>
      </c>
      <c r="R1397">
        <v>30</v>
      </c>
      <c r="S1397" s="19">
        <v>0.54166666666666663</v>
      </c>
      <c r="U1397" s="19">
        <v>0</v>
      </c>
      <c r="V1397" t="s">
        <v>336</v>
      </c>
      <c r="W1397">
        <v>8</v>
      </c>
      <c r="X1397" t="s">
        <v>102</v>
      </c>
      <c r="Y1397" t="b">
        <v>0</v>
      </c>
    </row>
    <row r="1398" spans="1:25" x14ac:dyDescent="0.55000000000000004">
      <c r="A1398" t="s">
        <v>94</v>
      </c>
      <c r="B1398" t="s">
        <v>352</v>
      </c>
      <c r="C1398" t="s">
        <v>348</v>
      </c>
      <c r="D1398" t="s">
        <v>111</v>
      </c>
      <c r="E1398" t="s">
        <v>335</v>
      </c>
      <c r="F1398" t="s">
        <v>353</v>
      </c>
      <c r="H1398" t="s">
        <v>99</v>
      </c>
      <c r="I1398">
        <v>1</v>
      </c>
      <c r="J1398" t="s">
        <v>105</v>
      </c>
      <c r="K1398" s="19">
        <v>0.45833333333333331</v>
      </c>
      <c r="L1398" s="19">
        <v>0.8125</v>
      </c>
      <c r="M1398">
        <v>8.5</v>
      </c>
      <c r="N1398">
        <v>0</v>
      </c>
      <c r="O1398">
        <v>0</v>
      </c>
      <c r="P1398">
        <v>0</v>
      </c>
      <c r="Q1398" t="s">
        <v>99</v>
      </c>
      <c r="R1398">
        <v>30</v>
      </c>
      <c r="S1398" s="19">
        <v>0.54166666666666663</v>
      </c>
      <c r="U1398" s="19">
        <v>0</v>
      </c>
      <c r="V1398" t="s">
        <v>336</v>
      </c>
      <c r="W1398">
        <v>8</v>
      </c>
      <c r="X1398" t="s">
        <v>102</v>
      </c>
      <c r="Y1398" t="b">
        <v>0</v>
      </c>
    </row>
    <row r="1399" spans="1:25" x14ac:dyDescent="0.55000000000000004">
      <c r="A1399" t="s">
        <v>94</v>
      </c>
      <c r="B1399" t="s">
        <v>352</v>
      </c>
      <c r="C1399" t="s">
        <v>348</v>
      </c>
      <c r="D1399" t="s">
        <v>111</v>
      </c>
      <c r="E1399" t="s">
        <v>335</v>
      </c>
      <c r="F1399" t="s">
        <v>353</v>
      </c>
      <c r="H1399" t="s">
        <v>99</v>
      </c>
      <c r="I1399">
        <v>2</v>
      </c>
      <c r="J1399" t="s">
        <v>105</v>
      </c>
      <c r="K1399" s="19">
        <v>0.45833333333333331</v>
      </c>
      <c r="L1399" s="19">
        <v>0.8125</v>
      </c>
      <c r="M1399">
        <v>8.5</v>
      </c>
      <c r="N1399">
        <v>0</v>
      </c>
      <c r="O1399">
        <v>0</v>
      </c>
      <c r="P1399">
        <v>0</v>
      </c>
      <c r="Q1399" t="s">
        <v>99</v>
      </c>
      <c r="R1399">
        <v>30</v>
      </c>
      <c r="S1399" s="19">
        <v>0.54166666666666663</v>
      </c>
      <c r="U1399" s="19">
        <v>0</v>
      </c>
      <c r="V1399" t="s">
        <v>336</v>
      </c>
      <c r="W1399">
        <v>8</v>
      </c>
      <c r="X1399" t="s">
        <v>102</v>
      </c>
      <c r="Y1399" t="b">
        <v>0</v>
      </c>
    </row>
    <row r="1400" spans="1:25" x14ac:dyDescent="0.55000000000000004">
      <c r="A1400" t="s">
        <v>94</v>
      </c>
      <c r="B1400" t="s">
        <v>352</v>
      </c>
      <c r="C1400" t="s">
        <v>348</v>
      </c>
      <c r="D1400" t="s">
        <v>111</v>
      </c>
      <c r="E1400" t="s">
        <v>335</v>
      </c>
      <c r="F1400" t="s">
        <v>353</v>
      </c>
      <c r="G1400">
        <v>15398</v>
      </c>
      <c r="H1400" t="s">
        <v>355</v>
      </c>
      <c r="I1400">
        <v>1</v>
      </c>
      <c r="J1400" t="s">
        <v>101</v>
      </c>
      <c r="K1400" s="19">
        <v>0.45833333333333331</v>
      </c>
      <c r="L1400" s="19">
        <v>0.8125</v>
      </c>
      <c r="M1400">
        <v>8.5</v>
      </c>
      <c r="N1400">
        <v>232.4</v>
      </c>
      <c r="O1400">
        <v>32</v>
      </c>
      <c r="P1400">
        <v>76</v>
      </c>
      <c r="Q1400" t="s">
        <v>99</v>
      </c>
      <c r="R1400">
        <v>30</v>
      </c>
      <c r="S1400" s="19">
        <v>0.54166666666666663</v>
      </c>
      <c r="U1400" s="19"/>
      <c r="V1400" t="s">
        <v>336</v>
      </c>
      <c r="W1400">
        <v>8</v>
      </c>
      <c r="X1400" t="s">
        <v>102</v>
      </c>
      <c r="Y1400" t="b">
        <v>0</v>
      </c>
    </row>
    <row r="1401" spans="1:25" x14ac:dyDescent="0.55000000000000004">
      <c r="A1401" t="s">
        <v>94</v>
      </c>
      <c r="B1401" t="s">
        <v>352</v>
      </c>
      <c r="C1401" t="s">
        <v>348</v>
      </c>
      <c r="D1401" t="s">
        <v>111</v>
      </c>
      <c r="E1401" t="s">
        <v>335</v>
      </c>
      <c r="F1401" t="s">
        <v>353</v>
      </c>
      <c r="G1401">
        <v>15398</v>
      </c>
      <c r="H1401" t="s">
        <v>355</v>
      </c>
      <c r="I1401">
        <v>1</v>
      </c>
      <c r="J1401" t="s">
        <v>104</v>
      </c>
      <c r="K1401" s="19">
        <v>0.45833333333333331</v>
      </c>
      <c r="L1401" s="19">
        <v>0.8125</v>
      </c>
      <c r="M1401">
        <v>8.5</v>
      </c>
      <c r="N1401">
        <v>232.4</v>
      </c>
      <c r="O1401">
        <v>32</v>
      </c>
      <c r="P1401">
        <v>76</v>
      </c>
      <c r="Q1401" t="s">
        <v>99</v>
      </c>
      <c r="R1401">
        <v>30</v>
      </c>
      <c r="S1401" s="19">
        <v>0.54166666666666663</v>
      </c>
      <c r="U1401" s="19">
        <v>0</v>
      </c>
      <c r="V1401" t="s">
        <v>336</v>
      </c>
      <c r="W1401">
        <v>8</v>
      </c>
      <c r="X1401" t="s">
        <v>102</v>
      </c>
      <c r="Y1401" t="b">
        <v>0</v>
      </c>
    </row>
    <row r="1402" spans="1:25" x14ac:dyDescent="0.55000000000000004">
      <c r="A1402" t="s">
        <v>94</v>
      </c>
      <c r="B1402" t="s">
        <v>352</v>
      </c>
      <c r="C1402" t="s">
        <v>348</v>
      </c>
      <c r="D1402" t="s">
        <v>111</v>
      </c>
      <c r="E1402" t="s">
        <v>335</v>
      </c>
      <c r="F1402" t="s">
        <v>353</v>
      </c>
      <c r="G1402">
        <v>15398</v>
      </c>
      <c r="H1402" t="s">
        <v>355</v>
      </c>
      <c r="I1402">
        <v>2</v>
      </c>
      <c r="J1402" t="s">
        <v>101</v>
      </c>
      <c r="K1402" s="19">
        <v>0.45833333333333331</v>
      </c>
      <c r="L1402" s="19">
        <v>0.8125</v>
      </c>
      <c r="M1402">
        <v>8.5</v>
      </c>
      <c r="N1402">
        <v>232.4</v>
      </c>
      <c r="O1402">
        <v>32</v>
      </c>
      <c r="P1402">
        <v>76</v>
      </c>
      <c r="Q1402" t="s">
        <v>99</v>
      </c>
      <c r="R1402">
        <v>30</v>
      </c>
      <c r="S1402" s="19">
        <v>0.54166666666666663</v>
      </c>
      <c r="U1402" s="19">
        <v>0</v>
      </c>
      <c r="V1402" t="s">
        <v>336</v>
      </c>
      <c r="W1402">
        <v>8</v>
      </c>
      <c r="X1402" t="s">
        <v>102</v>
      </c>
      <c r="Y1402" t="b">
        <v>0</v>
      </c>
    </row>
    <row r="1403" spans="1:25" x14ac:dyDescent="0.55000000000000004">
      <c r="A1403" t="s">
        <v>94</v>
      </c>
      <c r="B1403" t="s">
        <v>352</v>
      </c>
      <c r="C1403" t="s">
        <v>348</v>
      </c>
      <c r="D1403" t="s">
        <v>111</v>
      </c>
      <c r="E1403" t="s">
        <v>335</v>
      </c>
      <c r="F1403" t="s">
        <v>353</v>
      </c>
      <c r="G1403">
        <v>15398</v>
      </c>
      <c r="H1403" t="s">
        <v>355</v>
      </c>
      <c r="I1403">
        <v>2</v>
      </c>
      <c r="J1403" t="s">
        <v>104</v>
      </c>
      <c r="K1403" s="19">
        <v>0.45833333333333331</v>
      </c>
      <c r="L1403" s="19">
        <v>0.8125</v>
      </c>
      <c r="M1403">
        <v>8.5</v>
      </c>
      <c r="N1403">
        <v>232.4</v>
      </c>
      <c r="O1403">
        <v>32</v>
      </c>
      <c r="P1403">
        <v>76</v>
      </c>
      <c r="Q1403" t="s">
        <v>99</v>
      </c>
      <c r="R1403">
        <v>30</v>
      </c>
      <c r="S1403" s="19">
        <v>0.54166666666666663</v>
      </c>
      <c r="U1403" s="19">
        <v>0</v>
      </c>
      <c r="V1403" t="s">
        <v>336</v>
      </c>
      <c r="W1403">
        <v>8</v>
      </c>
      <c r="X1403" t="s">
        <v>102</v>
      </c>
      <c r="Y1403" t="b">
        <v>0</v>
      </c>
    </row>
    <row r="1404" spans="1:25" x14ac:dyDescent="0.55000000000000004">
      <c r="A1404" t="s">
        <v>94</v>
      </c>
      <c r="B1404" t="s">
        <v>352</v>
      </c>
      <c r="C1404" t="s">
        <v>348</v>
      </c>
      <c r="D1404" t="s">
        <v>111</v>
      </c>
      <c r="E1404" t="s">
        <v>335</v>
      </c>
      <c r="F1404" t="s">
        <v>353</v>
      </c>
      <c r="G1404">
        <v>22393</v>
      </c>
      <c r="H1404" t="s">
        <v>356</v>
      </c>
      <c r="I1404">
        <v>1</v>
      </c>
      <c r="J1404" t="s">
        <v>107</v>
      </c>
      <c r="K1404" s="19">
        <v>0.45833333333333331</v>
      </c>
      <c r="L1404" s="19">
        <v>0.8125</v>
      </c>
      <c r="M1404">
        <v>8.5</v>
      </c>
      <c r="N1404">
        <v>211.04</v>
      </c>
      <c r="O1404">
        <v>40</v>
      </c>
      <c r="P1404">
        <v>76</v>
      </c>
      <c r="Q1404" t="s">
        <v>99</v>
      </c>
      <c r="R1404">
        <v>30</v>
      </c>
      <c r="S1404" s="19">
        <v>0.54166666666666663</v>
      </c>
      <c r="U1404" s="19">
        <v>0</v>
      </c>
      <c r="V1404" t="s">
        <v>336</v>
      </c>
      <c r="W1404">
        <v>8</v>
      </c>
      <c r="X1404" t="s">
        <v>102</v>
      </c>
      <c r="Y1404" t="b">
        <v>0</v>
      </c>
    </row>
    <row r="1405" spans="1:25" x14ac:dyDescent="0.55000000000000004">
      <c r="A1405" t="s">
        <v>94</v>
      </c>
      <c r="B1405" t="s">
        <v>352</v>
      </c>
      <c r="C1405" t="s">
        <v>348</v>
      </c>
      <c r="D1405" t="s">
        <v>111</v>
      </c>
      <c r="E1405" t="s">
        <v>335</v>
      </c>
      <c r="F1405" t="s">
        <v>353</v>
      </c>
      <c r="G1405">
        <v>22393</v>
      </c>
      <c r="H1405" t="s">
        <v>356</v>
      </c>
      <c r="I1405">
        <v>1</v>
      </c>
      <c r="J1405" t="s">
        <v>115</v>
      </c>
      <c r="K1405" s="19">
        <v>0.45833333333333331</v>
      </c>
      <c r="L1405" s="19">
        <v>0.8125</v>
      </c>
      <c r="M1405">
        <v>8.5</v>
      </c>
      <c r="N1405">
        <v>316.56</v>
      </c>
      <c r="O1405">
        <v>40</v>
      </c>
      <c r="P1405">
        <v>76</v>
      </c>
      <c r="Q1405" t="s">
        <v>99</v>
      </c>
      <c r="R1405">
        <v>30</v>
      </c>
      <c r="S1405" s="19">
        <v>0.54166666666666663</v>
      </c>
      <c r="U1405" s="19">
        <v>0</v>
      </c>
      <c r="V1405" t="s">
        <v>336</v>
      </c>
      <c r="W1405">
        <v>8</v>
      </c>
      <c r="X1405" t="s">
        <v>102</v>
      </c>
      <c r="Y1405" t="b">
        <v>0</v>
      </c>
    </row>
    <row r="1406" spans="1:25" x14ac:dyDescent="0.55000000000000004">
      <c r="A1406" t="s">
        <v>94</v>
      </c>
      <c r="B1406" t="s">
        <v>352</v>
      </c>
      <c r="C1406" t="s">
        <v>348</v>
      </c>
      <c r="D1406" t="s">
        <v>111</v>
      </c>
      <c r="E1406" t="s">
        <v>335</v>
      </c>
      <c r="F1406" t="s">
        <v>353</v>
      </c>
      <c r="G1406">
        <v>22393</v>
      </c>
      <c r="H1406" t="s">
        <v>356</v>
      </c>
      <c r="I1406">
        <v>1</v>
      </c>
      <c r="J1406" t="s">
        <v>116</v>
      </c>
      <c r="K1406" s="19">
        <v>0.45833333333333331</v>
      </c>
      <c r="L1406" s="19">
        <v>0.8125</v>
      </c>
      <c r="M1406">
        <v>8.5</v>
      </c>
      <c r="N1406">
        <v>369.32</v>
      </c>
      <c r="O1406">
        <v>40</v>
      </c>
      <c r="P1406">
        <v>76</v>
      </c>
      <c r="Q1406" t="s">
        <v>99</v>
      </c>
      <c r="R1406">
        <v>30</v>
      </c>
      <c r="S1406" s="19">
        <v>0.54166666666666663</v>
      </c>
      <c r="U1406" s="19">
        <v>0</v>
      </c>
      <c r="V1406" t="s">
        <v>336</v>
      </c>
      <c r="W1406">
        <v>8</v>
      </c>
      <c r="X1406" t="s">
        <v>102</v>
      </c>
      <c r="Y1406" t="b">
        <v>0</v>
      </c>
    </row>
    <row r="1407" spans="1:25" x14ac:dyDescent="0.55000000000000004">
      <c r="A1407" t="s">
        <v>94</v>
      </c>
      <c r="B1407" t="s">
        <v>352</v>
      </c>
      <c r="C1407" t="s">
        <v>348</v>
      </c>
      <c r="D1407" t="s">
        <v>111</v>
      </c>
      <c r="E1407" t="s">
        <v>335</v>
      </c>
      <c r="F1407" t="s">
        <v>353</v>
      </c>
      <c r="G1407">
        <v>22393</v>
      </c>
      <c r="H1407" t="s">
        <v>356</v>
      </c>
      <c r="I1407">
        <v>2</v>
      </c>
      <c r="J1407" t="s">
        <v>107</v>
      </c>
      <c r="K1407" s="19">
        <v>0.45833333333333331</v>
      </c>
      <c r="L1407" s="19">
        <v>0.8125</v>
      </c>
      <c r="M1407">
        <v>8.5</v>
      </c>
      <c r="N1407">
        <v>211.04</v>
      </c>
      <c r="O1407">
        <v>40</v>
      </c>
      <c r="P1407">
        <v>76</v>
      </c>
      <c r="Q1407" t="s">
        <v>99</v>
      </c>
      <c r="R1407">
        <v>30</v>
      </c>
      <c r="S1407" s="19">
        <v>0.54166666666666663</v>
      </c>
      <c r="U1407" s="19">
        <v>0</v>
      </c>
      <c r="V1407" t="s">
        <v>336</v>
      </c>
      <c r="W1407">
        <v>8</v>
      </c>
      <c r="X1407" t="s">
        <v>102</v>
      </c>
      <c r="Y1407" t="b">
        <v>0</v>
      </c>
    </row>
    <row r="1408" spans="1:25" x14ac:dyDescent="0.55000000000000004">
      <c r="A1408" t="s">
        <v>94</v>
      </c>
      <c r="B1408" t="s">
        <v>352</v>
      </c>
      <c r="C1408" t="s">
        <v>348</v>
      </c>
      <c r="D1408" t="s">
        <v>111</v>
      </c>
      <c r="E1408" t="s">
        <v>335</v>
      </c>
      <c r="F1408" t="s">
        <v>353</v>
      </c>
      <c r="G1408">
        <v>22393</v>
      </c>
      <c r="H1408" t="s">
        <v>356</v>
      </c>
      <c r="I1408">
        <v>2</v>
      </c>
      <c r="J1408" t="s">
        <v>115</v>
      </c>
      <c r="K1408" s="19">
        <v>0.45833333333333331</v>
      </c>
      <c r="L1408" s="19">
        <v>0.8125</v>
      </c>
      <c r="M1408">
        <v>8.5</v>
      </c>
      <c r="N1408">
        <v>316.56</v>
      </c>
      <c r="O1408">
        <v>40</v>
      </c>
      <c r="P1408">
        <v>76</v>
      </c>
      <c r="Q1408" t="s">
        <v>99</v>
      </c>
      <c r="R1408">
        <v>30</v>
      </c>
      <c r="S1408" s="19">
        <v>0.54166666666666663</v>
      </c>
      <c r="U1408" s="19">
        <v>0</v>
      </c>
      <c r="V1408" t="s">
        <v>336</v>
      </c>
      <c r="W1408">
        <v>8</v>
      </c>
      <c r="X1408" t="s">
        <v>102</v>
      </c>
      <c r="Y1408" t="b">
        <v>0</v>
      </c>
    </row>
    <row r="1409" spans="1:25" x14ac:dyDescent="0.55000000000000004">
      <c r="A1409" t="s">
        <v>94</v>
      </c>
      <c r="B1409" t="s">
        <v>352</v>
      </c>
      <c r="C1409" t="s">
        <v>348</v>
      </c>
      <c r="D1409" t="s">
        <v>111</v>
      </c>
      <c r="E1409" t="s">
        <v>335</v>
      </c>
      <c r="F1409" t="s">
        <v>353</v>
      </c>
      <c r="G1409">
        <v>22393</v>
      </c>
      <c r="H1409" t="s">
        <v>356</v>
      </c>
      <c r="I1409">
        <v>2</v>
      </c>
      <c r="J1409" t="s">
        <v>116</v>
      </c>
      <c r="K1409" s="19">
        <v>0.45833333333333331</v>
      </c>
      <c r="L1409" s="19">
        <v>0.8125</v>
      </c>
      <c r="M1409">
        <v>8.5</v>
      </c>
      <c r="N1409">
        <v>369.32</v>
      </c>
      <c r="O1409">
        <v>40</v>
      </c>
      <c r="P1409">
        <v>76</v>
      </c>
      <c r="Q1409" t="s">
        <v>99</v>
      </c>
      <c r="R1409">
        <v>30</v>
      </c>
      <c r="S1409" s="19">
        <v>0.54166666666666663</v>
      </c>
      <c r="U1409" s="19">
        <v>0</v>
      </c>
      <c r="V1409" t="s">
        <v>336</v>
      </c>
      <c r="W1409">
        <v>8</v>
      </c>
      <c r="X1409" t="s">
        <v>102</v>
      </c>
      <c r="Y1409" t="b">
        <v>0</v>
      </c>
    </row>
    <row r="1410" spans="1:25" x14ac:dyDescent="0.55000000000000004">
      <c r="A1410" t="s">
        <v>94</v>
      </c>
      <c r="B1410" t="s">
        <v>352</v>
      </c>
      <c r="C1410" t="s">
        <v>348</v>
      </c>
      <c r="D1410" t="s">
        <v>111</v>
      </c>
      <c r="E1410" t="s">
        <v>335</v>
      </c>
      <c r="F1410" t="s">
        <v>353</v>
      </c>
      <c r="G1410">
        <v>22393</v>
      </c>
      <c r="H1410" t="s">
        <v>356</v>
      </c>
      <c r="I1410">
        <v>2</v>
      </c>
      <c r="J1410" t="s">
        <v>103</v>
      </c>
      <c r="K1410" s="19">
        <v>0.45833333333333331</v>
      </c>
      <c r="L1410" s="19">
        <v>0.8125</v>
      </c>
      <c r="M1410">
        <v>8.5</v>
      </c>
      <c r="N1410">
        <v>211.04</v>
      </c>
      <c r="O1410">
        <v>40</v>
      </c>
      <c r="P1410">
        <v>76</v>
      </c>
      <c r="Q1410" t="s">
        <v>99</v>
      </c>
      <c r="R1410">
        <v>30</v>
      </c>
      <c r="S1410" s="19">
        <v>0.54166666666666663</v>
      </c>
      <c r="U1410" s="19">
        <v>0</v>
      </c>
      <c r="V1410" t="s">
        <v>336</v>
      </c>
      <c r="W1410">
        <v>8</v>
      </c>
      <c r="X1410" t="s">
        <v>102</v>
      </c>
      <c r="Y1410" t="b">
        <v>0</v>
      </c>
    </row>
    <row r="1411" spans="1:25" x14ac:dyDescent="0.55000000000000004">
      <c r="A1411" t="s">
        <v>94</v>
      </c>
      <c r="B1411" t="s">
        <v>357</v>
      </c>
      <c r="C1411" t="s">
        <v>348</v>
      </c>
      <c r="D1411" t="s">
        <v>148</v>
      </c>
      <c r="E1411" t="s">
        <v>117</v>
      </c>
      <c r="F1411" t="s">
        <v>99</v>
      </c>
      <c r="H1411" t="s">
        <v>99</v>
      </c>
      <c r="I1411">
        <v>1</v>
      </c>
      <c r="J1411" t="s">
        <v>115</v>
      </c>
      <c r="K1411" s="19">
        <v>0.29166666666666669</v>
      </c>
      <c r="L1411" s="19">
        <v>0.60416666666666663</v>
      </c>
      <c r="M1411">
        <v>7.5</v>
      </c>
      <c r="N1411">
        <v>299.99</v>
      </c>
      <c r="O1411">
        <v>0</v>
      </c>
      <c r="P1411">
        <v>0</v>
      </c>
      <c r="Q1411" t="s">
        <v>99</v>
      </c>
      <c r="R1411">
        <v>30</v>
      </c>
      <c r="S1411" s="19">
        <v>0.5</v>
      </c>
      <c r="U1411" s="19">
        <v>0</v>
      </c>
      <c r="V1411" t="s">
        <v>358</v>
      </c>
      <c r="W1411">
        <v>7</v>
      </c>
      <c r="X1411" t="s">
        <v>102</v>
      </c>
      <c r="Y1411" t="b">
        <v>0</v>
      </c>
    </row>
    <row r="1412" spans="1:25" x14ac:dyDescent="0.55000000000000004">
      <c r="A1412" t="s">
        <v>94</v>
      </c>
      <c r="B1412" t="s">
        <v>357</v>
      </c>
      <c r="C1412" t="s">
        <v>348</v>
      </c>
      <c r="D1412" t="s">
        <v>148</v>
      </c>
      <c r="E1412" t="s">
        <v>117</v>
      </c>
      <c r="F1412" t="s">
        <v>99</v>
      </c>
      <c r="H1412" t="s">
        <v>99</v>
      </c>
      <c r="I1412">
        <v>1</v>
      </c>
      <c r="J1412" t="s">
        <v>116</v>
      </c>
      <c r="K1412" s="19">
        <v>0.29166666666666669</v>
      </c>
      <c r="L1412" s="19">
        <v>0.60416666666666663</v>
      </c>
      <c r="M1412">
        <v>7.5</v>
      </c>
      <c r="N1412">
        <v>349.98</v>
      </c>
      <c r="O1412">
        <v>0</v>
      </c>
      <c r="P1412">
        <v>0</v>
      </c>
      <c r="Q1412" t="s">
        <v>99</v>
      </c>
      <c r="R1412">
        <v>30</v>
      </c>
      <c r="S1412" s="19">
        <v>0.5</v>
      </c>
      <c r="U1412" s="19">
        <v>0</v>
      </c>
      <c r="V1412" t="s">
        <v>358</v>
      </c>
      <c r="W1412">
        <v>7</v>
      </c>
      <c r="X1412" t="s">
        <v>102</v>
      </c>
      <c r="Y1412" t="b">
        <v>0</v>
      </c>
    </row>
    <row r="1413" spans="1:25" x14ac:dyDescent="0.55000000000000004">
      <c r="A1413" t="s">
        <v>94</v>
      </c>
      <c r="B1413" t="s">
        <v>357</v>
      </c>
      <c r="C1413" t="s">
        <v>348</v>
      </c>
      <c r="D1413" t="s">
        <v>148</v>
      </c>
      <c r="E1413" t="s">
        <v>117</v>
      </c>
      <c r="F1413" t="s">
        <v>99</v>
      </c>
      <c r="G1413">
        <v>14280</v>
      </c>
      <c r="H1413" t="s">
        <v>359</v>
      </c>
      <c r="I1413">
        <v>1</v>
      </c>
      <c r="J1413" t="s">
        <v>107</v>
      </c>
      <c r="K1413" s="19">
        <v>0.25</v>
      </c>
      <c r="L1413" s="19">
        <v>0.60416666666666663</v>
      </c>
      <c r="M1413">
        <v>8.5</v>
      </c>
      <c r="N1413">
        <v>232.4</v>
      </c>
      <c r="O1413">
        <v>55</v>
      </c>
      <c r="P1413">
        <v>76</v>
      </c>
      <c r="Q1413" t="s">
        <v>99</v>
      </c>
      <c r="R1413">
        <v>30</v>
      </c>
      <c r="S1413" s="19">
        <v>0.45833333333333331</v>
      </c>
      <c r="U1413" s="19">
        <v>0</v>
      </c>
      <c r="V1413" t="s">
        <v>360</v>
      </c>
      <c r="W1413">
        <v>8</v>
      </c>
      <c r="X1413" t="s">
        <v>102</v>
      </c>
      <c r="Y1413" t="b">
        <v>0</v>
      </c>
    </row>
    <row r="1414" spans="1:25" x14ac:dyDescent="0.55000000000000004">
      <c r="A1414" t="s">
        <v>94</v>
      </c>
      <c r="B1414" t="s">
        <v>357</v>
      </c>
      <c r="C1414" t="s">
        <v>348</v>
      </c>
      <c r="D1414" t="s">
        <v>148</v>
      </c>
      <c r="E1414" t="s">
        <v>117</v>
      </c>
      <c r="F1414" t="s">
        <v>99</v>
      </c>
      <c r="G1414">
        <v>14280</v>
      </c>
      <c r="H1414" t="s">
        <v>359</v>
      </c>
      <c r="I1414">
        <v>2</v>
      </c>
      <c r="J1414" t="s">
        <v>115</v>
      </c>
      <c r="K1414" s="19">
        <v>0.29166666666666669</v>
      </c>
      <c r="L1414" s="19">
        <v>0.60416666666666663</v>
      </c>
      <c r="M1414">
        <v>7.5</v>
      </c>
      <c r="N1414">
        <v>305.02</v>
      </c>
      <c r="O1414">
        <v>55</v>
      </c>
      <c r="P1414">
        <v>76</v>
      </c>
      <c r="Q1414" t="s">
        <v>99</v>
      </c>
      <c r="R1414">
        <v>30</v>
      </c>
      <c r="S1414" s="19">
        <v>0.5</v>
      </c>
      <c r="U1414" s="19">
        <v>0</v>
      </c>
      <c r="V1414" t="s">
        <v>358</v>
      </c>
      <c r="W1414">
        <v>7</v>
      </c>
      <c r="X1414" t="s">
        <v>102</v>
      </c>
      <c r="Y1414" t="b">
        <v>0</v>
      </c>
    </row>
    <row r="1415" spans="1:25" x14ac:dyDescent="0.55000000000000004">
      <c r="A1415" t="s">
        <v>94</v>
      </c>
      <c r="B1415" t="s">
        <v>357</v>
      </c>
      <c r="C1415" t="s">
        <v>348</v>
      </c>
      <c r="D1415" t="s">
        <v>148</v>
      </c>
      <c r="E1415" t="s">
        <v>117</v>
      </c>
      <c r="F1415" t="s">
        <v>99</v>
      </c>
      <c r="G1415">
        <v>14280</v>
      </c>
      <c r="H1415" t="s">
        <v>359</v>
      </c>
      <c r="I1415">
        <v>2</v>
      </c>
      <c r="J1415" t="s">
        <v>116</v>
      </c>
      <c r="K1415" s="19">
        <v>0.29166666666666669</v>
      </c>
      <c r="L1415" s="19">
        <v>0.60416666666666663</v>
      </c>
      <c r="M1415">
        <v>7.5</v>
      </c>
      <c r="N1415">
        <v>355.86</v>
      </c>
      <c r="O1415">
        <v>55</v>
      </c>
      <c r="P1415">
        <v>76</v>
      </c>
      <c r="Q1415" t="s">
        <v>99</v>
      </c>
      <c r="R1415">
        <v>30</v>
      </c>
      <c r="S1415" s="19">
        <v>0.5</v>
      </c>
      <c r="U1415" s="19">
        <v>0</v>
      </c>
      <c r="V1415" t="s">
        <v>358</v>
      </c>
      <c r="W1415">
        <v>7</v>
      </c>
      <c r="X1415" t="s">
        <v>102</v>
      </c>
      <c r="Y1415" t="b">
        <v>0</v>
      </c>
    </row>
    <row r="1416" spans="1:25" x14ac:dyDescent="0.55000000000000004">
      <c r="A1416" t="s">
        <v>94</v>
      </c>
      <c r="B1416" t="s">
        <v>357</v>
      </c>
      <c r="C1416" t="s">
        <v>348</v>
      </c>
      <c r="D1416" t="s">
        <v>148</v>
      </c>
      <c r="E1416" t="s">
        <v>117</v>
      </c>
      <c r="F1416" t="s">
        <v>99</v>
      </c>
      <c r="G1416">
        <v>22999</v>
      </c>
      <c r="H1416" t="s">
        <v>361</v>
      </c>
      <c r="I1416">
        <v>1</v>
      </c>
      <c r="J1416" t="s">
        <v>101</v>
      </c>
      <c r="K1416" s="19">
        <v>0.25</v>
      </c>
      <c r="L1416" s="19">
        <v>0.60416666666666663</v>
      </c>
      <c r="M1416">
        <v>8.5</v>
      </c>
      <c r="N1416">
        <v>232.4</v>
      </c>
      <c r="O1416">
        <v>72</v>
      </c>
      <c r="P1416">
        <v>76</v>
      </c>
      <c r="Q1416" t="s">
        <v>99</v>
      </c>
      <c r="R1416">
        <v>30</v>
      </c>
      <c r="S1416" s="19">
        <v>0.45833333333333331</v>
      </c>
      <c r="U1416" s="19">
        <v>0</v>
      </c>
      <c r="V1416" t="s">
        <v>360</v>
      </c>
      <c r="W1416">
        <v>8</v>
      </c>
      <c r="X1416" t="s">
        <v>102</v>
      </c>
      <c r="Y1416" t="b">
        <v>0</v>
      </c>
    </row>
    <row r="1417" spans="1:25" x14ac:dyDescent="0.55000000000000004">
      <c r="A1417" t="s">
        <v>94</v>
      </c>
      <c r="B1417" t="s">
        <v>357</v>
      </c>
      <c r="C1417" t="s">
        <v>348</v>
      </c>
      <c r="D1417" t="s">
        <v>148</v>
      </c>
      <c r="E1417" t="s">
        <v>117</v>
      </c>
      <c r="F1417" t="s">
        <v>99</v>
      </c>
      <c r="G1417">
        <v>22999</v>
      </c>
      <c r="H1417" t="s">
        <v>361</v>
      </c>
      <c r="I1417">
        <v>1</v>
      </c>
      <c r="J1417" t="s">
        <v>103</v>
      </c>
      <c r="K1417" s="19">
        <v>0.25</v>
      </c>
      <c r="L1417" s="19">
        <v>0.60416666666666663</v>
      </c>
      <c r="M1417">
        <v>8.5</v>
      </c>
      <c r="N1417">
        <v>232.4</v>
      </c>
      <c r="O1417">
        <v>72</v>
      </c>
      <c r="P1417">
        <v>76</v>
      </c>
      <c r="Q1417" t="s">
        <v>99</v>
      </c>
      <c r="R1417">
        <v>30</v>
      </c>
      <c r="S1417" s="19">
        <v>0.45833333333333331</v>
      </c>
      <c r="U1417" s="19">
        <v>0</v>
      </c>
      <c r="V1417" t="s">
        <v>360</v>
      </c>
      <c r="W1417">
        <v>8</v>
      </c>
      <c r="X1417" t="s">
        <v>102</v>
      </c>
      <c r="Y1417" t="b">
        <v>0</v>
      </c>
    </row>
    <row r="1418" spans="1:25" x14ac:dyDescent="0.55000000000000004">
      <c r="A1418" t="s">
        <v>94</v>
      </c>
      <c r="B1418" t="s">
        <v>357</v>
      </c>
      <c r="C1418" t="s">
        <v>348</v>
      </c>
      <c r="D1418" t="s">
        <v>148</v>
      </c>
      <c r="E1418" t="s">
        <v>117</v>
      </c>
      <c r="F1418" t="s">
        <v>99</v>
      </c>
      <c r="G1418">
        <v>22999</v>
      </c>
      <c r="H1418" t="s">
        <v>361</v>
      </c>
      <c r="I1418">
        <v>1</v>
      </c>
      <c r="J1418" t="s">
        <v>104</v>
      </c>
      <c r="K1418" s="19">
        <v>0.25</v>
      </c>
      <c r="L1418" s="19">
        <v>0.60416666666666663</v>
      </c>
      <c r="M1418">
        <v>8.5</v>
      </c>
      <c r="N1418">
        <v>232.4</v>
      </c>
      <c r="O1418">
        <v>72</v>
      </c>
      <c r="P1418">
        <v>76</v>
      </c>
      <c r="Q1418" t="s">
        <v>99</v>
      </c>
      <c r="R1418">
        <v>30</v>
      </c>
      <c r="S1418" s="19">
        <v>0.45833333333333331</v>
      </c>
      <c r="U1418" s="19">
        <v>0</v>
      </c>
      <c r="V1418" t="s">
        <v>360</v>
      </c>
      <c r="W1418">
        <v>8</v>
      </c>
      <c r="X1418" t="s">
        <v>102</v>
      </c>
      <c r="Y1418" t="b">
        <v>0</v>
      </c>
    </row>
    <row r="1419" spans="1:25" x14ac:dyDescent="0.55000000000000004">
      <c r="A1419" t="s">
        <v>94</v>
      </c>
      <c r="B1419" t="s">
        <v>357</v>
      </c>
      <c r="C1419" t="s">
        <v>348</v>
      </c>
      <c r="D1419" t="s">
        <v>148</v>
      </c>
      <c r="E1419" t="s">
        <v>117</v>
      </c>
      <c r="F1419" t="s">
        <v>99</v>
      </c>
      <c r="G1419">
        <v>22999</v>
      </c>
      <c r="H1419" t="s">
        <v>361</v>
      </c>
      <c r="I1419">
        <v>1</v>
      </c>
      <c r="J1419" t="s">
        <v>105</v>
      </c>
      <c r="K1419" s="19">
        <v>0.25</v>
      </c>
      <c r="L1419" s="19">
        <v>0.60416666666666663</v>
      </c>
      <c r="M1419">
        <v>8.5</v>
      </c>
      <c r="N1419">
        <v>232.4</v>
      </c>
      <c r="O1419">
        <v>72</v>
      </c>
      <c r="P1419">
        <v>76</v>
      </c>
      <c r="Q1419" t="s">
        <v>99</v>
      </c>
      <c r="R1419">
        <v>30</v>
      </c>
      <c r="S1419" s="19">
        <v>0.45833333333333331</v>
      </c>
      <c r="U1419" s="19">
        <v>0</v>
      </c>
      <c r="V1419" t="s">
        <v>360</v>
      </c>
      <c r="W1419">
        <v>8</v>
      </c>
      <c r="X1419" t="s">
        <v>102</v>
      </c>
      <c r="Y1419" t="b">
        <v>0</v>
      </c>
    </row>
    <row r="1420" spans="1:25" x14ac:dyDescent="0.55000000000000004">
      <c r="A1420" t="s">
        <v>94</v>
      </c>
      <c r="B1420" t="s">
        <v>357</v>
      </c>
      <c r="C1420" t="s">
        <v>348</v>
      </c>
      <c r="D1420" t="s">
        <v>148</v>
      </c>
      <c r="E1420" t="s">
        <v>117</v>
      </c>
      <c r="F1420" t="s">
        <v>99</v>
      </c>
      <c r="G1420">
        <v>22999</v>
      </c>
      <c r="H1420" t="s">
        <v>361</v>
      </c>
      <c r="I1420">
        <v>2</v>
      </c>
      <c r="J1420" t="s">
        <v>107</v>
      </c>
      <c r="K1420" s="19">
        <v>0.25</v>
      </c>
      <c r="L1420" s="19">
        <v>0.60416666666666663</v>
      </c>
      <c r="M1420">
        <v>8.5</v>
      </c>
      <c r="N1420">
        <v>232.4</v>
      </c>
      <c r="O1420">
        <v>72</v>
      </c>
      <c r="P1420">
        <v>76</v>
      </c>
      <c r="Q1420" t="s">
        <v>99</v>
      </c>
      <c r="R1420">
        <v>30</v>
      </c>
      <c r="S1420" s="19">
        <v>0.45833333333333331</v>
      </c>
      <c r="U1420" s="19">
        <v>0</v>
      </c>
      <c r="V1420" t="s">
        <v>360</v>
      </c>
      <c r="W1420">
        <v>8</v>
      </c>
      <c r="X1420" t="s">
        <v>102</v>
      </c>
      <c r="Y1420" t="b">
        <v>0</v>
      </c>
    </row>
    <row r="1421" spans="1:25" x14ac:dyDescent="0.55000000000000004">
      <c r="A1421" t="s">
        <v>94</v>
      </c>
      <c r="B1421" t="s">
        <v>357</v>
      </c>
      <c r="C1421" t="s">
        <v>348</v>
      </c>
      <c r="D1421" t="s">
        <v>148</v>
      </c>
      <c r="E1421" t="s">
        <v>117</v>
      </c>
      <c r="F1421" t="s">
        <v>99</v>
      </c>
      <c r="G1421">
        <v>22999</v>
      </c>
      <c r="H1421" t="s">
        <v>361</v>
      </c>
      <c r="I1421">
        <v>2</v>
      </c>
      <c r="J1421" t="s">
        <v>101</v>
      </c>
      <c r="K1421" s="19">
        <v>0.25</v>
      </c>
      <c r="L1421" s="19">
        <v>0.60416666666666663</v>
      </c>
      <c r="M1421">
        <v>8.5</v>
      </c>
      <c r="N1421">
        <v>232.4</v>
      </c>
      <c r="O1421">
        <v>72</v>
      </c>
      <c r="P1421">
        <v>76</v>
      </c>
      <c r="Q1421" t="s">
        <v>99</v>
      </c>
      <c r="R1421">
        <v>30</v>
      </c>
      <c r="S1421" s="19">
        <v>0.45833333333333331</v>
      </c>
      <c r="U1421" s="19">
        <v>0</v>
      </c>
      <c r="V1421" t="s">
        <v>360</v>
      </c>
      <c r="W1421">
        <v>8</v>
      </c>
      <c r="X1421" t="s">
        <v>102</v>
      </c>
      <c r="Y1421" t="b">
        <v>0</v>
      </c>
    </row>
    <row r="1422" spans="1:25" x14ac:dyDescent="0.55000000000000004">
      <c r="A1422" t="s">
        <v>94</v>
      </c>
      <c r="B1422" t="s">
        <v>357</v>
      </c>
      <c r="C1422" t="s">
        <v>348</v>
      </c>
      <c r="D1422" t="s">
        <v>148</v>
      </c>
      <c r="E1422" t="s">
        <v>117</v>
      </c>
      <c r="F1422" t="s">
        <v>99</v>
      </c>
      <c r="G1422">
        <v>22999</v>
      </c>
      <c r="H1422" t="s">
        <v>361</v>
      </c>
      <c r="I1422">
        <v>2</v>
      </c>
      <c r="J1422" t="s">
        <v>103</v>
      </c>
      <c r="K1422" s="19">
        <v>0.25</v>
      </c>
      <c r="L1422" s="19">
        <v>0.60416666666666663</v>
      </c>
      <c r="M1422">
        <v>8.5</v>
      </c>
      <c r="N1422">
        <v>232.4</v>
      </c>
      <c r="O1422">
        <v>72</v>
      </c>
      <c r="P1422">
        <v>76</v>
      </c>
      <c r="Q1422" t="s">
        <v>99</v>
      </c>
      <c r="R1422">
        <v>30</v>
      </c>
      <c r="S1422" s="19">
        <v>0.45833333333333331</v>
      </c>
      <c r="U1422" s="19">
        <v>0</v>
      </c>
      <c r="V1422" t="s">
        <v>360</v>
      </c>
      <c r="W1422">
        <v>8</v>
      </c>
      <c r="X1422" t="s">
        <v>102</v>
      </c>
      <c r="Y1422" t="b">
        <v>0</v>
      </c>
    </row>
    <row r="1423" spans="1:25" x14ac:dyDescent="0.55000000000000004">
      <c r="A1423" t="s">
        <v>94</v>
      </c>
      <c r="B1423" t="s">
        <v>357</v>
      </c>
      <c r="C1423" t="s">
        <v>348</v>
      </c>
      <c r="D1423" t="s">
        <v>148</v>
      </c>
      <c r="E1423" t="s">
        <v>117</v>
      </c>
      <c r="F1423" t="s">
        <v>99</v>
      </c>
      <c r="G1423">
        <v>22999</v>
      </c>
      <c r="H1423" t="s">
        <v>361</v>
      </c>
      <c r="I1423">
        <v>2</v>
      </c>
      <c r="J1423" t="s">
        <v>104</v>
      </c>
      <c r="K1423" s="19">
        <v>0.25</v>
      </c>
      <c r="L1423" s="19">
        <v>0.60416666666666663</v>
      </c>
      <c r="M1423">
        <v>8.5</v>
      </c>
      <c r="N1423">
        <v>232.4</v>
      </c>
      <c r="O1423">
        <v>72</v>
      </c>
      <c r="P1423">
        <v>76</v>
      </c>
      <c r="Q1423" t="s">
        <v>99</v>
      </c>
      <c r="R1423">
        <v>30</v>
      </c>
      <c r="S1423" s="19">
        <v>0.45833333333333331</v>
      </c>
      <c r="U1423" s="19">
        <v>0</v>
      </c>
      <c r="V1423" t="s">
        <v>360</v>
      </c>
      <c r="W1423">
        <v>8</v>
      </c>
      <c r="X1423" t="s">
        <v>102</v>
      </c>
      <c r="Y1423" t="b">
        <v>0</v>
      </c>
    </row>
    <row r="1424" spans="1:25" x14ac:dyDescent="0.55000000000000004">
      <c r="A1424" t="s">
        <v>94</v>
      </c>
      <c r="B1424" t="s">
        <v>357</v>
      </c>
      <c r="C1424" t="s">
        <v>348</v>
      </c>
      <c r="D1424" t="s">
        <v>148</v>
      </c>
      <c r="E1424" t="s">
        <v>117</v>
      </c>
      <c r="F1424" t="s">
        <v>99</v>
      </c>
      <c r="G1424">
        <v>22999</v>
      </c>
      <c r="H1424" t="s">
        <v>361</v>
      </c>
      <c r="I1424">
        <v>2</v>
      </c>
      <c r="J1424" t="s">
        <v>105</v>
      </c>
      <c r="K1424" s="19">
        <v>0.25</v>
      </c>
      <c r="L1424" s="19">
        <v>0.60416666666666663</v>
      </c>
      <c r="M1424">
        <v>8.5</v>
      </c>
      <c r="N1424">
        <v>232.4</v>
      </c>
      <c r="O1424">
        <v>72</v>
      </c>
      <c r="P1424">
        <v>76</v>
      </c>
      <c r="Q1424" t="s">
        <v>99</v>
      </c>
      <c r="R1424">
        <v>30</v>
      </c>
      <c r="S1424" s="19">
        <v>0.45833333333333331</v>
      </c>
      <c r="U1424" s="19">
        <v>0</v>
      </c>
      <c r="V1424" t="s">
        <v>360</v>
      </c>
      <c r="W1424">
        <v>8</v>
      </c>
      <c r="X1424" t="s">
        <v>102</v>
      </c>
      <c r="Y1424" t="b">
        <v>0</v>
      </c>
    </row>
    <row r="1425" spans="1:25" x14ac:dyDescent="0.55000000000000004">
      <c r="A1425" t="s">
        <v>94</v>
      </c>
      <c r="B1425" t="s">
        <v>362</v>
      </c>
      <c r="C1425" t="s">
        <v>348</v>
      </c>
      <c r="D1425" t="s">
        <v>156</v>
      </c>
      <c r="E1425" t="s">
        <v>117</v>
      </c>
      <c r="F1425" t="s">
        <v>99</v>
      </c>
      <c r="G1425">
        <v>10974</v>
      </c>
      <c r="H1425" t="s">
        <v>363</v>
      </c>
      <c r="I1425">
        <v>1</v>
      </c>
      <c r="J1425" t="s">
        <v>107</v>
      </c>
      <c r="K1425" s="19">
        <v>0.29166666666666669</v>
      </c>
      <c r="L1425" s="19">
        <v>0.58333333333333337</v>
      </c>
      <c r="M1425">
        <v>7</v>
      </c>
      <c r="N1425">
        <v>186.03</v>
      </c>
      <c r="O1425">
        <v>55</v>
      </c>
      <c r="P1425">
        <v>76</v>
      </c>
      <c r="Q1425" t="s">
        <v>99</v>
      </c>
      <c r="R1425">
        <v>30</v>
      </c>
      <c r="S1425" s="19">
        <v>0.5</v>
      </c>
      <c r="U1425" s="19">
        <v>0</v>
      </c>
      <c r="V1425" t="s">
        <v>364</v>
      </c>
      <c r="W1425">
        <v>6.5</v>
      </c>
      <c r="X1425" t="s">
        <v>102</v>
      </c>
      <c r="Y1425" t="b">
        <v>0</v>
      </c>
    </row>
    <row r="1426" spans="1:25" x14ac:dyDescent="0.55000000000000004">
      <c r="A1426" t="s">
        <v>94</v>
      </c>
      <c r="B1426" t="s">
        <v>362</v>
      </c>
      <c r="C1426" t="s">
        <v>348</v>
      </c>
      <c r="D1426" t="s">
        <v>156</v>
      </c>
      <c r="E1426" t="s">
        <v>117</v>
      </c>
      <c r="F1426" t="s">
        <v>99</v>
      </c>
      <c r="G1426">
        <v>10974</v>
      </c>
      <c r="H1426" t="s">
        <v>363</v>
      </c>
      <c r="I1426">
        <v>1</v>
      </c>
      <c r="J1426" t="s">
        <v>103</v>
      </c>
      <c r="K1426" s="19">
        <v>0.29166666666666669</v>
      </c>
      <c r="L1426" s="19">
        <v>0.58333333333333337</v>
      </c>
      <c r="M1426">
        <v>7</v>
      </c>
      <c r="N1426">
        <v>186.03</v>
      </c>
      <c r="O1426">
        <v>55</v>
      </c>
      <c r="P1426">
        <v>76</v>
      </c>
      <c r="Q1426" t="s">
        <v>99</v>
      </c>
      <c r="R1426">
        <v>30</v>
      </c>
      <c r="S1426" s="19">
        <v>0.5</v>
      </c>
      <c r="U1426" s="19">
        <v>0</v>
      </c>
      <c r="V1426" t="s">
        <v>364</v>
      </c>
      <c r="W1426">
        <v>6.5</v>
      </c>
      <c r="X1426" t="s">
        <v>102</v>
      </c>
      <c r="Y1426" t="b">
        <v>0</v>
      </c>
    </row>
    <row r="1427" spans="1:25" x14ac:dyDescent="0.55000000000000004">
      <c r="A1427" t="s">
        <v>94</v>
      </c>
      <c r="B1427" t="s">
        <v>362</v>
      </c>
      <c r="C1427" t="s">
        <v>348</v>
      </c>
      <c r="D1427" t="s">
        <v>156</v>
      </c>
      <c r="E1427" t="s">
        <v>117</v>
      </c>
      <c r="F1427" t="s">
        <v>99</v>
      </c>
      <c r="G1427">
        <v>10974</v>
      </c>
      <c r="H1427" t="s">
        <v>363</v>
      </c>
      <c r="I1427">
        <v>1</v>
      </c>
      <c r="J1427" t="s">
        <v>104</v>
      </c>
      <c r="K1427" s="19">
        <v>0.27083333333333331</v>
      </c>
      <c r="L1427" s="19">
        <v>0.625</v>
      </c>
      <c r="M1427">
        <v>8.5</v>
      </c>
      <c r="N1427">
        <v>228.96</v>
      </c>
      <c r="O1427">
        <v>55</v>
      </c>
      <c r="P1427">
        <v>76</v>
      </c>
      <c r="Q1427" t="s">
        <v>99</v>
      </c>
      <c r="R1427">
        <v>30</v>
      </c>
      <c r="S1427" s="19">
        <v>0.47916666666666669</v>
      </c>
      <c r="U1427" s="19">
        <v>0</v>
      </c>
      <c r="V1427" t="s">
        <v>365</v>
      </c>
      <c r="W1427">
        <v>8</v>
      </c>
      <c r="X1427" t="s">
        <v>102</v>
      </c>
      <c r="Y1427" t="b">
        <v>0</v>
      </c>
    </row>
    <row r="1428" spans="1:25" x14ac:dyDescent="0.55000000000000004">
      <c r="A1428" t="s">
        <v>94</v>
      </c>
      <c r="B1428" t="s">
        <v>362</v>
      </c>
      <c r="C1428" t="s">
        <v>348</v>
      </c>
      <c r="D1428" t="s">
        <v>156</v>
      </c>
      <c r="E1428" t="s">
        <v>117</v>
      </c>
      <c r="F1428" t="s">
        <v>99</v>
      </c>
      <c r="G1428">
        <v>10974</v>
      </c>
      <c r="H1428" t="s">
        <v>363</v>
      </c>
      <c r="I1428">
        <v>1</v>
      </c>
      <c r="J1428" t="s">
        <v>105</v>
      </c>
      <c r="K1428" s="19">
        <v>0.29166666666666669</v>
      </c>
      <c r="L1428" s="19">
        <v>0.58333333333333337</v>
      </c>
      <c r="M1428">
        <v>7</v>
      </c>
      <c r="N1428">
        <v>186.03</v>
      </c>
      <c r="O1428">
        <v>55</v>
      </c>
      <c r="P1428">
        <v>76</v>
      </c>
      <c r="Q1428" t="s">
        <v>99</v>
      </c>
      <c r="R1428">
        <v>30</v>
      </c>
      <c r="S1428" s="19">
        <v>0.5</v>
      </c>
      <c r="U1428" s="19">
        <v>0</v>
      </c>
      <c r="V1428" t="s">
        <v>364</v>
      </c>
      <c r="W1428">
        <v>6.5</v>
      </c>
      <c r="X1428" t="s">
        <v>102</v>
      </c>
      <c r="Y1428" t="b">
        <v>0</v>
      </c>
    </row>
    <row r="1429" spans="1:25" x14ac:dyDescent="0.55000000000000004">
      <c r="A1429" t="s">
        <v>94</v>
      </c>
      <c r="B1429" t="s">
        <v>362</v>
      </c>
      <c r="C1429" t="s">
        <v>348</v>
      </c>
      <c r="D1429" t="s">
        <v>156</v>
      </c>
      <c r="E1429" t="s">
        <v>117</v>
      </c>
      <c r="F1429" t="s">
        <v>99</v>
      </c>
      <c r="G1429">
        <v>10974</v>
      </c>
      <c r="H1429" t="s">
        <v>363</v>
      </c>
      <c r="I1429">
        <v>2</v>
      </c>
      <c r="J1429" t="s">
        <v>107</v>
      </c>
      <c r="K1429" s="19">
        <v>0.29166666666666669</v>
      </c>
      <c r="L1429" s="19">
        <v>0.58333333333333337</v>
      </c>
      <c r="M1429">
        <v>7</v>
      </c>
      <c r="N1429">
        <v>186.03</v>
      </c>
      <c r="O1429">
        <v>55</v>
      </c>
      <c r="P1429">
        <v>76</v>
      </c>
      <c r="Q1429" t="s">
        <v>99</v>
      </c>
      <c r="R1429">
        <v>30</v>
      </c>
      <c r="S1429" s="19">
        <v>0.5</v>
      </c>
      <c r="U1429" s="19">
        <v>0</v>
      </c>
      <c r="V1429" t="s">
        <v>364</v>
      </c>
      <c r="W1429">
        <v>6.5</v>
      </c>
      <c r="X1429" t="s">
        <v>102</v>
      </c>
      <c r="Y1429" t="b">
        <v>0</v>
      </c>
    </row>
    <row r="1430" spans="1:25" x14ac:dyDescent="0.55000000000000004">
      <c r="A1430" t="s">
        <v>94</v>
      </c>
      <c r="B1430" t="s">
        <v>362</v>
      </c>
      <c r="C1430" t="s">
        <v>348</v>
      </c>
      <c r="D1430" t="s">
        <v>156</v>
      </c>
      <c r="E1430" t="s">
        <v>117</v>
      </c>
      <c r="F1430" t="s">
        <v>99</v>
      </c>
      <c r="G1430">
        <v>10974</v>
      </c>
      <c r="H1430" t="s">
        <v>363</v>
      </c>
      <c r="I1430">
        <v>2</v>
      </c>
      <c r="J1430" t="s">
        <v>103</v>
      </c>
      <c r="K1430" s="19">
        <v>0.29166666666666669</v>
      </c>
      <c r="L1430" s="19">
        <v>0.58333333333333337</v>
      </c>
      <c r="M1430">
        <v>7</v>
      </c>
      <c r="N1430">
        <v>186.03</v>
      </c>
      <c r="O1430">
        <v>55</v>
      </c>
      <c r="P1430">
        <v>76</v>
      </c>
      <c r="Q1430" t="s">
        <v>99</v>
      </c>
      <c r="R1430">
        <v>30</v>
      </c>
      <c r="S1430" s="19">
        <v>0.5</v>
      </c>
      <c r="U1430" s="19">
        <v>0</v>
      </c>
      <c r="V1430" t="s">
        <v>364</v>
      </c>
      <c r="W1430">
        <v>6.5</v>
      </c>
      <c r="X1430" t="s">
        <v>102</v>
      </c>
      <c r="Y1430" t="b">
        <v>0</v>
      </c>
    </row>
    <row r="1431" spans="1:25" x14ac:dyDescent="0.55000000000000004">
      <c r="A1431" t="s">
        <v>94</v>
      </c>
      <c r="B1431" t="s">
        <v>362</v>
      </c>
      <c r="C1431" t="s">
        <v>348</v>
      </c>
      <c r="D1431" t="s">
        <v>156</v>
      </c>
      <c r="E1431" t="s">
        <v>117</v>
      </c>
      <c r="F1431" t="s">
        <v>99</v>
      </c>
      <c r="G1431">
        <v>10974</v>
      </c>
      <c r="H1431" t="s">
        <v>363</v>
      </c>
      <c r="I1431">
        <v>2</v>
      </c>
      <c r="J1431" t="s">
        <v>104</v>
      </c>
      <c r="K1431" s="19">
        <v>0.27083333333333331</v>
      </c>
      <c r="L1431" s="19">
        <v>0.625</v>
      </c>
      <c r="M1431">
        <v>8.5</v>
      </c>
      <c r="N1431">
        <v>228.96</v>
      </c>
      <c r="O1431">
        <v>55</v>
      </c>
      <c r="P1431">
        <v>76</v>
      </c>
      <c r="Q1431" t="s">
        <v>99</v>
      </c>
      <c r="R1431">
        <v>30</v>
      </c>
      <c r="S1431" s="19">
        <v>0.47916666666666669</v>
      </c>
      <c r="U1431" s="19">
        <v>0</v>
      </c>
      <c r="V1431" t="s">
        <v>365</v>
      </c>
      <c r="W1431">
        <v>8</v>
      </c>
      <c r="X1431" t="s">
        <v>102</v>
      </c>
      <c r="Y1431" t="b">
        <v>0</v>
      </c>
    </row>
    <row r="1432" spans="1:25" x14ac:dyDescent="0.55000000000000004">
      <c r="A1432" t="s">
        <v>94</v>
      </c>
      <c r="B1432" t="s">
        <v>362</v>
      </c>
      <c r="C1432" t="s">
        <v>348</v>
      </c>
      <c r="D1432" t="s">
        <v>156</v>
      </c>
      <c r="E1432" t="s">
        <v>117</v>
      </c>
      <c r="F1432" t="s">
        <v>99</v>
      </c>
      <c r="G1432">
        <v>10974</v>
      </c>
      <c r="H1432" t="s">
        <v>363</v>
      </c>
      <c r="I1432">
        <v>2</v>
      </c>
      <c r="J1432" t="s">
        <v>105</v>
      </c>
      <c r="K1432" s="19">
        <v>0.29166666666666669</v>
      </c>
      <c r="L1432" s="19">
        <v>0.58333333333333337</v>
      </c>
      <c r="M1432">
        <v>7</v>
      </c>
      <c r="N1432">
        <v>186.03</v>
      </c>
      <c r="O1432">
        <v>55</v>
      </c>
      <c r="P1432">
        <v>76</v>
      </c>
      <c r="Q1432" t="s">
        <v>99</v>
      </c>
      <c r="R1432">
        <v>30</v>
      </c>
      <c r="S1432" s="19">
        <v>0.5</v>
      </c>
      <c r="U1432" s="19">
        <v>0</v>
      </c>
      <c r="V1432" t="s">
        <v>364</v>
      </c>
      <c r="W1432">
        <v>6.5</v>
      </c>
      <c r="X1432" t="s">
        <v>102</v>
      </c>
      <c r="Y1432" t="b">
        <v>0</v>
      </c>
    </row>
    <row r="1433" spans="1:25" x14ac:dyDescent="0.55000000000000004">
      <c r="A1433" t="s">
        <v>94</v>
      </c>
      <c r="B1433" t="s">
        <v>362</v>
      </c>
      <c r="C1433" t="s">
        <v>348</v>
      </c>
      <c r="D1433" t="s">
        <v>156</v>
      </c>
      <c r="E1433" t="s">
        <v>117</v>
      </c>
      <c r="F1433" t="s">
        <v>99</v>
      </c>
      <c r="G1433">
        <v>14280</v>
      </c>
      <c r="H1433" t="s">
        <v>359</v>
      </c>
      <c r="I1433">
        <v>1</v>
      </c>
      <c r="J1433" t="s">
        <v>101</v>
      </c>
      <c r="K1433" s="19">
        <v>0.27083333333333331</v>
      </c>
      <c r="L1433" s="19">
        <v>0.625</v>
      </c>
      <c r="M1433">
        <v>8.5</v>
      </c>
      <c r="N1433">
        <v>232.4</v>
      </c>
      <c r="O1433">
        <v>55</v>
      </c>
      <c r="P1433">
        <v>76</v>
      </c>
      <c r="Q1433" t="s">
        <v>99</v>
      </c>
      <c r="R1433">
        <v>30</v>
      </c>
      <c r="S1433" s="19">
        <v>0.47916666666666669</v>
      </c>
      <c r="U1433" s="19">
        <v>0</v>
      </c>
      <c r="V1433" t="s">
        <v>365</v>
      </c>
      <c r="W1433">
        <v>8</v>
      </c>
      <c r="X1433" t="s">
        <v>102</v>
      </c>
      <c r="Y1433" t="b">
        <v>0</v>
      </c>
    </row>
    <row r="1434" spans="1:25" x14ac:dyDescent="0.55000000000000004">
      <c r="A1434" t="s">
        <v>94</v>
      </c>
      <c r="B1434" t="s">
        <v>362</v>
      </c>
      <c r="C1434" t="s">
        <v>348</v>
      </c>
      <c r="D1434" t="s">
        <v>156</v>
      </c>
      <c r="E1434" t="s">
        <v>117</v>
      </c>
      <c r="F1434" t="s">
        <v>99</v>
      </c>
      <c r="G1434">
        <v>14280</v>
      </c>
      <c r="H1434" t="s">
        <v>359</v>
      </c>
      <c r="I1434">
        <v>1</v>
      </c>
      <c r="J1434" t="s">
        <v>103</v>
      </c>
      <c r="K1434" s="19">
        <v>0.29166666666666669</v>
      </c>
      <c r="L1434" s="19">
        <v>0.5625</v>
      </c>
      <c r="M1434">
        <v>6.5</v>
      </c>
      <c r="N1434">
        <v>174.3</v>
      </c>
      <c r="O1434">
        <v>55</v>
      </c>
      <c r="P1434">
        <v>76</v>
      </c>
      <c r="Q1434" t="s">
        <v>99</v>
      </c>
      <c r="R1434">
        <v>30</v>
      </c>
      <c r="S1434" s="19">
        <v>0.5</v>
      </c>
      <c r="U1434" s="19">
        <v>0</v>
      </c>
      <c r="V1434" t="s">
        <v>366</v>
      </c>
      <c r="W1434">
        <v>6</v>
      </c>
      <c r="X1434" t="s">
        <v>102</v>
      </c>
      <c r="Y1434" t="b">
        <v>0</v>
      </c>
    </row>
    <row r="1435" spans="1:25" x14ac:dyDescent="0.55000000000000004">
      <c r="A1435" t="s">
        <v>94</v>
      </c>
      <c r="B1435" t="s">
        <v>362</v>
      </c>
      <c r="C1435" t="s">
        <v>348</v>
      </c>
      <c r="D1435" t="s">
        <v>156</v>
      </c>
      <c r="E1435" t="s">
        <v>117</v>
      </c>
      <c r="F1435" t="s">
        <v>99</v>
      </c>
      <c r="G1435">
        <v>14280</v>
      </c>
      <c r="H1435" t="s">
        <v>359</v>
      </c>
      <c r="I1435">
        <v>1</v>
      </c>
      <c r="J1435" t="s">
        <v>104</v>
      </c>
      <c r="K1435" s="19">
        <v>0.29166666666666669</v>
      </c>
      <c r="L1435" s="19">
        <v>0.64583333333333337</v>
      </c>
      <c r="M1435">
        <v>8.5</v>
      </c>
      <c r="N1435">
        <v>232.4</v>
      </c>
      <c r="O1435">
        <v>55</v>
      </c>
      <c r="P1435">
        <v>76</v>
      </c>
      <c r="Q1435" t="s">
        <v>99</v>
      </c>
      <c r="R1435">
        <v>30</v>
      </c>
      <c r="S1435" s="19">
        <v>0.5</v>
      </c>
      <c r="U1435" s="19">
        <v>0</v>
      </c>
      <c r="V1435" t="s">
        <v>367</v>
      </c>
      <c r="W1435">
        <v>8</v>
      </c>
      <c r="X1435" t="s">
        <v>102</v>
      </c>
      <c r="Y1435" t="b">
        <v>0</v>
      </c>
    </row>
    <row r="1436" spans="1:25" x14ac:dyDescent="0.55000000000000004">
      <c r="A1436" t="s">
        <v>94</v>
      </c>
      <c r="B1436" t="s">
        <v>362</v>
      </c>
      <c r="C1436" t="s">
        <v>348</v>
      </c>
      <c r="D1436" t="s">
        <v>156</v>
      </c>
      <c r="E1436" t="s">
        <v>117</v>
      </c>
      <c r="F1436" t="s">
        <v>99</v>
      </c>
      <c r="G1436">
        <v>14280</v>
      </c>
      <c r="H1436" t="s">
        <v>359</v>
      </c>
      <c r="I1436">
        <v>1</v>
      </c>
      <c r="J1436" t="s">
        <v>105</v>
      </c>
      <c r="K1436" s="19">
        <v>0.29166666666666669</v>
      </c>
      <c r="L1436" s="19">
        <v>0.5625</v>
      </c>
      <c r="M1436">
        <v>6.5</v>
      </c>
      <c r="N1436">
        <v>174.3</v>
      </c>
      <c r="O1436">
        <v>55</v>
      </c>
      <c r="P1436">
        <v>76</v>
      </c>
      <c r="Q1436" t="s">
        <v>99</v>
      </c>
      <c r="R1436">
        <v>30</v>
      </c>
      <c r="S1436" s="19">
        <v>0.5</v>
      </c>
      <c r="U1436" s="19">
        <v>0</v>
      </c>
      <c r="V1436" t="s">
        <v>366</v>
      </c>
      <c r="W1436">
        <v>6</v>
      </c>
      <c r="X1436" t="s">
        <v>102</v>
      </c>
      <c r="Y1436" t="b">
        <v>0</v>
      </c>
    </row>
    <row r="1437" spans="1:25" x14ac:dyDescent="0.55000000000000004">
      <c r="A1437" t="s">
        <v>94</v>
      </c>
      <c r="B1437" t="s">
        <v>362</v>
      </c>
      <c r="C1437" t="s">
        <v>348</v>
      </c>
      <c r="D1437" t="s">
        <v>156</v>
      </c>
      <c r="E1437" t="s">
        <v>117</v>
      </c>
      <c r="F1437" t="s">
        <v>99</v>
      </c>
      <c r="G1437">
        <v>14280</v>
      </c>
      <c r="H1437" t="s">
        <v>359</v>
      </c>
      <c r="I1437">
        <v>2</v>
      </c>
      <c r="J1437" t="s">
        <v>101</v>
      </c>
      <c r="K1437" s="19">
        <v>0.3125</v>
      </c>
      <c r="L1437" s="19">
        <v>0.66666666666666663</v>
      </c>
      <c r="M1437">
        <v>8.5</v>
      </c>
      <c r="N1437">
        <v>232.4</v>
      </c>
      <c r="O1437">
        <v>55</v>
      </c>
      <c r="P1437">
        <v>76</v>
      </c>
      <c r="Q1437" t="s">
        <v>99</v>
      </c>
      <c r="R1437">
        <v>30</v>
      </c>
      <c r="S1437" s="19">
        <v>0.52083333333333337</v>
      </c>
      <c r="U1437" s="19">
        <v>0</v>
      </c>
      <c r="V1437" t="s">
        <v>368</v>
      </c>
      <c r="W1437">
        <v>8</v>
      </c>
      <c r="X1437" t="s">
        <v>102</v>
      </c>
      <c r="Y1437" t="b">
        <v>0</v>
      </c>
    </row>
    <row r="1438" spans="1:25" x14ac:dyDescent="0.55000000000000004">
      <c r="A1438" t="s">
        <v>94</v>
      </c>
      <c r="B1438" t="s">
        <v>362</v>
      </c>
      <c r="C1438" t="s">
        <v>348</v>
      </c>
      <c r="D1438" t="s">
        <v>156</v>
      </c>
      <c r="E1438" t="s">
        <v>117</v>
      </c>
      <c r="F1438" t="s">
        <v>99</v>
      </c>
      <c r="G1438">
        <v>14280</v>
      </c>
      <c r="H1438" t="s">
        <v>359</v>
      </c>
      <c r="I1438">
        <v>2</v>
      </c>
      <c r="J1438" t="s">
        <v>104</v>
      </c>
      <c r="K1438" s="19">
        <v>0.29166666666666669</v>
      </c>
      <c r="L1438" s="19">
        <v>0.64583333333333337</v>
      </c>
      <c r="M1438">
        <v>8.5</v>
      </c>
      <c r="N1438">
        <v>232.4</v>
      </c>
      <c r="O1438">
        <v>55</v>
      </c>
      <c r="P1438">
        <v>76</v>
      </c>
      <c r="Q1438" t="s">
        <v>99</v>
      </c>
      <c r="R1438">
        <v>30</v>
      </c>
      <c r="S1438" s="19">
        <v>0.5</v>
      </c>
      <c r="U1438" s="19">
        <v>0</v>
      </c>
      <c r="V1438" t="s">
        <v>367</v>
      </c>
      <c r="W1438">
        <v>8</v>
      </c>
      <c r="X1438" t="s">
        <v>102</v>
      </c>
      <c r="Y1438" t="b">
        <v>0</v>
      </c>
    </row>
    <row r="1439" spans="1:25" x14ac:dyDescent="0.55000000000000004">
      <c r="A1439" t="s">
        <v>94</v>
      </c>
      <c r="B1439" t="s">
        <v>362</v>
      </c>
      <c r="C1439" t="s">
        <v>348</v>
      </c>
      <c r="D1439" t="s">
        <v>156</v>
      </c>
      <c r="E1439" t="s">
        <v>117</v>
      </c>
      <c r="F1439" t="s">
        <v>99</v>
      </c>
      <c r="G1439">
        <v>14280</v>
      </c>
      <c r="H1439" t="s">
        <v>359</v>
      </c>
      <c r="I1439">
        <v>2</v>
      </c>
      <c r="J1439" t="s">
        <v>105</v>
      </c>
      <c r="K1439" s="19">
        <v>0.29166666666666669</v>
      </c>
      <c r="L1439" s="19">
        <v>0.5625</v>
      </c>
      <c r="M1439">
        <v>6.5</v>
      </c>
      <c r="N1439">
        <v>174.3</v>
      </c>
      <c r="O1439">
        <v>55</v>
      </c>
      <c r="P1439">
        <v>76</v>
      </c>
      <c r="Q1439" t="s">
        <v>99</v>
      </c>
      <c r="R1439">
        <v>30</v>
      </c>
      <c r="S1439" s="19">
        <v>0.5</v>
      </c>
      <c r="U1439" s="19">
        <v>0</v>
      </c>
      <c r="V1439" t="s">
        <v>366</v>
      </c>
      <c r="W1439">
        <v>6</v>
      </c>
      <c r="X1439" t="s">
        <v>102</v>
      </c>
      <c r="Y1439" t="b">
        <v>0</v>
      </c>
    </row>
    <row r="1440" spans="1:25" x14ac:dyDescent="0.55000000000000004">
      <c r="A1440" t="s">
        <v>94</v>
      </c>
      <c r="B1440" t="s">
        <v>362</v>
      </c>
      <c r="C1440" t="s">
        <v>348</v>
      </c>
      <c r="D1440" t="s">
        <v>156</v>
      </c>
      <c r="E1440" t="s">
        <v>117</v>
      </c>
      <c r="F1440" t="s">
        <v>99</v>
      </c>
      <c r="G1440">
        <v>15616</v>
      </c>
      <c r="H1440" t="s">
        <v>369</v>
      </c>
      <c r="I1440">
        <v>1</v>
      </c>
      <c r="J1440" t="s">
        <v>107</v>
      </c>
      <c r="K1440" s="19">
        <v>0.29166666666666669</v>
      </c>
      <c r="L1440" s="19">
        <v>0.5625</v>
      </c>
      <c r="M1440">
        <v>6.5</v>
      </c>
      <c r="N1440">
        <v>158.28</v>
      </c>
      <c r="O1440">
        <v>32</v>
      </c>
      <c r="P1440">
        <v>76</v>
      </c>
      <c r="Q1440" t="s">
        <v>99</v>
      </c>
      <c r="R1440">
        <v>30</v>
      </c>
      <c r="S1440" s="19">
        <v>0.5</v>
      </c>
      <c r="U1440" s="19">
        <v>0</v>
      </c>
      <c r="V1440" t="s">
        <v>366</v>
      </c>
      <c r="W1440">
        <v>6</v>
      </c>
      <c r="X1440" t="s">
        <v>102</v>
      </c>
      <c r="Y1440" t="b">
        <v>0</v>
      </c>
    </row>
    <row r="1441" spans="1:25" x14ac:dyDescent="0.55000000000000004">
      <c r="A1441" t="s">
        <v>94</v>
      </c>
      <c r="B1441" t="s">
        <v>362</v>
      </c>
      <c r="C1441" t="s">
        <v>348</v>
      </c>
      <c r="D1441" t="s">
        <v>156</v>
      </c>
      <c r="E1441" t="s">
        <v>117</v>
      </c>
      <c r="F1441" t="s">
        <v>99</v>
      </c>
      <c r="G1441">
        <v>15616</v>
      </c>
      <c r="H1441" t="s">
        <v>369</v>
      </c>
      <c r="I1441">
        <v>1</v>
      </c>
      <c r="J1441" t="s">
        <v>101</v>
      </c>
      <c r="K1441" s="19">
        <v>0.3125</v>
      </c>
      <c r="L1441" s="19">
        <v>0.66666666666666663</v>
      </c>
      <c r="M1441">
        <v>8.5</v>
      </c>
      <c r="N1441">
        <v>211.04</v>
      </c>
      <c r="O1441">
        <v>32</v>
      </c>
      <c r="P1441">
        <v>76</v>
      </c>
      <c r="Q1441" t="s">
        <v>99</v>
      </c>
      <c r="R1441">
        <v>30</v>
      </c>
      <c r="S1441" s="19">
        <v>0.52083333333333337</v>
      </c>
      <c r="U1441" s="19">
        <v>0</v>
      </c>
      <c r="V1441" t="s">
        <v>368</v>
      </c>
      <c r="W1441">
        <v>8</v>
      </c>
      <c r="X1441" t="s">
        <v>102</v>
      </c>
      <c r="Y1441" t="b">
        <v>0</v>
      </c>
    </row>
    <row r="1442" spans="1:25" x14ac:dyDescent="0.55000000000000004">
      <c r="A1442" t="s">
        <v>94</v>
      </c>
      <c r="B1442" t="s">
        <v>362</v>
      </c>
      <c r="C1442" t="s">
        <v>348</v>
      </c>
      <c r="D1442" t="s">
        <v>156</v>
      </c>
      <c r="E1442" t="s">
        <v>117</v>
      </c>
      <c r="F1442" t="s">
        <v>99</v>
      </c>
      <c r="G1442">
        <v>15616</v>
      </c>
      <c r="H1442" t="s">
        <v>369</v>
      </c>
      <c r="I1442">
        <v>2</v>
      </c>
      <c r="J1442" t="s">
        <v>107</v>
      </c>
      <c r="K1442" s="19">
        <v>0.29166666666666669</v>
      </c>
      <c r="L1442" s="19">
        <v>0.5625</v>
      </c>
      <c r="M1442">
        <v>6.5</v>
      </c>
      <c r="N1442">
        <v>158.28</v>
      </c>
      <c r="O1442">
        <v>32</v>
      </c>
      <c r="P1442">
        <v>76</v>
      </c>
      <c r="Q1442" t="s">
        <v>99</v>
      </c>
      <c r="R1442">
        <v>30</v>
      </c>
      <c r="S1442" s="19">
        <v>0.5</v>
      </c>
      <c r="U1442" s="19">
        <v>0</v>
      </c>
      <c r="V1442" t="s">
        <v>366</v>
      </c>
      <c r="W1442">
        <v>6</v>
      </c>
      <c r="X1442" t="s">
        <v>102</v>
      </c>
      <c r="Y1442" t="b">
        <v>0</v>
      </c>
    </row>
    <row r="1443" spans="1:25" x14ac:dyDescent="0.55000000000000004">
      <c r="A1443" t="s">
        <v>94</v>
      </c>
      <c r="B1443" t="s">
        <v>362</v>
      </c>
      <c r="C1443" t="s">
        <v>348</v>
      </c>
      <c r="D1443" t="s">
        <v>156</v>
      </c>
      <c r="E1443" t="s">
        <v>117</v>
      </c>
      <c r="F1443" t="s">
        <v>99</v>
      </c>
      <c r="G1443">
        <v>15616</v>
      </c>
      <c r="H1443" t="s">
        <v>369</v>
      </c>
      <c r="I1443">
        <v>2</v>
      </c>
      <c r="J1443" t="s">
        <v>101</v>
      </c>
      <c r="K1443" s="19">
        <v>0.27083333333333331</v>
      </c>
      <c r="L1443" s="19">
        <v>0.625</v>
      </c>
      <c r="M1443">
        <v>8.5</v>
      </c>
      <c r="N1443">
        <v>211.04</v>
      </c>
      <c r="O1443">
        <v>32</v>
      </c>
      <c r="P1443">
        <v>76</v>
      </c>
      <c r="Q1443" t="s">
        <v>99</v>
      </c>
      <c r="R1443">
        <v>30</v>
      </c>
      <c r="S1443" s="19">
        <v>0.47916666666666669</v>
      </c>
      <c r="U1443" s="19">
        <v>0</v>
      </c>
      <c r="V1443" t="s">
        <v>365</v>
      </c>
      <c r="W1443">
        <v>8</v>
      </c>
      <c r="X1443" t="s">
        <v>102</v>
      </c>
      <c r="Y1443" t="b">
        <v>0</v>
      </c>
    </row>
    <row r="1444" spans="1:25" x14ac:dyDescent="0.55000000000000004">
      <c r="A1444" t="s">
        <v>94</v>
      </c>
      <c r="B1444" t="s">
        <v>362</v>
      </c>
      <c r="C1444" t="s">
        <v>348</v>
      </c>
      <c r="D1444" t="s">
        <v>156</v>
      </c>
      <c r="E1444" t="s">
        <v>117</v>
      </c>
      <c r="F1444" t="s">
        <v>99</v>
      </c>
      <c r="G1444">
        <v>15616</v>
      </c>
      <c r="H1444" t="s">
        <v>369</v>
      </c>
      <c r="I1444">
        <v>2</v>
      </c>
      <c r="J1444" t="s">
        <v>103</v>
      </c>
      <c r="K1444" s="19">
        <v>0.29166666666666669</v>
      </c>
      <c r="L1444" s="19">
        <v>0.5625</v>
      </c>
      <c r="M1444">
        <v>6.5</v>
      </c>
      <c r="N1444">
        <v>158.28</v>
      </c>
      <c r="O1444">
        <v>32</v>
      </c>
      <c r="P1444">
        <v>76</v>
      </c>
      <c r="Q1444" t="s">
        <v>99</v>
      </c>
      <c r="R1444">
        <v>30</v>
      </c>
      <c r="S1444" s="19">
        <v>0.5</v>
      </c>
      <c r="U1444" s="19">
        <v>0</v>
      </c>
      <c r="V1444" t="s">
        <v>366</v>
      </c>
      <c r="W1444">
        <v>6</v>
      </c>
      <c r="X1444" t="s">
        <v>102</v>
      </c>
      <c r="Y1444" t="b">
        <v>0</v>
      </c>
    </row>
    <row r="1445" spans="1:25" x14ac:dyDescent="0.55000000000000004">
      <c r="A1445" t="s">
        <v>94</v>
      </c>
      <c r="B1445" t="s">
        <v>370</v>
      </c>
      <c r="C1445" t="s">
        <v>348</v>
      </c>
      <c r="D1445" t="s">
        <v>160</v>
      </c>
      <c r="E1445" t="s">
        <v>164</v>
      </c>
      <c r="F1445" t="s">
        <v>99</v>
      </c>
      <c r="G1445">
        <v>10938</v>
      </c>
      <c r="H1445" t="s">
        <v>342</v>
      </c>
      <c r="I1445">
        <v>1</v>
      </c>
      <c r="J1445" t="s">
        <v>103</v>
      </c>
      <c r="K1445" s="19">
        <v>0.41666666666666669</v>
      </c>
      <c r="L1445" s="19">
        <v>0.58333333333333337</v>
      </c>
      <c r="M1445">
        <v>4</v>
      </c>
      <c r="N1445">
        <v>116.2</v>
      </c>
      <c r="O1445">
        <v>12</v>
      </c>
      <c r="P1445">
        <v>76</v>
      </c>
      <c r="Q1445" t="s">
        <v>99</v>
      </c>
      <c r="R1445">
        <v>0</v>
      </c>
      <c r="S1445" s="19">
        <v>0.54166666666666663</v>
      </c>
      <c r="U1445" s="19"/>
      <c r="V1445" t="s">
        <v>343</v>
      </c>
      <c r="W1445">
        <v>4</v>
      </c>
      <c r="X1445" t="s">
        <v>102</v>
      </c>
      <c r="Y1445" t="b">
        <v>0</v>
      </c>
    </row>
    <row r="1446" spans="1:25" x14ac:dyDescent="0.55000000000000004">
      <c r="A1446" t="s">
        <v>94</v>
      </c>
      <c r="B1446" t="s">
        <v>370</v>
      </c>
      <c r="C1446" t="s">
        <v>348</v>
      </c>
      <c r="D1446" t="s">
        <v>160</v>
      </c>
      <c r="E1446" t="s">
        <v>164</v>
      </c>
      <c r="F1446" t="s">
        <v>99</v>
      </c>
      <c r="G1446">
        <v>10938</v>
      </c>
      <c r="H1446" t="s">
        <v>342</v>
      </c>
      <c r="I1446">
        <v>2</v>
      </c>
      <c r="J1446" t="s">
        <v>103</v>
      </c>
      <c r="K1446" s="19">
        <v>0.41666666666666669</v>
      </c>
      <c r="L1446" s="19">
        <v>0.58333333333333337</v>
      </c>
      <c r="M1446">
        <v>4</v>
      </c>
      <c r="N1446">
        <v>116.2</v>
      </c>
      <c r="O1446">
        <v>12</v>
      </c>
      <c r="P1446">
        <v>76</v>
      </c>
      <c r="Q1446" t="s">
        <v>99</v>
      </c>
      <c r="R1446">
        <v>0</v>
      </c>
      <c r="S1446" s="19">
        <v>0.54166666666666663</v>
      </c>
      <c r="U1446" s="19"/>
      <c r="V1446" t="s">
        <v>343</v>
      </c>
      <c r="W1446">
        <v>4</v>
      </c>
      <c r="X1446" t="s">
        <v>102</v>
      </c>
      <c r="Y1446" t="b">
        <v>0</v>
      </c>
    </row>
    <row r="1447" spans="1:25" x14ac:dyDescent="0.55000000000000004">
      <c r="A1447" t="s">
        <v>94</v>
      </c>
      <c r="B1447" t="s">
        <v>370</v>
      </c>
      <c r="C1447" t="s">
        <v>348</v>
      </c>
      <c r="D1447" t="s">
        <v>160</v>
      </c>
      <c r="E1447" t="s">
        <v>164</v>
      </c>
      <c r="F1447" t="s">
        <v>99</v>
      </c>
      <c r="G1447">
        <v>10981</v>
      </c>
      <c r="H1447" t="s">
        <v>371</v>
      </c>
      <c r="I1447">
        <v>1</v>
      </c>
      <c r="J1447" t="s">
        <v>107</v>
      </c>
      <c r="K1447" s="19">
        <v>0.3125</v>
      </c>
      <c r="L1447" s="19">
        <v>0.66666666666666663</v>
      </c>
      <c r="M1447">
        <v>8.5</v>
      </c>
      <c r="N1447">
        <v>287.36</v>
      </c>
      <c r="O1447">
        <v>72</v>
      </c>
      <c r="P1447">
        <v>76</v>
      </c>
      <c r="Q1447" t="s">
        <v>99</v>
      </c>
      <c r="R1447">
        <v>30</v>
      </c>
      <c r="S1447" s="19">
        <v>0.52083333333333337</v>
      </c>
      <c r="U1447" s="19"/>
      <c r="V1447" t="s">
        <v>372</v>
      </c>
      <c r="W1447">
        <v>8</v>
      </c>
      <c r="X1447" t="s">
        <v>102</v>
      </c>
      <c r="Y1447" t="b">
        <v>0</v>
      </c>
    </row>
    <row r="1448" spans="1:25" x14ac:dyDescent="0.55000000000000004">
      <c r="A1448" t="s">
        <v>94</v>
      </c>
      <c r="B1448" t="s">
        <v>370</v>
      </c>
      <c r="C1448" t="s">
        <v>348</v>
      </c>
      <c r="D1448" t="s">
        <v>160</v>
      </c>
      <c r="E1448" t="s">
        <v>164</v>
      </c>
      <c r="F1448" t="s">
        <v>99</v>
      </c>
      <c r="G1448">
        <v>10981</v>
      </c>
      <c r="H1448" t="s">
        <v>371</v>
      </c>
      <c r="I1448">
        <v>1</v>
      </c>
      <c r="J1448" t="s">
        <v>103</v>
      </c>
      <c r="K1448" s="19">
        <v>0.3125</v>
      </c>
      <c r="L1448" s="19">
        <v>0.66666666666666663</v>
      </c>
      <c r="M1448">
        <v>8.5</v>
      </c>
      <c r="N1448">
        <v>287.36</v>
      </c>
      <c r="O1448">
        <v>72</v>
      </c>
      <c r="P1448">
        <v>76</v>
      </c>
      <c r="Q1448" t="s">
        <v>99</v>
      </c>
      <c r="R1448">
        <v>30</v>
      </c>
      <c r="S1448" s="19">
        <v>0.52083333333333337</v>
      </c>
      <c r="U1448" s="19"/>
      <c r="V1448" t="s">
        <v>372</v>
      </c>
      <c r="W1448">
        <v>8</v>
      </c>
      <c r="X1448" t="s">
        <v>102</v>
      </c>
      <c r="Y1448" t="b">
        <v>0</v>
      </c>
    </row>
    <row r="1449" spans="1:25" x14ac:dyDescent="0.55000000000000004">
      <c r="A1449" t="s">
        <v>94</v>
      </c>
      <c r="B1449" t="s">
        <v>370</v>
      </c>
      <c r="C1449" t="s">
        <v>348</v>
      </c>
      <c r="D1449" t="s">
        <v>160</v>
      </c>
      <c r="E1449" t="s">
        <v>164</v>
      </c>
      <c r="F1449" t="s">
        <v>99</v>
      </c>
      <c r="G1449">
        <v>10981</v>
      </c>
      <c r="H1449" t="s">
        <v>371</v>
      </c>
      <c r="I1449">
        <v>1</v>
      </c>
      <c r="J1449" t="s">
        <v>104</v>
      </c>
      <c r="K1449" s="19">
        <v>0.3125</v>
      </c>
      <c r="L1449" s="19">
        <v>0.66666666666666663</v>
      </c>
      <c r="M1449">
        <v>8.5</v>
      </c>
      <c r="N1449">
        <v>287.36</v>
      </c>
      <c r="O1449">
        <v>72</v>
      </c>
      <c r="P1449">
        <v>76</v>
      </c>
      <c r="Q1449" t="s">
        <v>99</v>
      </c>
      <c r="R1449">
        <v>30</v>
      </c>
      <c r="S1449" s="19">
        <v>0.52083333333333337</v>
      </c>
      <c r="U1449" s="19"/>
      <c r="V1449" t="s">
        <v>372</v>
      </c>
      <c r="W1449">
        <v>8</v>
      </c>
      <c r="X1449" t="s">
        <v>102</v>
      </c>
      <c r="Y1449" t="b">
        <v>0</v>
      </c>
    </row>
    <row r="1450" spans="1:25" x14ac:dyDescent="0.55000000000000004">
      <c r="A1450" t="s">
        <v>94</v>
      </c>
      <c r="B1450" t="s">
        <v>370</v>
      </c>
      <c r="C1450" t="s">
        <v>348</v>
      </c>
      <c r="D1450" t="s">
        <v>160</v>
      </c>
      <c r="E1450" t="s">
        <v>164</v>
      </c>
      <c r="F1450" t="s">
        <v>99</v>
      </c>
      <c r="G1450">
        <v>10981</v>
      </c>
      <c r="H1450" t="s">
        <v>371</v>
      </c>
      <c r="I1450">
        <v>1</v>
      </c>
      <c r="J1450" t="s">
        <v>105</v>
      </c>
      <c r="K1450" s="19">
        <v>0.3125</v>
      </c>
      <c r="L1450" s="19">
        <v>0.66666666666666663</v>
      </c>
      <c r="M1450">
        <v>8.5</v>
      </c>
      <c r="N1450">
        <v>287.36</v>
      </c>
      <c r="O1450">
        <v>72</v>
      </c>
      <c r="P1450">
        <v>76</v>
      </c>
      <c r="Q1450" t="s">
        <v>99</v>
      </c>
      <c r="R1450">
        <v>30</v>
      </c>
      <c r="S1450" s="19">
        <v>0.52083333333333337</v>
      </c>
      <c r="U1450" s="19"/>
      <c r="V1450" t="s">
        <v>372</v>
      </c>
      <c r="W1450">
        <v>8</v>
      </c>
      <c r="X1450" t="s">
        <v>102</v>
      </c>
      <c r="Y1450" t="b">
        <v>0</v>
      </c>
    </row>
    <row r="1451" spans="1:25" x14ac:dyDescent="0.55000000000000004">
      <c r="A1451" t="s">
        <v>94</v>
      </c>
      <c r="B1451" t="s">
        <v>370</v>
      </c>
      <c r="C1451" t="s">
        <v>348</v>
      </c>
      <c r="D1451" t="s">
        <v>160</v>
      </c>
      <c r="E1451" t="s">
        <v>164</v>
      </c>
      <c r="F1451" t="s">
        <v>99</v>
      </c>
      <c r="G1451">
        <v>10981</v>
      </c>
      <c r="H1451" t="s">
        <v>371</v>
      </c>
      <c r="I1451">
        <v>2</v>
      </c>
      <c r="J1451" t="s">
        <v>116</v>
      </c>
      <c r="K1451" s="19">
        <v>0.52083333333333337</v>
      </c>
      <c r="L1451" s="19">
        <v>0.6875</v>
      </c>
      <c r="M1451">
        <v>4</v>
      </c>
      <c r="N1451">
        <v>251.44</v>
      </c>
      <c r="O1451">
        <v>72</v>
      </c>
      <c r="P1451">
        <v>76</v>
      </c>
      <c r="Q1451" t="s">
        <v>99</v>
      </c>
      <c r="R1451">
        <v>0</v>
      </c>
      <c r="S1451" s="19">
        <v>0.54166666666666663</v>
      </c>
      <c r="U1451" s="19"/>
      <c r="V1451" t="s">
        <v>373</v>
      </c>
      <c r="W1451">
        <v>4</v>
      </c>
      <c r="X1451" t="s">
        <v>102</v>
      </c>
      <c r="Y1451" t="b">
        <v>0</v>
      </c>
    </row>
    <row r="1452" spans="1:25" x14ac:dyDescent="0.55000000000000004">
      <c r="A1452" t="s">
        <v>94</v>
      </c>
      <c r="B1452" t="s">
        <v>370</v>
      </c>
      <c r="C1452" t="s">
        <v>348</v>
      </c>
      <c r="D1452" t="s">
        <v>160</v>
      </c>
      <c r="E1452" t="s">
        <v>164</v>
      </c>
      <c r="F1452" t="s">
        <v>99</v>
      </c>
      <c r="G1452">
        <v>10981</v>
      </c>
      <c r="H1452" t="s">
        <v>371</v>
      </c>
      <c r="I1452">
        <v>2</v>
      </c>
      <c r="J1452" t="s">
        <v>103</v>
      </c>
      <c r="K1452" s="19">
        <v>0.3125</v>
      </c>
      <c r="L1452" s="19">
        <v>0.66666666666666663</v>
      </c>
      <c r="M1452">
        <v>8.5</v>
      </c>
      <c r="N1452">
        <v>287.36</v>
      </c>
      <c r="O1452">
        <v>72</v>
      </c>
      <c r="P1452">
        <v>76</v>
      </c>
      <c r="Q1452" t="s">
        <v>99</v>
      </c>
      <c r="R1452">
        <v>30</v>
      </c>
      <c r="S1452" s="19">
        <v>0.52083333333333337</v>
      </c>
      <c r="U1452" s="19"/>
      <c r="V1452" t="s">
        <v>372</v>
      </c>
      <c r="W1452">
        <v>8</v>
      </c>
      <c r="X1452" t="s">
        <v>102</v>
      </c>
      <c r="Y1452" t="b">
        <v>0</v>
      </c>
    </row>
    <row r="1453" spans="1:25" x14ac:dyDescent="0.55000000000000004">
      <c r="A1453" t="s">
        <v>94</v>
      </c>
      <c r="B1453" t="s">
        <v>370</v>
      </c>
      <c r="C1453" t="s">
        <v>348</v>
      </c>
      <c r="D1453" t="s">
        <v>160</v>
      </c>
      <c r="E1453" t="s">
        <v>164</v>
      </c>
      <c r="F1453" t="s">
        <v>99</v>
      </c>
      <c r="G1453">
        <v>13637</v>
      </c>
      <c r="H1453" t="s">
        <v>374</v>
      </c>
      <c r="I1453">
        <v>1</v>
      </c>
      <c r="J1453" t="s">
        <v>107</v>
      </c>
      <c r="K1453" s="19">
        <v>0.375</v>
      </c>
      <c r="L1453" s="19">
        <v>0.70833333333333337</v>
      </c>
      <c r="M1453">
        <v>8</v>
      </c>
      <c r="N1453">
        <v>271.72000000000003</v>
      </c>
      <c r="O1453">
        <v>60</v>
      </c>
      <c r="P1453">
        <v>76</v>
      </c>
      <c r="Q1453" t="s">
        <v>99</v>
      </c>
      <c r="R1453">
        <v>30</v>
      </c>
      <c r="S1453" s="19">
        <v>0.54166666666666663</v>
      </c>
      <c r="U1453" s="19">
        <v>0.41666666666666669</v>
      </c>
      <c r="V1453" t="s">
        <v>375</v>
      </c>
      <c r="W1453">
        <v>7.5</v>
      </c>
      <c r="X1453" t="s">
        <v>102</v>
      </c>
      <c r="Y1453" t="b">
        <v>0</v>
      </c>
    </row>
    <row r="1454" spans="1:25" x14ac:dyDescent="0.55000000000000004">
      <c r="A1454" t="s">
        <v>94</v>
      </c>
      <c r="B1454" t="s">
        <v>370</v>
      </c>
      <c r="C1454" t="s">
        <v>348</v>
      </c>
      <c r="D1454" t="s">
        <v>160</v>
      </c>
      <c r="E1454" t="s">
        <v>164</v>
      </c>
      <c r="F1454" t="s">
        <v>99</v>
      </c>
      <c r="G1454">
        <v>13637</v>
      </c>
      <c r="H1454" t="s">
        <v>374</v>
      </c>
      <c r="I1454">
        <v>1</v>
      </c>
      <c r="J1454" t="s">
        <v>103</v>
      </c>
      <c r="K1454" s="19">
        <v>0.375</v>
      </c>
      <c r="L1454" s="19">
        <v>0.70833333333333337</v>
      </c>
      <c r="M1454">
        <v>8</v>
      </c>
      <c r="N1454">
        <v>271.72000000000003</v>
      </c>
      <c r="O1454">
        <v>60</v>
      </c>
      <c r="P1454">
        <v>76</v>
      </c>
      <c r="Q1454" t="s">
        <v>99</v>
      </c>
      <c r="R1454">
        <v>30</v>
      </c>
      <c r="S1454" s="19">
        <v>0.54166666666666663</v>
      </c>
      <c r="U1454" s="19"/>
      <c r="V1454" t="s">
        <v>375</v>
      </c>
      <c r="W1454">
        <v>7.5</v>
      </c>
      <c r="X1454" t="s">
        <v>102</v>
      </c>
      <c r="Y1454" t="b">
        <v>0</v>
      </c>
    </row>
    <row r="1455" spans="1:25" x14ac:dyDescent="0.55000000000000004">
      <c r="A1455" t="s">
        <v>94</v>
      </c>
      <c r="B1455" t="s">
        <v>370</v>
      </c>
      <c r="C1455" t="s">
        <v>348</v>
      </c>
      <c r="D1455" t="s">
        <v>160</v>
      </c>
      <c r="E1455" t="s">
        <v>164</v>
      </c>
      <c r="F1455" t="s">
        <v>99</v>
      </c>
      <c r="G1455">
        <v>13637</v>
      </c>
      <c r="H1455" t="s">
        <v>374</v>
      </c>
      <c r="I1455">
        <v>1</v>
      </c>
      <c r="J1455" t="s">
        <v>104</v>
      </c>
      <c r="K1455" s="19">
        <v>0.375</v>
      </c>
      <c r="L1455" s="19">
        <v>0.70833333333333337</v>
      </c>
      <c r="M1455">
        <v>8</v>
      </c>
      <c r="N1455">
        <v>271.72000000000003</v>
      </c>
      <c r="O1455">
        <v>60</v>
      </c>
      <c r="P1455">
        <v>76</v>
      </c>
      <c r="Q1455" t="s">
        <v>99</v>
      </c>
      <c r="R1455">
        <v>30</v>
      </c>
      <c r="S1455" s="19">
        <v>0.54166666666666663</v>
      </c>
      <c r="U1455" s="19"/>
      <c r="V1455" t="s">
        <v>375</v>
      </c>
      <c r="W1455">
        <v>7.5</v>
      </c>
      <c r="X1455" t="s">
        <v>102</v>
      </c>
      <c r="Y1455" t="b">
        <v>0</v>
      </c>
    </row>
    <row r="1456" spans="1:25" x14ac:dyDescent="0.55000000000000004">
      <c r="A1456" t="s">
        <v>94</v>
      </c>
      <c r="B1456" t="s">
        <v>370</v>
      </c>
      <c r="C1456" t="s">
        <v>348</v>
      </c>
      <c r="D1456" t="s">
        <v>160</v>
      </c>
      <c r="E1456" t="s">
        <v>164</v>
      </c>
      <c r="F1456" t="s">
        <v>99</v>
      </c>
      <c r="G1456">
        <v>13637</v>
      </c>
      <c r="H1456" t="s">
        <v>374</v>
      </c>
      <c r="I1456">
        <v>1</v>
      </c>
      <c r="J1456" t="s">
        <v>105</v>
      </c>
      <c r="K1456" s="19">
        <v>0.375</v>
      </c>
      <c r="L1456" s="19">
        <v>0.70833333333333337</v>
      </c>
      <c r="M1456">
        <v>8</v>
      </c>
      <c r="N1456">
        <v>271.72000000000003</v>
      </c>
      <c r="O1456">
        <v>60</v>
      </c>
      <c r="P1456">
        <v>76</v>
      </c>
      <c r="Q1456" t="s">
        <v>99</v>
      </c>
      <c r="R1456">
        <v>30</v>
      </c>
      <c r="S1456" s="19">
        <v>0.54166666666666663</v>
      </c>
      <c r="U1456" s="19"/>
      <c r="V1456" t="s">
        <v>375</v>
      </c>
      <c r="W1456">
        <v>7.5</v>
      </c>
      <c r="X1456" t="s">
        <v>102</v>
      </c>
      <c r="Y1456" t="b">
        <v>0</v>
      </c>
    </row>
    <row r="1457" spans="1:25" x14ac:dyDescent="0.55000000000000004">
      <c r="A1457" t="s">
        <v>94</v>
      </c>
      <c r="B1457" t="s">
        <v>370</v>
      </c>
      <c r="C1457" t="s">
        <v>348</v>
      </c>
      <c r="D1457" t="s">
        <v>160</v>
      </c>
      <c r="E1457" t="s">
        <v>164</v>
      </c>
      <c r="F1457" t="s">
        <v>99</v>
      </c>
      <c r="G1457">
        <v>13637</v>
      </c>
      <c r="H1457" t="s">
        <v>374</v>
      </c>
      <c r="I1457">
        <v>2</v>
      </c>
      <c r="J1457" t="s">
        <v>107</v>
      </c>
      <c r="K1457" s="19">
        <v>0.375</v>
      </c>
      <c r="L1457" s="19">
        <v>0.70833333333333337</v>
      </c>
      <c r="M1457">
        <v>8</v>
      </c>
      <c r="N1457">
        <v>271.72000000000003</v>
      </c>
      <c r="O1457">
        <v>60</v>
      </c>
      <c r="P1457">
        <v>76</v>
      </c>
      <c r="Q1457" t="s">
        <v>99</v>
      </c>
      <c r="R1457">
        <v>30</v>
      </c>
      <c r="S1457" s="19">
        <v>0.54166666666666663</v>
      </c>
      <c r="U1457" s="19"/>
      <c r="V1457" t="s">
        <v>375</v>
      </c>
      <c r="W1457">
        <v>7.5</v>
      </c>
      <c r="X1457" t="s">
        <v>102</v>
      </c>
      <c r="Y1457" t="b">
        <v>0</v>
      </c>
    </row>
    <row r="1458" spans="1:25" x14ac:dyDescent="0.55000000000000004">
      <c r="A1458" t="s">
        <v>94</v>
      </c>
      <c r="B1458" t="s">
        <v>370</v>
      </c>
      <c r="C1458" t="s">
        <v>348</v>
      </c>
      <c r="D1458" t="s">
        <v>160</v>
      </c>
      <c r="E1458" t="s">
        <v>164</v>
      </c>
      <c r="F1458" t="s">
        <v>99</v>
      </c>
      <c r="G1458">
        <v>13637</v>
      </c>
      <c r="H1458" t="s">
        <v>374</v>
      </c>
      <c r="I1458">
        <v>2</v>
      </c>
      <c r="J1458" t="s">
        <v>101</v>
      </c>
      <c r="K1458" s="19">
        <v>0.375</v>
      </c>
      <c r="L1458" s="19">
        <v>0.70833333333333337</v>
      </c>
      <c r="M1458">
        <v>8</v>
      </c>
      <c r="N1458">
        <v>271.72000000000003</v>
      </c>
      <c r="O1458">
        <v>60</v>
      </c>
      <c r="P1458">
        <v>76</v>
      </c>
      <c r="Q1458" t="s">
        <v>99</v>
      </c>
      <c r="R1458">
        <v>30</v>
      </c>
      <c r="S1458" s="19">
        <v>0.54166666666666663</v>
      </c>
      <c r="U1458" s="19">
        <v>0.41666666666666669</v>
      </c>
      <c r="V1458" t="s">
        <v>375</v>
      </c>
      <c r="W1458">
        <v>7.5</v>
      </c>
      <c r="X1458" t="s">
        <v>102</v>
      </c>
      <c r="Y1458" t="b">
        <v>0</v>
      </c>
    </row>
    <row r="1459" spans="1:25" x14ac:dyDescent="0.55000000000000004">
      <c r="A1459" t="s">
        <v>94</v>
      </c>
      <c r="B1459" t="s">
        <v>370</v>
      </c>
      <c r="C1459" t="s">
        <v>348</v>
      </c>
      <c r="D1459" t="s">
        <v>160</v>
      </c>
      <c r="E1459" t="s">
        <v>164</v>
      </c>
      <c r="F1459" t="s">
        <v>99</v>
      </c>
      <c r="G1459">
        <v>13637</v>
      </c>
      <c r="H1459" t="s">
        <v>374</v>
      </c>
      <c r="I1459">
        <v>2</v>
      </c>
      <c r="J1459" t="s">
        <v>103</v>
      </c>
      <c r="K1459" s="19">
        <v>0.375</v>
      </c>
      <c r="L1459" s="19">
        <v>0.70833333333333337</v>
      </c>
      <c r="M1459">
        <v>8</v>
      </c>
      <c r="N1459">
        <v>271.72000000000003</v>
      </c>
      <c r="O1459">
        <v>60</v>
      </c>
      <c r="P1459">
        <v>76</v>
      </c>
      <c r="Q1459" t="s">
        <v>99</v>
      </c>
      <c r="R1459">
        <v>30</v>
      </c>
      <c r="S1459" s="19">
        <v>0.54166666666666663</v>
      </c>
      <c r="U1459" s="19"/>
      <c r="V1459" t="s">
        <v>375</v>
      </c>
      <c r="W1459">
        <v>7.5</v>
      </c>
      <c r="X1459" t="s">
        <v>102</v>
      </c>
      <c r="Y1459" t="b">
        <v>0</v>
      </c>
    </row>
    <row r="1460" spans="1:25" x14ac:dyDescent="0.55000000000000004">
      <c r="A1460" t="s">
        <v>94</v>
      </c>
      <c r="B1460" t="s">
        <v>370</v>
      </c>
      <c r="C1460" t="s">
        <v>348</v>
      </c>
      <c r="D1460" t="s">
        <v>160</v>
      </c>
      <c r="E1460" t="s">
        <v>164</v>
      </c>
      <c r="F1460" t="s">
        <v>99</v>
      </c>
      <c r="G1460">
        <v>13637</v>
      </c>
      <c r="H1460" t="s">
        <v>374</v>
      </c>
      <c r="I1460">
        <v>2</v>
      </c>
      <c r="J1460" t="s">
        <v>104</v>
      </c>
      <c r="K1460" s="19">
        <v>0.375</v>
      </c>
      <c r="L1460" s="19">
        <v>0.70833333333333337</v>
      </c>
      <c r="M1460">
        <v>8</v>
      </c>
      <c r="N1460">
        <v>271.72000000000003</v>
      </c>
      <c r="O1460">
        <v>60</v>
      </c>
      <c r="P1460">
        <v>76</v>
      </c>
      <c r="Q1460" t="s">
        <v>99</v>
      </c>
      <c r="R1460">
        <v>30</v>
      </c>
      <c r="S1460" s="19">
        <v>0.54166666666666663</v>
      </c>
      <c r="U1460" s="19"/>
      <c r="V1460" t="s">
        <v>375</v>
      </c>
      <c r="W1460">
        <v>7.5</v>
      </c>
      <c r="X1460" t="s">
        <v>102</v>
      </c>
      <c r="Y1460" t="b">
        <v>0</v>
      </c>
    </row>
    <row r="1461" spans="1:25" x14ac:dyDescent="0.55000000000000004">
      <c r="A1461" t="s">
        <v>94</v>
      </c>
      <c r="B1461" t="s">
        <v>370</v>
      </c>
      <c r="C1461" t="s">
        <v>348</v>
      </c>
      <c r="D1461" t="s">
        <v>160</v>
      </c>
      <c r="E1461" t="s">
        <v>164</v>
      </c>
      <c r="F1461" t="s">
        <v>99</v>
      </c>
      <c r="G1461">
        <v>13637</v>
      </c>
      <c r="H1461" t="s">
        <v>374</v>
      </c>
      <c r="I1461">
        <v>2</v>
      </c>
      <c r="J1461" t="s">
        <v>105</v>
      </c>
      <c r="K1461" s="19">
        <v>0.375</v>
      </c>
      <c r="L1461" s="19">
        <v>0.70833333333333337</v>
      </c>
      <c r="M1461">
        <v>8</v>
      </c>
      <c r="N1461">
        <v>271.72000000000003</v>
      </c>
      <c r="O1461">
        <v>60</v>
      </c>
      <c r="P1461">
        <v>76</v>
      </c>
      <c r="Q1461" t="s">
        <v>99</v>
      </c>
      <c r="R1461">
        <v>30</v>
      </c>
      <c r="S1461" s="19">
        <v>0.54166666666666663</v>
      </c>
      <c r="U1461" s="19">
        <v>0.41666666666666669</v>
      </c>
      <c r="V1461" t="s">
        <v>375</v>
      </c>
      <c r="W1461">
        <v>7.5</v>
      </c>
      <c r="X1461" t="s">
        <v>102</v>
      </c>
      <c r="Y1461" t="b">
        <v>0</v>
      </c>
    </row>
    <row r="1462" spans="1:25" x14ac:dyDescent="0.55000000000000004">
      <c r="A1462" t="s">
        <v>94</v>
      </c>
      <c r="B1462" t="s">
        <v>370</v>
      </c>
      <c r="C1462" t="s">
        <v>348</v>
      </c>
      <c r="D1462" t="s">
        <v>160</v>
      </c>
      <c r="E1462" t="s">
        <v>164</v>
      </c>
      <c r="F1462" t="s">
        <v>376</v>
      </c>
      <c r="G1462">
        <v>13637</v>
      </c>
      <c r="H1462" t="s">
        <v>374</v>
      </c>
      <c r="I1462">
        <v>1</v>
      </c>
      <c r="J1462" t="s">
        <v>101</v>
      </c>
      <c r="K1462" s="19">
        <v>0.375</v>
      </c>
      <c r="L1462" s="19">
        <v>0.70833333333333337</v>
      </c>
      <c r="M1462">
        <v>8</v>
      </c>
      <c r="N1462">
        <v>271.72000000000003</v>
      </c>
      <c r="O1462">
        <v>60</v>
      </c>
      <c r="P1462">
        <v>76</v>
      </c>
      <c r="Q1462" t="s">
        <v>99</v>
      </c>
      <c r="R1462">
        <v>30</v>
      </c>
      <c r="S1462" s="19">
        <v>0.54166666666666663</v>
      </c>
      <c r="U1462" s="19"/>
      <c r="V1462" t="s">
        <v>375</v>
      </c>
      <c r="W1462">
        <v>7.5</v>
      </c>
      <c r="X1462" t="s">
        <v>102</v>
      </c>
      <c r="Y1462" t="b">
        <v>0</v>
      </c>
    </row>
    <row r="1463" spans="1:25" x14ac:dyDescent="0.55000000000000004">
      <c r="A1463" t="s">
        <v>94</v>
      </c>
      <c r="B1463" t="s">
        <v>370</v>
      </c>
      <c r="C1463" t="s">
        <v>348</v>
      </c>
      <c r="D1463" t="s">
        <v>160</v>
      </c>
      <c r="E1463" t="s">
        <v>164</v>
      </c>
      <c r="F1463" t="s">
        <v>353</v>
      </c>
      <c r="G1463">
        <v>10981</v>
      </c>
      <c r="H1463" t="s">
        <v>371</v>
      </c>
      <c r="I1463">
        <v>2</v>
      </c>
      <c r="J1463" t="s">
        <v>107</v>
      </c>
      <c r="K1463" s="19">
        <v>0.3125</v>
      </c>
      <c r="L1463" s="19">
        <v>0.66666666666666663</v>
      </c>
      <c r="M1463">
        <v>8.5</v>
      </c>
      <c r="N1463">
        <v>287.36</v>
      </c>
      <c r="O1463">
        <v>72</v>
      </c>
      <c r="P1463">
        <v>76</v>
      </c>
      <c r="Q1463" t="s">
        <v>99</v>
      </c>
      <c r="R1463">
        <v>30</v>
      </c>
      <c r="S1463" s="19">
        <v>0.52083333333333337</v>
      </c>
      <c r="U1463" s="19"/>
      <c r="V1463" t="s">
        <v>372</v>
      </c>
      <c r="W1463">
        <v>8</v>
      </c>
      <c r="X1463" t="s">
        <v>102</v>
      </c>
      <c r="Y1463" t="b">
        <v>0</v>
      </c>
    </row>
    <row r="1464" spans="1:25" x14ac:dyDescent="0.55000000000000004">
      <c r="A1464" t="s">
        <v>94</v>
      </c>
      <c r="B1464" t="s">
        <v>370</v>
      </c>
      <c r="C1464" t="s">
        <v>348</v>
      </c>
      <c r="D1464" t="s">
        <v>160</v>
      </c>
      <c r="E1464" t="s">
        <v>164</v>
      </c>
      <c r="F1464" t="s">
        <v>353</v>
      </c>
      <c r="G1464">
        <v>10981</v>
      </c>
      <c r="H1464" t="s">
        <v>371</v>
      </c>
      <c r="I1464">
        <v>2</v>
      </c>
      <c r="J1464" t="s">
        <v>101</v>
      </c>
      <c r="K1464" s="19">
        <v>0.3125</v>
      </c>
      <c r="L1464" s="19">
        <v>0.66666666666666663</v>
      </c>
      <c r="M1464">
        <v>8.5</v>
      </c>
      <c r="N1464">
        <v>287.36</v>
      </c>
      <c r="O1464">
        <v>72</v>
      </c>
      <c r="P1464">
        <v>76</v>
      </c>
      <c r="Q1464" t="s">
        <v>99</v>
      </c>
      <c r="R1464">
        <v>30</v>
      </c>
      <c r="S1464" s="19">
        <v>0.52083333333333337</v>
      </c>
      <c r="U1464" s="19"/>
      <c r="V1464" t="s">
        <v>372</v>
      </c>
      <c r="W1464">
        <v>8</v>
      </c>
      <c r="X1464" t="s">
        <v>102</v>
      </c>
      <c r="Y1464" t="b">
        <v>0</v>
      </c>
    </row>
    <row r="1465" spans="1:25" x14ac:dyDescent="0.55000000000000004">
      <c r="A1465" t="s">
        <v>94</v>
      </c>
      <c r="B1465" t="s">
        <v>370</v>
      </c>
      <c r="C1465" t="s">
        <v>348</v>
      </c>
      <c r="D1465" t="s">
        <v>160</v>
      </c>
      <c r="E1465" t="s">
        <v>164</v>
      </c>
      <c r="F1465" t="s">
        <v>353</v>
      </c>
      <c r="G1465">
        <v>10981</v>
      </c>
      <c r="H1465" t="s">
        <v>371</v>
      </c>
      <c r="I1465">
        <v>2</v>
      </c>
      <c r="J1465" t="s">
        <v>104</v>
      </c>
      <c r="K1465" s="19">
        <v>0.3125</v>
      </c>
      <c r="L1465" s="19">
        <v>0.66666666666666663</v>
      </c>
      <c r="M1465">
        <v>8.5</v>
      </c>
      <c r="N1465">
        <v>287.36</v>
      </c>
      <c r="O1465">
        <v>72</v>
      </c>
      <c r="P1465">
        <v>76</v>
      </c>
      <c r="Q1465" t="s">
        <v>99</v>
      </c>
      <c r="R1465">
        <v>30</v>
      </c>
      <c r="S1465" s="19">
        <v>0.52083333333333337</v>
      </c>
      <c r="U1465" s="19"/>
      <c r="V1465" t="s">
        <v>372</v>
      </c>
      <c r="W1465">
        <v>8</v>
      </c>
      <c r="X1465" t="s">
        <v>102</v>
      </c>
      <c r="Y1465" t="b">
        <v>0</v>
      </c>
    </row>
    <row r="1466" spans="1:25" x14ac:dyDescent="0.55000000000000004">
      <c r="A1466" t="s">
        <v>94</v>
      </c>
      <c r="B1466" t="s">
        <v>370</v>
      </c>
      <c r="C1466" t="s">
        <v>348</v>
      </c>
      <c r="D1466" t="s">
        <v>160</v>
      </c>
      <c r="E1466" t="s">
        <v>164</v>
      </c>
      <c r="F1466" t="s">
        <v>353</v>
      </c>
      <c r="G1466">
        <v>10981</v>
      </c>
      <c r="H1466" t="s">
        <v>371</v>
      </c>
      <c r="I1466">
        <v>2</v>
      </c>
      <c r="J1466" t="s">
        <v>105</v>
      </c>
      <c r="K1466" s="19">
        <v>0.3125</v>
      </c>
      <c r="L1466" s="19">
        <v>0.66666666666666663</v>
      </c>
      <c r="M1466">
        <v>8.5</v>
      </c>
      <c r="N1466">
        <v>287.36</v>
      </c>
      <c r="O1466">
        <v>72</v>
      </c>
      <c r="P1466">
        <v>76</v>
      </c>
      <c r="Q1466" t="s">
        <v>99</v>
      </c>
      <c r="R1466">
        <v>30</v>
      </c>
      <c r="S1466" s="19">
        <v>0.52083333333333337</v>
      </c>
      <c r="U1466" s="19"/>
      <c r="V1466" t="s">
        <v>372</v>
      </c>
      <c r="W1466">
        <v>8</v>
      </c>
      <c r="X1466" t="s">
        <v>102</v>
      </c>
      <c r="Y1466" t="b">
        <v>0</v>
      </c>
    </row>
    <row r="1467" spans="1:25" x14ac:dyDescent="0.55000000000000004">
      <c r="A1467" t="s">
        <v>94</v>
      </c>
      <c r="B1467" t="s">
        <v>370</v>
      </c>
      <c r="C1467" t="s">
        <v>348</v>
      </c>
      <c r="D1467" t="s">
        <v>160</v>
      </c>
      <c r="E1467" t="s">
        <v>164</v>
      </c>
      <c r="F1467" t="s">
        <v>353</v>
      </c>
      <c r="G1467">
        <v>14508</v>
      </c>
      <c r="H1467" t="s">
        <v>346</v>
      </c>
      <c r="I1467">
        <v>1</v>
      </c>
      <c r="J1467" t="s">
        <v>103</v>
      </c>
      <c r="K1467" s="19">
        <v>0.375</v>
      </c>
      <c r="L1467" s="19">
        <v>0.72916666666666663</v>
      </c>
      <c r="M1467">
        <v>8.5</v>
      </c>
      <c r="N1467">
        <v>258.32</v>
      </c>
      <c r="O1467">
        <v>72</v>
      </c>
      <c r="P1467">
        <v>76</v>
      </c>
      <c r="Q1467" t="s">
        <v>99</v>
      </c>
      <c r="R1467">
        <v>30</v>
      </c>
      <c r="S1467" s="19">
        <v>0.54166666666666663</v>
      </c>
      <c r="U1467" s="19">
        <v>0.41666666666666669</v>
      </c>
      <c r="V1467" t="s">
        <v>99</v>
      </c>
      <c r="W1467">
        <v>8</v>
      </c>
      <c r="X1467" t="s">
        <v>102</v>
      </c>
      <c r="Y1467" t="b">
        <v>0</v>
      </c>
    </row>
    <row r="1468" spans="1:25" x14ac:dyDescent="0.55000000000000004">
      <c r="A1468" t="s">
        <v>94</v>
      </c>
      <c r="B1468" t="s">
        <v>370</v>
      </c>
      <c r="C1468" t="s">
        <v>348</v>
      </c>
      <c r="D1468" t="s">
        <v>160</v>
      </c>
      <c r="E1468" t="s">
        <v>164</v>
      </c>
      <c r="F1468" t="s">
        <v>353</v>
      </c>
      <c r="G1468">
        <v>14508</v>
      </c>
      <c r="H1468" t="s">
        <v>346</v>
      </c>
      <c r="I1468">
        <v>1</v>
      </c>
      <c r="J1468" t="s">
        <v>104</v>
      </c>
      <c r="K1468" s="19">
        <v>0.375</v>
      </c>
      <c r="L1468" s="19">
        <v>0.72916666666666663</v>
      </c>
      <c r="M1468">
        <v>8.5</v>
      </c>
      <c r="N1468">
        <v>258.32</v>
      </c>
      <c r="O1468">
        <v>72</v>
      </c>
      <c r="P1468">
        <v>76</v>
      </c>
      <c r="Q1468" t="s">
        <v>99</v>
      </c>
      <c r="R1468">
        <v>30</v>
      </c>
      <c r="S1468" s="19">
        <v>0.54166666666666663</v>
      </c>
      <c r="U1468" s="19"/>
      <c r="V1468" t="s">
        <v>99</v>
      </c>
      <c r="W1468">
        <v>8</v>
      </c>
      <c r="X1468" t="s">
        <v>102</v>
      </c>
      <c r="Y1468" t="b">
        <v>0</v>
      </c>
    </row>
    <row r="1469" spans="1:25" x14ac:dyDescent="0.55000000000000004">
      <c r="A1469" t="s">
        <v>94</v>
      </c>
      <c r="B1469" t="s">
        <v>370</v>
      </c>
      <c r="C1469" t="s">
        <v>348</v>
      </c>
      <c r="D1469" t="s">
        <v>160</v>
      </c>
      <c r="E1469" t="s">
        <v>164</v>
      </c>
      <c r="F1469" t="s">
        <v>353</v>
      </c>
      <c r="G1469">
        <v>14508</v>
      </c>
      <c r="H1469" t="s">
        <v>346</v>
      </c>
      <c r="I1469">
        <v>2</v>
      </c>
      <c r="J1469" t="s">
        <v>101</v>
      </c>
      <c r="K1469" s="19">
        <v>0.375</v>
      </c>
      <c r="L1469" s="19">
        <v>0.72916666666666663</v>
      </c>
      <c r="M1469">
        <v>8.5</v>
      </c>
      <c r="N1469">
        <v>258.32</v>
      </c>
      <c r="O1469">
        <v>72</v>
      </c>
      <c r="P1469">
        <v>76</v>
      </c>
      <c r="Q1469" t="s">
        <v>99</v>
      </c>
      <c r="R1469">
        <v>30</v>
      </c>
      <c r="S1469" s="19">
        <v>0.54166666666666663</v>
      </c>
      <c r="U1469" s="19">
        <v>0.41666666666666669</v>
      </c>
      <c r="V1469" t="s">
        <v>99</v>
      </c>
      <c r="W1469">
        <v>8</v>
      </c>
      <c r="X1469" t="s">
        <v>102</v>
      </c>
      <c r="Y1469" t="b">
        <v>0</v>
      </c>
    </row>
    <row r="1470" spans="1:25" x14ac:dyDescent="0.55000000000000004">
      <c r="A1470" t="s">
        <v>94</v>
      </c>
      <c r="B1470" t="s">
        <v>370</v>
      </c>
      <c r="C1470" t="s">
        <v>348</v>
      </c>
      <c r="D1470" t="s">
        <v>160</v>
      </c>
      <c r="E1470" t="s">
        <v>164</v>
      </c>
      <c r="F1470" t="s">
        <v>353</v>
      </c>
      <c r="G1470">
        <v>14508</v>
      </c>
      <c r="H1470" t="s">
        <v>346</v>
      </c>
      <c r="I1470">
        <v>2</v>
      </c>
      <c r="J1470" t="s">
        <v>103</v>
      </c>
      <c r="K1470" s="19">
        <v>0.375</v>
      </c>
      <c r="L1470" s="19">
        <v>0.72916666666666663</v>
      </c>
      <c r="M1470">
        <v>8.5</v>
      </c>
      <c r="N1470">
        <v>258.32</v>
      </c>
      <c r="O1470">
        <v>72</v>
      </c>
      <c r="P1470">
        <v>76</v>
      </c>
      <c r="Q1470" t="s">
        <v>99</v>
      </c>
      <c r="R1470">
        <v>30</v>
      </c>
      <c r="S1470" s="19">
        <v>0.54166666666666663</v>
      </c>
      <c r="U1470" s="19">
        <v>0.41666666666666669</v>
      </c>
      <c r="V1470" t="s">
        <v>99</v>
      </c>
      <c r="W1470">
        <v>8</v>
      </c>
      <c r="X1470" t="s">
        <v>102</v>
      </c>
      <c r="Y1470" t="b">
        <v>0</v>
      </c>
    </row>
    <row r="1471" spans="1:25" x14ac:dyDescent="0.55000000000000004">
      <c r="A1471" t="s">
        <v>94</v>
      </c>
      <c r="B1471" t="s">
        <v>370</v>
      </c>
      <c r="C1471" t="s">
        <v>348</v>
      </c>
      <c r="D1471" t="s">
        <v>160</v>
      </c>
      <c r="E1471" t="s">
        <v>164</v>
      </c>
      <c r="F1471" t="s">
        <v>353</v>
      </c>
      <c r="G1471">
        <v>14508</v>
      </c>
      <c r="H1471" t="s">
        <v>346</v>
      </c>
      <c r="I1471">
        <v>2</v>
      </c>
      <c r="J1471" t="s">
        <v>104</v>
      </c>
      <c r="K1471" s="19">
        <v>0.375</v>
      </c>
      <c r="L1471" s="19">
        <v>0.72916666666666663</v>
      </c>
      <c r="M1471">
        <v>8.5</v>
      </c>
      <c r="N1471">
        <v>258.32</v>
      </c>
      <c r="O1471">
        <v>72</v>
      </c>
      <c r="P1471">
        <v>76</v>
      </c>
      <c r="Q1471" t="s">
        <v>99</v>
      </c>
      <c r="R1471">
        <v>30</v>
      </c>
      <c r="S1471" s="19">
        <v>0.54166666666666663</v>
      </c>
      <c r="U1471" s="19">
        <v>0.41666666666666669</v>
      </c>
      <c r="V1471" t="s">
        <v>99</v>
      </c>
      <c r="W1471">
        <v>8</v>
      </c>
      <c r="X1471" t="s">
        <v>102</v>
      </c>
      <c r="Y1471" t="b">
        <v>0</v>
      </c>
    </row>
    <row r="1472" spans="1:25" x14ac:dyDescent="0.55000000000000004">
      <c r="A1472" t="s">
        <v>94</v>
      </c>
      <c r="B1472" t="s">
        <v>377</v>
      </c>
      <c r="C1472" t="s">
        <v>348</v>
      </c>
      <c r="D1472" t="s">
        <v>170</v>
      </c>
      <c r="E1472" t="s">
        <v>117</v>
      </c>
      <c r="F1472" t="s">
        <v>99</v>
      </c>
      <c r="G1472">
        <v>18556</v>
      </c>
      <c r="H1472" t="s">
        <v>378</v>
      </c>
      <c r="I1472">
        <v>1</v>
      </c>
      <c r="J1472" t="s">
        <v>107</v>
      </c>
      <c r="K1472" s="19">
        <v>0.29166666666666669</v>
      </c>
      <c r="L1472" s="19">
        <v>0.64583333333333337</v>
      </c>
      <c r="M1472">
        <v>8.5</v>
      </c>
      <c r="N1472">
        <v>216.56</v>
      </c>
      <c r="O1472">
        <v>72</v>
      </c>
      <c r="P1472">
        <v>76</v>
      </c>
      <c r="Q1472" t="s">
        <v>99</v>
      </c>
      <c r="R1472">
        <v>30</v>
      </c>
      <c r="S1472" s="19">
        <v>0.5</v>
      </c>
      <c r="U1472" s="19">
        <v>0</v>
      </c>
      <c r="V1472" t="s">
        <v>379</v>
      </c>
      <c r="W1472">
        <v>8</v>
      </c>
      <c r="X1472" t="s">
        <v>102</v>
      </c>
      <c r="Y1472" t="b">
        <v>0</v>
      </c>
    </row>
    <row r="1473" spans="1:25" x14ac:dyDescent="0.55000000000000004">
      <c r="A1473" t="s">
        <v>94</v>
      </c>
      <c r="B1473" t="s">
        <v>377</v>
      </c>
      <c r="C1473" t="s">
        <v>348</v>
      </c>
      <c r="D1473" t="s">
        <v>170</v>
      </c>
      <c r="E1473" t="s">
        <v>117</v>
      </c>
      <c r="F1473" t="s">
        <v>99</v>
      </c>
      <c r="G1473">
        <v>18556</v>
      </c>
      <c r="H1473" t="s">
        <v>378</v>
      </c>
      <c r="I1473">
        <v>1</v>
      </c>
      <c r="J1473" t="s">
        <v>101</v>
      </c>
      <c r="K1473" s="19">
        <v>0.29166666666666669</v>
      </c>
      <c r="L1473" s="19">
        <v>0.64583333333333337</v>
      </c>
      <c r="M1473">
        <v>8.5</v>
      </c>
      <c r="N1473">
        <v>216.56</v>
      </c>
      <c r="O1473">
        <v>72</v>
      </c>
      <c r="P1473">
        <v>76</v>
      </c>
      <c r="Q1473" t="s">
        <v>99</v>
      </c>
      <c r="R1473">
        <v>30</v>
      </c>
      <c r="S1473" s="19">
        <v>0.5</v>
      </c>
      <c r="U1473" s="19">
        <v>0</v>
      </c>
      <c r="V1473" t="s">
        <v>379</v>
      </c>
      <c r="W1473">
        <v>8</v>
      </c>
      <c r="X1473" t="s">
        <v>102</v>
      </c>
      <c r="Y1473" t="b">
        <v>0</v>
      </c>
    </row>
    <row r="1474" spans="1:25" x14ac:dyDescent="0.55000000000000004">
      <c r="A1474" t="s">
        <v>94</v>
      </c>
      <c r="B1474" t="s">
        <v>377</v>
      </c>
      <c r="C1474" t="s">
        <v>348</v>
      </c>
      <c r="D1474" t="s">
        <v>170</v>
      </c>
      <c r="E1474" t="s">
        <v>117</v>
      </c>
      <c r="F1474" t="s">
        <v>99</v>
      </c>
      <c r="G1474">
        <v>18556</v>
      </c>
      <c r="H1474" t="s">
        <v>378</v>
      </c>
      <c r="I1474">
        <v>1</v>
      </c>
      <c r="J1474" t="s">
        <v>103</v>
      </c>
      <c r="K1474" s="19">
        <v>0.29166666666666669</v>
      </c>
      <c r="L1474" s="19">
        <v>0.64583333333333337</v>
      </c>
      <c r="M1474">
        <v>8.5</v>
      </c>
      <c r="N1474">
        <v>216.56</v>
      </c>
      <c r="O1474">
        <v>72</v>
      </c>
      <c r="P1474">
        <v>76</v>
      </c>
      <c r="Q1474" t="s">
        <v>99</v>
      </c>
      <c r="R1474">
        <v>30</v>
      </c>
      <c r="S1474" s="19">
        <v>0.5</v>
      </c>
      <c r="U1474" s="19">
        <v>0</v>
      </c>
      <c r="V1474" t="s">
        <v>379</v>
      </c>
      <c r="W1474">
        <v>8</v>
      </c>
      <c r="X1474" t="s">
        <v>102</v>
      </c>
      <c r="Y1474" t="b">
        <v>0</v>
      </c>
    </row>
    <row r="1475" spans="1:25" x14ac:dyDescent="0.55000000000000004">
      <c r="A1475" t="s">
        <v>94</v>
      </c>
      <c r="B1475" t="s">
        <v>377</v>
      </c>
      <c r="C1475" t="s">
        <v>348</v>
      </c>
      <c r="D1475" t="s">
        <v>170</v>
      </c>
      <c r="E1475" t="s">
        <v>117</v>
      </c>
      <c r="F1475" t="s">
        <v>99</v>
      </c>
      <c r="G1475">
        <v>18556</v>
      </c>
      <c r="H1475" t="s">
        <v>378</v>
      </c>
      <c r="I1475">
        <v>1</v>
      </c>
      <c r="J1475" t="s">
        <v>104</v>
      </c>
      <c r="K1475" s="19">
        <v>0.29166666666666669</v>
      </c>
      <c r="L1475" s="19">
        <v>0.64583333333333337</v>
      </c>
      <c r="M1475">
        <v>8.5</v>
      </c>
      <c r="N1475">
        <v>216.56</v>
      </c>
      <c r="O1475">
        <v>72</v>
      </c>
      <c r="P1475">
        <v>76</v>
      </c>
      <c r="Q1475" t="s">
        <v>99</v>
      </c>
      <c r="R1475">
        <v>30</v>
      </c>
      <c r="S1475" s="19">
        <v>0.5</v>
      </c>
      <c r="U1475" s="19">
        <v>0</v>
      </c>
      <c r="V1475" t="s">
        <v>379</v>
      </c>
      <c r="W1475">
        <v>8</v>
      </c>
      <c r="X1475" t="s">
        <v>102</v>
      </c>
      <c r="Y1475" t="b">
        <v>0</v>
      </c>
    </row>
    <row r="1476" spans="1:25" x14ac:dyDescent="0.55000000000000004">
      <c r="A1476" t="s">
        <v>94</v>
      </c>
      <c r="B1476" t="s">
        <v>377</v>
      </c>
      <c r="C1476" t="s">
        <v>348</v>
      </c>
      <c r="D1476" t="s">
        <v>170</v>
      </c>
      <c r="E1476" t="s">
        <v>117</v>
      </c>
      <c r="F1476" t="s">
        <v>99</v>
      </c>
      <c r="G1476">
        <v>18556</v>
      </c>
      <c r="H1476" t="s">
        <v>378</v>
      </c>
      <c r="I1476">
        <v>1</v>
      </c>
      <c r="J1476" t="s">
        <v>105</v>
      </c>
      <c r="K1476" s="19">
        <v>0.29166666666666669</v>
      </c>
      <c r="L1476" s="19">
        <v>0.64583333333333337</v>
      </c>
      <c r="M1476">
        <v>8.5</v>
      </c>
      <c r="N1476">
        <v>216.56</v>
      </c>
      <c r="O1476">
        <v>72</v>
      </c>
      <c r="P1476">
        <v>76</v>
      </c>
      <c r="Q1476" t="s">
        <v>99</v>
      </c>
      <c r="R1476">
        <v>30</v>
      </c>
      <c r="S1476" s="19">
        <v>0.5</v>
      </c>
      <c r="U1476" s="19">
        <v>0</v>
      </c>
      <c r="V1476" t="s">
        <v>379</v>
      </c>
      <c r="W1476">
        <v>8</v>
      </c>
      <c r="X1476" t="s">
        <v>102</v>
      </c>
      <c r="Y1476" t="b">
        <v>0</v>
      </c>
    </row>
    <row r="1477" spans="1:25" x14ac:dyDescent="0.55000000000000004">
      <c r="A1477" t="s">
        <v>94</v>
      </c>
      <c r="B1477" t="s">
        <v>377</v>
      </c>
      <c r="C1477" t="s">
        <v>348</v>
      </c>
      <c r="D1477" t="s">
        <v>170</v>
      </c>
      <c r="E1477" t="s">
        <v>117</v>
      </c>
      <c r="F1477" t="s">
        <v>99</v>
      </c>
      <c r="G1477">
        <v>18556</v>
      </c>
      <c r="H1477" t="s">
        <v>378</v>
      </c>
      <c r="I1477">
        <v>2</v>
      </c>
      <c r="J1477" t="s">
        <v>107</v>
      </c>
      <c r="K1477" s="19">
        <v>0.29166666666666669</v>
      </c>
      <c r="L1477" s="19">
        <v>0.64583333333333337</v>
      </c>
      <c r="M1477">
        <v>8.5</v>
      </c>
      <c r="N1477">
        <v>216.56</v>
      </c>
      <c r="O1477">
        <v>72</v>
      </c>
      <c r="P1477">
        <v>76</v>
      </c>
      <c r="Q1477" t="s">
        <v>99</v>
      </c>
      <c r="R1477">
        <v>30</v>
      </c>
      <c r="S1477" s="19">
        <v>0.5</v>
      </c>
      <c r="U1477" s="19">
        <v>0</v>
      </c>
      <c r="V1477" t="s">
        <v>379</v>
      </c>
      <c r="W1477">
        <v>8</v>
      </c>
      <c r="X1477" t="s">
        <v>102</v>
      </c>
      <c r="Y1477" t="b">
        <v>0</v>
      </c>
    </row>
    <row r="1478" spans="1:25" x14ac:dyDescent="0.55000000000000004">
      <c r="A1478" t="s">
        <v>94</v>
      </c>
      <c r="B1478" t="s">
        <v>377</v>
      </c>
      <c r="C1478" t="s">
        <v>348</v>
      </c>
      <c r="D1478" t="s">
        <v>170</v>
      </c>
      <c r="E1478" t="s">
        <v>117</v>
      </c>
      <c r="F1478" t="s">
        <v>99</v>
      </c>
      <c r="G1478">
        <v>18556</v>
      </c>
      <c r="H1478" t="s">
        <v>378</v>
      </c>
      <c r="I1478">
        <v>2</v>
      </c>
      <c r="J1478" t="s">
        <v>103</v>
      </c>
      <c r="K1478" s="19">
        <v>0.29166666666666669</v>
      </c>
      <c r="L1478" s="19">
        <v>0.64583333333333337</v>
      </c>
      <c r="M1478">
        <v>8.5</v>
      </c>
      <c r="N1478">
        <v>216.56</v>
      </c>
      <c r="O1478">
        <v>72</v>
      </c>
      <c r="P1478">
        <v>76</v>
      </c>
      <c r="Q1478" t="s">
        <v>99</v>
      </c>
      <c r="R1478">
        <v>30</v>
      </c>
      <c r="S1478" s="19">
        <v>0.5</v>
      </c>
      <c r="U1478" s="19">
        <v>0</v>
      </c>
      <c r="V1478" t="s">
        <v>379</v>
      </c>
      <c r="W1478">
        <v>8</v>
      </c>
      <c r="X1478" t="s">
        <v>102</v>
      </c>
      <c r="Y1478" t="b">
        <v>0</v>
      </c>
    </row>
    <row r="1479" spans="1:25" x14ac:dyDescent="0.55000000000000004">
      <c r="A1479" t="s">
        <v>94</v>
      </c>
      <c r="B1479" t="s">
        <v>377</v>
      </c>
      <c r="C1479" t="s">
        <v>348</v>
      </c>
      <c r="D1479" t="s">
        <v>170</v>
      </c>
      <c r="E1479" t="s">
        <v>117</v>
      </c>
      <c r="F1479" t="s">
        <v>99</v>
      </c>
      <c r="G1479">
        <v>18556</v>
      </c>
      <c r="H1479" t="s">
        <v>378</v>
      </c>
      <c r="I1479">
        <v>2</v>
      </c>
      <c r="J1479" t="s">
        <v>104</v>
      </c>
      <c r="K1479" s="19">
        <v>0.29166666666666669</v>
      </c>
      <c r="L1479" s="19">
        <v>0.64583333333333337</v>
      </c>
      <c r="M1479">
        <v>8.5</v>
      </c>
      <c r="N1479">
        <v>216.56</v>
      </c>
      <c r="O1479">
        <v>72</v>
      </c>
      <c r="P1479">
        <v>76</v>
      </c>
      <c r="Q1479" t="s">
        <v>99</v>
      </c>
      <c r="R1479">
        <v>30</v>
      </c>
      <c r="S1479" s="19">
        <v>0.5</v>
      </c>
      <c r="U1479" s="19">
        <v>0</v>
      </c>
      <c r="V1479" t="s">
        <v>379</v>
      </c>
      <c r="W1479">
        <v>8</v>
      </c>
      <c r="X1479" t="s">
        <v>102</v>
      </c>
      <c r="Y1479" t="b">
        <v>0</v>
      </c>
    </row>
    <row r="1480" spans="1:25" x14ac:dyDescent="0.55000000000000004">
      <c r="A1480" t="s">
        <v>94</v>
      </c>
      <c r="B1480" t="s">
        <v>377</v>
      </c>
      <c r="C1480" t="s">
        <v>348</v>
      </c>
      <c r="D1480" t="s">
        <v>170</v>
      </c>
      <c r="E1480" t="s">
        <v>117</v>
      </c>
      <c r="F1480" t="s">
        <v>99</v>
      </c>
      <c r="G1480">
        <v>18556</v>
      </c>
      <c r="H1480" t="s">
        <v>378</v>
      </c>
      <c r="I1480">
        <v>2</v>
      </c>
      <c r="J1480" t="s">
        <v>105</v>
      </c>
      <c r="K1480" s="19">
        <v>0.29166666666666669</v>
      </c>
      <c r="L1480" s="19">
        <v>0.64583333333333337</v>
      </c>
      <c r="M1480">
        <v>8.5</v>
      </c>
      <c r="N1480">
        <v>216.56</v>
      </c>
      <c r="O1480">
        <v>72</v>
      </c>
      <c r="P1480">
        <v>76</v>
      </c>
      <c r="Q1480" t="s">
        <v>99</v>
      </c>
      <c r="R1480">
        <v>30</v>
      </c>
      <c r="S1480" s="19">
        <v>0.5</v>
      </c>
      <c r="U1480" s="19">
        <v>0</v>
      </c>
      <c r="V1480" t="s">
        <v>379</v>
      </c>
      <c r="W1480">
        <v>8</v>
      </c>
      <c r="X1480" t="s">
        <v>102</v>
      </c>
      <c r="Y1480" t="b">
        <v>0</v>
      </c>
    </row>
    <row r="1481" spans="1:25" x14ac:dyDescent="0.55000000000000004">
      <c r="A1481" t="s">
        <v>94</v>
      </c>
      <c r="B1481" t="s">
        <v>377</v>
      </c>
      <c r="C1481" t="s">
        <v>348</v>
      </c>
      <c r="D1481" t="s">
        <v>170</v>
      </c>
      <c r="E1481" t="s">
        <v>117</v>
      </c>
      <c r="F1481" t="s">
        <v>99</v>
      </c>
      <c r="G1481">
        <v>22978</v>
      </c>
      <c r="H1481" t="s">
        <v>380</v>
      </c>
      <c r="I1481">
        <v>1</v>
      </c>
      <c r="J1481" t="s">
        <v>107</v>
      </c>
      <c r="K1481" s="19">
        <v>0.29166666666666669</v>
      </c>
      <c r="L1481" s="19">
        <v>0.64583333333333337</v>
      </c>
      <c r="M1481">
        <v>8.5</v>
      </c>
      <c r="N1481">
        <v>199.36</v>
      </c>
      <c r="O1481">
        <v>72</v>
      </c>
      <c r="P1481">
        <v>76</v>
      </c>
      <c r="Q1481" t="s">
        <v>99</v>
      </c>
      <c r="R1481">
        <v>30</v>
      </c>
      <c r="S1481" s="19">
        <v>0.5</v>
      </c>
      <c r="U1481" s="19">
        <v>0</v>
      </c>
      <c r="V1481" t="s">
        <v>379</v>
      </c>
      <c r="W1481">
        <v>8</v>
      </c>
      <c r="X1481" t="s">
        <v>102</v>
      </c>
      <c r="Y1481" t="b">
        <v>0</v>
      </c>
    </row>
    <row r="1482" spans="1:25" x14ac:dyDescent="0.55000000000000004">
      <c r="A1482" t="s">
        <v>94</v>
      </c>
      <c r="B1482" t="s">
        <v>377</v>
      </c>
      <c r="C1482" t="s">
        <v>348</v>
      </c>
      <c r="D1482" t="s">
        <v>170</v>
      </c>
      <c r="E1482" t="s">
        <v>117</v>
      </c>
      <c r="F1482" t="s">
        <v>99</v>
      </c>
      <c r="G1482">
        <v>22978</v>
      </c>
      <c r="H1482" t="s">
        <v>380</v>
      </c>
      <c r="I1482">
        <v>1</v>
      </c>
      <c r="J1482" t="s">
        <v>101</v>
      </c>
      <c r="K1482" s="19">
        <v>0.29166666666666669</v>
      </c>
      <c r="L1482" s="19">
        <v>0.64583333333333337</v>
      </c>
      <c r="M1482">
        <v>8.5</v>
      </c>
      <c r="N1482">
        <v>199.36</v>
      </c>
      <c r="O1482">
        <v>72</v>
      </c>
      <c r="P1482">
        <v>76</v>
      </c>
      <c r="Q1482" t="s">
        <v>99</v>
      </c>
      <c r="R1482">
        <v>30</v>
      </c>
      <c r="S1482" s="19">
        <v>0.5</v>
      </c>
      <c r="U1482" s="19">
        <v>0</v>
      </c>
      <c r="V1482" t="s">
        <v>379</v>
      </c>
      <c r="W1482">
        <v>8</v>
      </c>
      <c r="X1482" t="s">
        <v>102</v>
      </c>
      <c r="Y1482" t="b">
        <v>0</v>
      </c>
    </row>
    <row r="1483" spans="1:25" x14ac:dyDescent="0.55000000000000004">
      <c r="A1483" t="s">
        <v>94</v>
      </c>
      <c r="B1483" t="s">
        <v>377</v>
      </c>
      <c r="C1483" t="s">
        <v>348</v>
      </c>
      <c r="D1483" t="s">
        <v>170</v>
      </c>
      <c r="E1483" t="s">
        <v>117</v>
      </c>
      <c r="F1483" t="s">
        <v>99</v>
      </c>
      <c r="G1483">
        <v>22978</v>
      </c>
      <c r="H1483" t="s">
        <v>380</v>
      </c>
      <c r="I1483">
        <v>1</v>
      </c>
      <c r="J1483" t="s">
        <v>103</v>
      </c>
      <c r="K1483" s="19">
        <v>0.29166666666666669</v>
      </c>
      <c r="L1483" s="19">
        <v>0.64583333333333337</v>
      </c>
      <c r="M1483">
        <v>8.5</v>
      </c>
      <c r="N1483">
        <v>199.36</v>
      </c>
      <c r="O1483">
        <v>72</v>
      </c>
      <c r="P1483">
        <v>76</v>
      </c>
      <c r="Q1483" t="s">
        <v>99</v>
      </c>
      <c r="R1483">
        <v>30</v>
      </c>
      <c r="S1483" s="19">
        <v>0.5</v>
      </c>
      <c r="U1483" s="19">
        <v>0</v>
      </c>
      <c r="V1483" t="s">
        <v>379</v>
      </c>
      <c r="W1483">
        <v>8</v>
      </c>
      <c r="X1483" t="s">
        <v>102</v>
      </c>
      <c r="Y1483" t="b">
        <v>0</v>
      </c>
    </row>
    <row r="1484" spans="1:25" x14ac:dyDescent="0.55000000000000004">
      <c r="A1484" t="s">
        <v>94</v>
      </c>
      <c r="B1484" t="s">
        <v>377</v>
      </c>
      <c r="C1484" t="s">
        <v>348</v>
      </c>
      <c r="D1484" t="s">
        <v>170</v>
      </c>
      <c r="E1484" t="s">
        <v>117</v>
      </c>
      <c r="F1484" t="s">
        <v>99</v>
      </c>
      <c r="G1484">
        <v>22978</v>
      </c>
      <c r="H1484" t="s">
        <v>380</v>
      </c>
      <c r="I1484">
        <v>1</v>
      </c>
      <c r="J1484" t="s">
        <v>104</v>
      </c>
      <c r="K1484" s="19">
        <v>0.29166666666666669</v>
      </c>
      <c r="L1484" s="19">
        <v>0.64583333333333337</v>
      </c>
      <c r="M1484">
        <v>8.5</v>
      </c>
      <c r="N1484">
        <v>199.36</v>
      </c>
      <c r="O1484">
        <v>72</v>
      </c>
      <c r="P1484">
        <v>76</v>
      </c>
      <c r="Q1484" t="s">
        <v>99</v>
      </c>
      <c r="R1484">
        <v>30</v>
      </c>
      <c r="S1484" s="19">
        <v>0.5</v>
      </c>
      <c r="U1484" s="19">
        <v>0</v>
      </c>
      <c r="V1484" t="s">
        <v>379</v>
      </c>
      <c r="W1484">
        <v>8</v>
      </c>
      <c r="X1484" t="s">
        <v>102</v>
      </c>
      <c r="Y1484" t="b">
        <v>0</v>
      </c>
    </row>
    <row r="1485" spans="1:25" x14ac:dyDescent="0.55000000000000004">
      <c r="A1485" t="s">
        <v>94</v>
      </c>
      <c r="B1485" t="s">
        <v>377</v>
      </c>
      <c r="C1485" t="s">
        <v>348</v>
      </c>
      <c r="D1485" t="s">
        <v>170</v>
      </c>
      <c r="E1485" t="s">
        <v>117</v>
      </c>
      <c r="F1485" t="s">
        <v>99</v>
      </c>
      <c r="G1485">
        <v>22978</v>
      </c>
      <c r="H1485" t="s">
        <v>380</v>
      </c>
      <c r="I1485">
        <v>1</v>
      </c>
      <c r="J1485" t="s">
        <v>105</v>
      </c>
      <c r="K1485" s="19">
        <v>0.29166666666666669</v>
      </c>
      <c r="L1485" s="19">
        <v>0.64583333333333337</v>
      </c>
      <c r="M1485">
        <v>8.5</v>
      </c>
      <c r="N1485">
        <v>199.36</v>
      </c>
      <c r="O1485">
        <v>72</v>
      </c>
      <c r="P1485">
        <v>76</v>
      </c>
      <c r="Q1485" t="s">
        <v>99</v>
      </c>
      <c r="R1485">
        <v>30</v>
      </c>
      <c r="S1485" s="19">
        <v>0.5</v>
      </c>
      <c r="U1485" s="19">
        <v>0</v>
      </c>
      <c r="V1485" t="s">
        <v>379</v>
      </c>
      <c r="W1485">
        <v>8</v>
      </c>
      <c r="X1485" t="s">
        <v>102</v>
      </c>
      <c r="Y1485" t="b">
        <v>0</v>
      </c>
    </row>
    <row r="1486" spans="1:25" x14ac:dyDescent="0.55000000000000004">
      <c r="A1486" t="s">
        <v>94</v>
      </c>
      <c r="B1486" t="s">
        <v>377</v>
      </c>
      <c r="C1486" t="s">
        <v>348</v>
      </c>
      <c r="D1486" t="s">
        <v>170</v>
      </c>
      <c r="E1486" t="s">
        <v>117</v>
      </c>
      <c r="F1486" t="s">
        <v>99</v>
      </c>
      <c r="G1486">
        <v>22978</v>
      </c>
      <c r="H1486" t="s">
        <v>380</v>
      </c>
      <c r="I1486">
        <v>2</v>
      </c>
      <c r="J1486" t="s">
        <v>101</v>
      </c>
      <c r="K1486" s="19">
        <v>0.29166666666666669</v>
      </c>
      <c r="L1486" s="19">
        <v>0.64583333333333337</v>
      </c>
      <c r="M1486">
        <v>8.5</v>
      </c>
      <c r="N1486">
        <v>199.36</v>
      </c>
      <c r="O1486">
        <v>72</v>
      </c>
      <c r="P1486">
        <v>76</v>
      </c>
      <c r="Q1486" t="s">
        <v>99</v>
      </c>
      <c r="R1486">
        <v>30</v>
      </c>
      <c r="S1486" s="19">
        <v>0.5</v>
      </c>
      <c r="U1486" s="19">
        <v>0</v>
      </c>
      <c r="V1486" t="s">
        <v>379</v>
      </c>
      <c r="W1486">
        <v>8</v>
      </c>
      <c r="X1486" t="s">
        <v>102</v>
      </c>
      <c r="Y1486" t="b">
        <v>0</v>
      </c>
    </row>
    <row r="1487" spans="1:25" x14ac:dyDescent="0.55000000000000004">
      <c r="A1487" t="s">
        <v>94</v>
      </c>
      <c r="B1487" t="s">
        <v>377</v>
      </c>
      <c r="C1487" t="s">
        <v>348</v>
      </c>
      <c r="D1487" t="s">
        <v>170</v>
      </c>
      <c r="E1487" t="s">
        <v>117</v>
      </c>
      <c r="F1487" t="s">
        <v>99</v>
      </c>
      <c r="G1487">
        <v>22978</v>
      </c>
      <c r="H1487" t="s">
        <v>380</v>
      </c>
      <c r="I1487">
        <v>2</v>
      </c>
      <c r="J1487" t="s">
        <v>103</v>
      </c>
      <c r="K1487" s="19">
        <v>0.29166666666666669</v>
      </c>
      <c r="L1487" s="19">
        <v>0.64583333333333337</v>
      </c>
      <c r="M1487">
        <v>8.5</v>
      </c>
      <c r="N1487">
        <v>199.36</v>
      </c>
      <c r="O1487">
        <v>72</v>
      </c>
      <c r="P1487">
        <v>76</v>
      </c>
      <c r="Q1487" t="s">
        <v>99</v>
      </c>
      <c r="R1487">
        <v>30</v>
      </c>
      <c r="S1487" s="19">
        <v>0.5</v>
      </c>
      <c r="U1487" s="19">
        <v>0</v>
      </c>
      <c r="V1487" t="s">
        <v>379</v>
      </c>
      <c r="W1487">
        <v>8</v>
      </c>
      <c r="X1487" t="s">
        <v>102</v>
      </c>
      <c r="Y1487" t="b">
        <v>0</v>
      </c>
    </row>
    <row r="1488" spans="1:25" x14ac:dyDescent="0.55000000000000004">
      <c r="A1488" t="s">
        <v>94</v>
      </c>
      <c r="B1488" t="s">
        <v>377</v>
      </c>
      <c r="C1488" t="s">
        <v>348</v>
      </c>
      <c r="D1488" t="s">
        <v>170</v>
      </c>
      <c r="E1488" t="s">
        <v>117</v>
      </c>
      <c r="F1488" t="s">
        <v>99</v>
      </c>
      <c r="G1488">
        <v>22978</v>
      </c>
      <c r="H1488" t="s">
        <v>380</v>
      </c>
      <c r="I1488">
        <v>2</v>
      </c>
      <c r="J1488" t="s">
        <v>104</v>
      </c>
      <c r="K1488" s="19">
        <v>0.29166666666666669</v>
      </c>
      <c r="L1488" s="19">
        <v>0.64583333333333337</v>
      </c>
      <c r="M1488">
        <v>8.5</v>
      </c>
      <c r="N1488">
        <v>199.36</v>
      </c>
      <c r="O1488">
        <v>72</v>
      </c>
      <c r="P1488">
        <v>76</v>
      </c>
      <c r="Q1488" t="s">
        <v>99</v>
      </c>
      <c r="R1488">
        <v>30</v>
      </c>
      <c r="S1488" s="19">
        <v>0.5</v>
      </c>
      <c r="U1488" s="19">
        <v>0</v>
      </c>
      <c r="V1488" t="s">
        <v>379</v>
      </c>
      <c r="W1488">
        <v>8</v>
      </c>
      <c r="X1488" t="s">
        <v>102</v>
      </c>
      <c r="Y1488" t="b">
        <v>0</v>
      </c>
    </row>
    <row r="1489" spans="1:25" x14ac:dyDescent="0.55000000000000004">
      <c r="A1489" t="s">
        <v>94</v>
      </c>
      <c r="B1489" t="s">
        <v>377</v>
      </c>
      <c r="C1489" t="s">
        <v>348</v>
      </c>
      <c r="D1489" t="s">
        <v>170</v>
      </c>
      <c r="E1489" t="s">
        <v>117</v>
      </c>
      <c r="F1489" t="s">
        <v>99</v>
      </c>
      <c r="G1489">
        <v>22978</v>
      </c>
      <c r="H1489" t="s">
        <v>380</v>
      </c>
      <c r="I1489">
        <v>2</v>
      </c>
      <c r="J1489" t="s">
        <v>105</v>
      </c>
      <c r="K1489" s="19">
        <v>0.29166666666666669</v>
      </c>
      <c r="L1489" s="19">
        <v>0.64583333333333337</v>
      </c>
      <c r="M1489">
        <v>8.5</v>
      </c>
      <c r="N1489">
        <v>199.36</v>
      </c>
      <c r="O1489">
        <v>72</v>
      </c>
      <c r="P1489">
        <v>76</v>
      </c>
      <c r="Q1489" t="s">
        <v>99</v>
      </c>
      <c r="R1489">
        <v>30</v>
      </c>
      <c r="S1489" s="19">
        <v>0.5</v>
      </c>
      <c r="U1489" s="19">
        <v>0</v>
      </c>
      <c r="V1489" t="s">
        <v>379</v>
      </c>
      <c r="W1489">
        <v>8</v>
      </c>
      <c r="X1489" t="s">
        <v>102</v>
      </c>
      <c r="Y1489" t="b">
        <v>0</v>
      </c>
    </row>
    <row r="1490" spans="1:25" x14ac:dyDescent="0.55000000000000004">
      <c r="A1490" t="s">
        <v>94</v>
      </c>
      <c r="B1490" t="s">
        <v>381</v>
      </c>
      <c r="C1490" t="s">
        <v>348</v>
      </c>
      <c r="D1490" t="s">
        <v>174</v>
      </c>
      <c r="E1490" t="s">
        <v>175</v>
      </c>
      <c r="F1490" t="s">
        <v>99</v>
      </c>
      <c r="H1490" t="s">
        <v>99</v>
      </c>
      <c r="I1490">
        <v>1</v>
      </c>
      <c r="J1490" t="s">
        <v>101</v>
      </c>
      <c r="K1490" s="19">
        <v>0.29166666666666669</v>
      </c>
      <c r="L1490" s="19">
        <v>0.64583333333333337</v>
      </c>
      <c r="M1490">
        <v>8.5</v>
      </c>
      <c r="N1490">
        <v>232.4</v>
      </c>
      <c r="O1490">
        <v>0</v>
      </c>
      <c r="P1490">
        <v>0</v>
      </c>
      <c r="Q1490" t="s">
        <v>99</v>
      </c>
      <c r="R1490">
        <v>30</v>
      </c>
      <c r="S1490" s="19">
        <v>0.5</v>
      </c>
      <c r="U1490" s="19"/>
      <c r="V1490" t="s">
        <v>8</v>
      </c>
      <c r="W1490">
        <v>8</v>
      </c>
      <c r="X1490" t="s">
        <v>102</v>
      </c>
      <c r="Y1490" t="b">
        <v>0</v>
      </c>
    </row>
    <row r="1491" spans="1:25" x14ac:dyDescent="0.55000000000000004">
      <c r="A1491" t="s">
        <v>94</v>
      </c>
      <c r="B1491" t="s">
        <v>381</v>
      </c>
      <c r="C1491" t="s">
        <v>348</v>
      </c>
      <c r="D1491" t="s">
        <v>174</v>
      </c>
      <c r="E1491" t="s">
        <v>175</v>
      </c>
      <c r="F1491" t="s">
        <v>99</v>
      </c>
      <c r="H1491" t="s">
        <v>99</v>
      </c>
      <c r="I1491">
        <v>1</v>
      </c>
      <c r="J1491" t="s">
        <v>104</v>
      </c>
      <c r="K1491" s="19">
        <v>0.29166666666666669</v>
      </c>
      <c r="L1491" s="19">
        <v>0.64583333333333337</v>
      </c>
      <c r="M1491">
        <v>8.5</v>
      </c>
      <c r="N1491">
        <v>232.4</v>
      </c>
      <c r="O1491">
        <v>0</v>
      </c>
      <c r="P1491">
        <v>0</v>
      </c>
      <c r="Q1491" t="s">
        <v>99</v>
      </c>
      <c r="R1491">
        <v>30</v>
      </c>
      <c r="S1491" s="19">
        <v>0.5</v>
      </c>
      <c r="U1491" s="19">
        <v>0.41666666666666669</v>
      </c>
      <c r="V1491" t="s">
        <v>8</v>
      </c>
      <c r="W1491">
        <v>8</v>
      </c>
      <c r="X1491" t="s">
        <v>102</v>
      </c>
      <c r="Y1491" t="b">
        <v>0</v>
      </c>
    </row>
    <row r="1492" spans="1:25" x14ac:dyDescent="0.55000000000000004">
      <c r="A1492" t="s">
        <v>94</v>
      </c>
      <c r="B1492" t="s">
        <v>381</v>
      </c>
      <c r="C1492" t="s">
        <v>348</v>
      </c>
      <c r="D1492" t="s">
        <v>174</v>
      </c>
      <c r="E1492" t="s">
        <v>175</v>
      </c>
      <c r="F1492" t="s">
        <v>99</v>
      </c>
      <c r="H1492" t="s">
        <v>99</v>
      </c>
      <c r="I1492">
        <v>2</v>
      </c>
      <c r="J1492" t="s">
        <v>101</v>
      </c>
      <c r="K1492" s="19">
        <v>0.29166666666666669</v>
      </c>
      <c r="L1492" s="19">
        <v>0.64583333333333337</v>
      </c>
      <c r="M1492">
        <v>8.5</v>
      </c>
      <c r="N1492">
        <v>232.4</v>
      </c>
      <c r="O1492">
        <v>0</v>
      </c>
      <c r="P1492">
        <v>0</v>
      </c>
      <c r="Q1492" t="s">
        <v>99</v>
      </c>
      <c r="R1492">
        <v>30</v>
      </c>
      <c r="S1492" s="19">
        <v>0.5</v>
      </c>
      <c r="U1492" s="19"/>
      <c r="V1492" t="s">
        <v>8</v>
      </c>
      <c r="W1492">
        <v>8</v>
      </c>
      <c r="X1492" t="s">
        <v>102</v>
      </c>
      <c r="Y1492" t="b">
        <v>0</v>
      </c>
    </row>
    <row r="1493" spans="1:25" x14ac:dyDescent="0.55000000000000004">
      <c r="A1493" t="s">
        <v>94</v>
      </c>
      <c r="B1493" t="s">
        <v>381</v>
      </c>
      <c r="C1493" t="s">
        <v>348</v>
      </c>
      <c r="D1493" t="s">
        <v>174</v>
      </c>
      <c r="E1493" t="s">
        <v>175</v>
      </c>
      <c r="F1493" t="s">
        <v>99</v>
      </c>
      <c r="H1493" t="s">
        <v>99</v>
      </c>
      <c r="I1493">
        <v>2</v>
      </c>
      <c r="J1493" t="s">
        <v>115</v>
      </c>
      <c r="K1493" s="19">
        <v>0.29166666666666669</v>
      </c>
      <c r="L1493" s="19">
        <v>0.5625</v>
      </c>
      <c r="M1493">
        <v>6.5</v>
      </c>
      <c r="N1493">
        <v>261.45</v>
      </c>
      <c r="O1493">
        <v>0</v>
      </c>
      <c r="P1493">
        <v>0</v>
      </c>
      <c r="Q1493" t="s">
        <v>99</v>
      </c>
      <c r="R1493">
        <v>30</v>
      </c>
      <c r="S1493" s="19">
        <v>0.5</v>
      </c>
      <c r="T1493">
        <v>0</v>
      </c>
      <c r="U1493" s="19"/>
      <c r="V1493" t="s">
        <v>99</v>
      </c>
      <c r="W1493">
        <v>6</v>
      </c>
      <c r="X1493" t="s">
        <v>102</v>
      </c>
      <c r="Y1493" t="b">
        <v>0</v>
      </c>
    </row>
    <row r="1494" spans="1:25" x14ac:dyDescent="0.55000000000000004">
      <c r="A1494" t="s">
        <v>94</v>
      </c>
      <c r="B1494" t="s">
        <v>381</v>
      </c>
      <c r="C1494" t="s">
        <v>348</v>
      </c>
      <c r="D1494" t="s">
        <v>174</v>
      </c>
      <c r="E1494" t="s">
        <v>175</v>
      </c>
      <c r="F1494" t="s">
        <v>99</v>
      </c>
      <c r="H1494" t="s">
        <v>99</v>
      </c>
      <c r="I1494">
        <v>2</v>
      </c>
      <c r="J1494" t="s">
        <v>103</v>
      </c>
      <c r="K1494" s="19">
        <v>0.29166666666666669</v>
      </c>
      <c r="L1494" s="19">
        <v>0.5625</v>
      </c>
      <c r="M1494">
        <v>6.5</v>
      </c>
      <c r="N1494">
        <v>174.3</v>
      </c>
      <c r="O1494">
        <v>0</v>
      </c>
      <c r="P1494">
        <v>0</v>
      </c>
      <c r="Q1494" t="s">
        <v>99</v>
      </c>
      <c r="R1494">
        <v>30</v>
      </c>
      <c r="S1494" s="19">
        <v>0.5</v>
      </c>
      <c r="T1494">
        <v>0</v>
      </c>
      <c r="U1494" s="19"/>
      <c r="V1494" t="s">
        <v>99</v>
      </c>
      <c r="W1494">
        <v>6</v>
      </c>
      <c r="X1494" t="s">
        <v>102</v>
      </c>
      <c r="Y1494" t="b">
        <v>0</v>
      </c>
    </row>
    <row r="1495" spans="1:25" x14ac:dyDescent="0.55000000000000004">
      <c r="A1495" t="s">
        <v>94</v>
      </c>
      <c r="B1495" t="s">
        <v>381</v>
      </c>
      <c r="C1495" t="s">
        <v>348</v>
      </c>
      <c r="D1495" t="s">
        <v>174</v>
      </c>
      <c r="E1495" t="s">
        <v>175</v>
      </c>
      <c r="F1495" t="s">
        <v>99</v>
      </c>
      <c r="H1495" t="s">
        <v>99</v>
      </c>
      <c r="I1495">
        <v>2</v>
      </c>
      <c r="J1495" t="s">
        <v>104</v>
      </c>
      <c r="K1495" s="19">
        <v>0.29166666666666669</v>
      </c>
      <c r="L1495" s="19">
        <v>0.5625</v>
      </c>
      <c r="M1495">
        <v>6.5</v>
      </c>
      <c r="N1495">
        <v>174.3</v>
      </c>
      <c r="O1495">
        <v>0</v>
      </c>
      <c r="P1495">
        <v>0</v>
      </c>
      <c r="Q1495" t="s">
        <v>99</v>
      </c>
      <c r="R1495">
        <v>30</v>
      </c>
      <c r="S1495" s="19">
        <v>0.5</v>
      </c>
      <c r="T1495">
        <v>0</v>
      </c>
      <c r="U1495" s="19"/>
      <c r="V1495" t="s">
        <v>99</v>
      </c>
      <c r="W1495">
        <v>6</v>
      </c>
      <c r="X1495" t="s">
        <v>102</v>
      </c>
      <c r="Y1495" t="b">
        <v>0</v>
      </c>
    </row>
    <row r="1496" spans="1:25" x14ac:dyDescent="0.55000000000000004">
      <c r="A1496" t="s">
        <v>94</v>
      </c>
      <c r="B1496" t="s">
        <v>381</v>
      </c>
      <c r="C1496" t="s">
        <v>348</v>
      </c>
      <c r="D1496" t="s">
        <v>174</v>
      </c>
      <c r="E1496" t="s">
        <v>175</v>
      </c>
      <c r="F1496" t="s">
        <v>99</v>
      </c>
      <c r="G1496">
        <v>22811</v>
      </c>
      <c r="H1496" t="s">
        <v>382</v>
      </c>
      <c r="I1496">
        <v>1</v>
      </c>
      <c r="J1496" t="s">
        <v>101</v>
      </c>
      <c r="K1496" s="19">
        <v>0.29166666666666669</v>
      </c>
      <c r="L1496" s="19">
        <v>0.5625</v>
      </c>
      <c r="M1496">
        <v>6.5</v>
      </c>
      <c r="N1496">
        <v>210.66</v>
      </c>
      <c r="O1496">
        <v>58</v>
      </c>
      <c r="P1496">
        <v>76</v>
      </c>
      <c r="Q1496" t="s">
        <v>99</v>
      </c>
      <c r="R1496">
        <v>30</v>
      </c>
      <c r="S1496" s="19">
        <v>0.5</v>
      </c>
      <c r="T1496">
        <v>0</v>
      </c>
      <c r="U1496" s="19"/>
      <c r="V1496" t="s">
        <v>99</v>
      </c>
      <c r="W1496">
        <v>6</v>
      </c>
      <c r="X1496" t="s">
        <v>102</v>
      </c>
      <c r="Y1496" t="b">
        <v>0</v>
      </c>
    </row>
    <row r="1497" spans="1:25" x14ac:dyDescent="0.55000000000000004">
      <c r="A1497" t="s">
        <v>94</v>
      </c>
      <c r="B1497" t="s">
        <v>381</v>
      </c>
      <c r="C1497" t="s">
        <v>348</v>
      </c>
      <c r="D1497" t="s">
        <v>174</v>
      </c>
      <c r="E1497" t="s">
        <v>175</v>
      </c>
      <c r="F1497" t="s">
        <v>99</v>
      </c>
      <c r="G1497">
        <v>23872</v>
      </c>
      <c r="H1497" t="s">
        <v>383</v>
      </c>
      <c r="I1497">
        <v>2</v>
      </c>
      <c r="J1497" t="s">
        <v>116</v>
      </c>
      <c r="K1497" s="19">
        <v>0.29166666666666669</v>
      </c>
      <c r="L1497" s="19">
        <v>0.64583333333333337</v>
      </c>
      <c r="M1497">
        <v>8.5</v>
      </c>
      <c r="N1497">
        <v>491.54</v>
      </c>
      <c r="O1497">
        <v>76</v>
      </c>
      <c r="P1497">
        <v>76</v>
      </c>
      <c r="Q1497" t="s">
        <v>99</v>
      </c>
      <c r="R1497">
        <v>30</v>
      </c>
      <c r="S1497" s="19">
        <v>0.5</v>
      </c>
      <c r="U1497" s="19">
        <v>0.41666666666666669</v>
      </c>
      <c r="V1497" t="s">
        <v>8</v>
      </c>
      <c r="W1497">
        <v>8</v>
      </c>
      <c r="X1497" t="s">
        <v>384</v>
      </c>
      <c r="Y1497" t="b">
        <v>0</v>
      </c>
    </row>
    <row r="1498" spans="1:25" x14ac:dyDescent="0.55000000000000004">
      <c r="A1498" t="s">
        <v>94</v>
      </c>
      <c r="B1498" t="s">
        <v>381</v>
      </c>
      <c r="C1498" t="s">
        <v>348</v>
      </c>
      <c r="D1498" t="s">
        <v>174</v>
      </c>
      <c r="E1498" t="s">
        <v>175</v>
      </c>
      <c r="F1498" t="s">
        <v>99</v>
      </c>
      <c r="G1498">
        <v>24863</v>
      </c>
      <c r="H1498" t="s">
        <v>385</v>
      </c>
      <c r="I1498">
        <v>1</v>
      </c>
      <c r="J1498" t="s">
        <v>104</v>
      </c>
      <c r="K1498" s="19">
        <v>0.29166666666666669</v>
      </c>
      <c r="L1498" s="19">
        <v>0.5625</v>
      </c>
      <c r="M1498">
        <v>6.5</v>
      </c>
      <c r="N1498">
        <v>200.1</v>
      </c>
      <c r="O1498">
        <v>64</v>
      </c>
      <c r="P1498">
        <v>76</v>
      </c>
      <c r="Q1498" t="s">
        <v>99</v>
      </c>
      <c r="R1498">
        <v>30</v>
      </c>
      <c r="S1498" s="19">
        <v>0.5</v>
      </c>
      <c r="T1498">
        <v>0</v>
      </c>
      <c r="U1498" s="19"/>
      <c r="V1498" t="s">
        <v>99</v>
      </c>
      <c r="W1498">
        <v>6</v>
      </c>
      <c r="X1498" t="s">
        <v>102</v>
      </c>
      <c r="Y1498" t="b">
        <v>0</v>
      </c>
    </row>
    <row r="1499" spans="1:25" x14ac:dyDescent="0.55000000000000004">
      <c r="A1499" t="s">
        <v>94</v>
      </c>
      <c r="B1499" t="s">
        <v>381</v>
      </c>
      <c r="C1499" t="s">
        <v>348</v>
      </c>
      <c r="D1499" t="s">
        <v>174</v>
      </c>
      <c r="E1499" t="s">
        <v>175</v>
      </c>
      <c r="F1499" t="s">
        <v>99</v>
      </c>
      <c r="G1499">
        <v>24863</v>
      </c>
      <c r="H1499" t="s">
        <v>385</v>
      </c>
      <c r="I1499">
        <v>1</v>
      </c>
      <c r="J1499" t="s">
        <v>105</v>
      </c>
      <c r="K1499" s="19">
        <v>0.29166666666666669</v>
      </c>
      <c r="L1499" s="19">
        <v>0.5625</v>
      </c>
      <c r="M1499">
        <v>6.5</v>
      </c>
      <c r="N1499">
        <v>200.1</v>
      </c>
      <c r="O1499">
        <v>64</v>
      </c>
      <c r="P1499">
        <v>76</v>
      </c>
      <c r="Q1499" t="s">
        <v>99</v>
      </c>
      <c r="R1499">
        <v>30</v>
      </c>
      <c r="S1499" s="19">
        <v>0.5</v>
      </c>
      <c r="T1499">
        <v>0</v>
      </c>
      <c r="U1499" s="19"/>
      <c r="V1499" t="s">
        <v>99</v>
      </c>
      <c r="W1499">
        <v>6</v>
      </c>
      <c r="X1499" t="s">
        <v>102</v>
      </c>
      <c r="Y1499" t="b">
        <v>0</v>
      </c>
    </row>
    <row r="1500" spans="1:25" x14ac:dyDescent="0.55000000000000004">
      <c r="A1500" t="s">
        <v>94</v>
      </c>
      <c r="B1500" t="s">
        <v>381</v>
      </c>
      <c r="C1500" t="s">
        <v>348</v>
      </c>
      <c r="D1500" t="s">
        <v>174</v>
      </c>
      <c r="E1500" t="s">
        <v>175</v>
      </c>
      <c r="F1500" t="s">
        <v>99</v>
      </c>
      <c r="G1500">
        <v>24863</v>
      </c>
      <c r="H1500" t="s">
        <v>385</v>
      </c>
      <c r="I1500">
        <v>2</v>
      </c>
      <c r="J1500" t="s">
        <v>101</v>
      </c>
      <c r="K1500" s="19">
        <v>0.29166666666666669</v>
      </c>
      <c r="L1500" s="19">
        <v>0.5625</v>
      </c>
      <c r="M1500">
        <v>6.5</v>
      </c>
      <c r="N1500">
        <v>200.1</v>
      </c>
      <c r="O1500">
        <v>64</v>
      </c>
      <c r="P1500">
        <v>76</v>
      </c>
      <c r="Q1500" t="s">
        <v>99</v>
      </c>
      <c r="R1500">
        <v>30</v>
      </c>
      <c r="S1500" s="19">
        <v>0.5</v>
      </c>
      <c r="T1500">
        <v>0</v>
      </c>
      <c r="U1500" s="19"/>
      <c r="V1500" t="s">
        <v>99</v>
      </c>
      <c r="W1500">
        <v>6</v>
      </c>
      <c r="X1500" t="s">
        <v>102</v>
      </c>
      <c r="Y1500" t="b">
        <v>0</v>
      </c>
    </row>
    <row r="1501" spans="1:25" x14ac:dyDescent="0.55000000000000004">
      <c r="A1501" t="s">
        <v>94</v>
      </c>
      <c r="B1501" t="s">
        <v>381</v>
      </c>
      <c r="C1501" t="s">
        <v>348</v>
      </c>
      <c r="D1501" t="s">
        <v>174</v>
      </c>
      <c r="E1501" t="s">
        <v>175</v>
      </c>
      <c r="F1501" t="s">
        <v>99</v>
      </c>
      <c r="G1501">
        <v>25187</v>
      </c>
      <c r="H1501" t="s">
        <v>386</v>
      </c>
      <c r="I1501">
        <v>2</v>
      </c>
      <c r="J1501" t="s">
        <v>115</v>
      </c>
      <c r="K1501" s="19">
        <v>0.29166666666666669</v>
      </c>
      <c r="L1501" s="19">
        <v>0.64583333333333337</v>
      </c>
      <c r="M1501">
        <v>8.5</v>
      </c>
      <c r="N1501">
        <v>421.32</v>
      </c>
      <c r="O1501">
        <v>76</v>
      </c>
      <c r="P1501">
        <v>76</v>
      </c>
      <c r="Q1501" t="s">
        <v>99</v>
      </c>
      <c r="R1501">
        <v>30</v>
      </c>
      <c r="S1501" s="19">
        <v>0.5</v>
      </c>
      <c r="U1501" s="19">
        <v>0.41666666666666669</v>
      </c>
      <c r="V1501" t="s">
        <v>8</v>
      </c>
      <c r="W1501">
        <v>8</v>
      </c>
      <c r="X1501" t="s">
        <v>384</v>
      </c>
      <c r="Y1501" t="b">
        <v>0</v>
      </c>
    </row>
    <row r="1502" spans="1:25" x14ac:dyDescent="0.55000000000000004">
      <c r="A1502" t="s">
        <v>94</v>
      </c>
      <c r="B1502" t="s">
        <v>381</v>
      </c>
      <c r="C1502" t="s">
        <v>348</v>
      </c>
      <c r="D1502" t="s">
        <v>174</v>
      </c>
      <c r="E1502" t="s">
        <v>175</v>
      </c>
      <c r="F1502" t="s">
        <v>99</v>
      </c>
      <c r="G1502">
        <v>25293</v>
      </c>
      <c r="H1502" t="s">
        <v>387</v>
      </c>
      <c r="I1502">
        <v>1</v>
      </c>
      <c r="J1502" t="s">
        <v>107</v>
      </c>
      <c r="K1502" s="19">
        <v>0.29166666666666669</v>
      </c>
      <c r="L1502" s="19">
        <v>0.5625</v>
      </c>
      <c r="M1502">
        <v>6.5</v>
      </c>
      <c r="N1502">
        <v>213.12</v>
      </c>
      <c r="O1502">
        <v>40</v>
      </c>
      <c r="P1502">
        <v>76</v>
      </c>
      <c r="Q1502" t="s">
        <v>99</v>
      </c>
      <c r="R1502">
        <v>30</v>
      </c>
      <c r="S1502" s="19">
        <v>0.5</v>
      </c>
      <c r="T1502">
        <v>0</v>
      </c>
      <c r="U1502" s="19"/>
      <c r="V1502" t="s">
        <v>99</v>
      </c>
      <c r="W1502">
        <v>6</v>
      </c>
      <c r="X1502" t="s">
        <v>102</v>
      </c>
      <c r="Y1502" t="b">
        <v>0</v>
      </c>
    </row>
    <row r="1503" spans="1:25" x14ac:dyDescent="0.55000000000000004">
      <c r="A1503" t="s">
        <v>94</v>
      </c>
      <c r="B1503" t="s">
        <v>381</v>
      </c>
      <c r="C1503" t="s">
        <v>348</v>
      </c>
      <c r="D1503" t="s">
        <v>174</v>
      </c>
      <c r="E1503" t="s">
        <v>175</v>
      </c>
      <c r="F1503" t="s">
        <v>99</v>
      </c>
      <c r="G1503">
        <v>25293</v>
      </c>
      <c r="H1503" t="s">
        <v>387</v>
      </c>
      <c r="I1503">
        <v>1</v>
      </c>
      <c r="J1503" t="s">
        <v>116</v>
      </c>
      <c r="K1503" s="19">
        <v>0.29166666666666669</v>
      </c>
      <c r="L1503" s="19">
        <v>0.5625</v>
      </c>
      <c r="M1503">
        <v>6.5</v>
      </c>
      <c r="N1503">
        <v>372.96</v>
      </c>
      <c r="O1503">
        <v>40</v>
      </c>
      <c r="P1503">
        <v>76</v>
      </c>
      <c r="Q1503" t="s">
        <v>99</v>
      </c>
      <c r="R1503">
        <v>30</v>
      </c>
      <c r="S1503" s="19">
        <v>0.5</v>
      </c>
      <c r="T1503">
        <v>0</v>
      </c>
      <c r="U1503" s="19"/>
      <c r="V1503" t="s">
        <v>99</v>
      </c>
      <c r="W1503">
        <v>6</v>
      </c>
      <c r="X1503" t="s">
        <v>102</v>
      </c>
      <c r="Y1503" t="b">
        <v>0</v>
      </c>
    </row>
    <row r="1504" spans="1:25" x14ac:dyDescent="0.55000000000000004">
      <c r="A1504" t="s">
        <v>94</v>
      </c>
      <c r="B1504" t="s">
        <v>381</v>
      </c>
      <c r="C1504" t="s">
        <v>348</v>
      </c>
      <c r="D1504" t="s">
        <v>174</v>
      </c>
      <c r="E1504" t="s">
        <v>175</v>
      </c>
      <c r="F1504" t="s">
        <v>99</v>
      </c>
      <c r="G1504">
        <v>25293</v>
      </c>
      <c r="H1504" t="s">
        <v>387</v>
      </c>
      <c r="I1504">
        <v>2</v>
      </c>
      <c r="J1504" t="s">
        <v>116</v>
      </c>
      <c r="K1504" s="19">
        <v>0.29166666666666669</v>
      </c>
      <c r="L1504" s="19">
        <v>0.5625</v>
      </c>
      <c r="M1504">
        <v>6.5</v>
      </c>
      <c r="N1504">
        <v>372.96</v>
      </c>
      <c r="O1504">
        <v>40</v>
      </c>
      <c r="P1504">
        <v>76</v>
      </c>
      <c r="Q1504" t="s">
        <v>99</v>
      </c>
      <c r="R1504">
        <v>30</v>
      </c>
      <c r="S1504" s="19">
        <v>0.5</v>
      </c>
      <c r="T1504">
        <v>0</v>
      </c>
      <c r="U1504" s="19"/>
      <c r="V1504" t="s">
        <v>99</v>
      </c>
      <c r="W1504">
        <v>6</v>
      </c>
      <c r="X1504" t="s">
        <v>102</v>
      </c>
      <c r="Y1504" t="b">
        <v>0</v>
      </c>
    </row>
    <row r="1505" spans="1:25" x14ac:dyDescent="0.55000000000000004">
      <c r="A1505" t="s">
        <v>94</v>
      </c>
      <c r="B1505" t="s">
        <v>381</v>
      </c>
      <c r="C1505" t="s">
        <v>348</v>
      </c>
      <c r="D1505" t="s">
        <v>174</v>
      </c>
      <c r="E1505" t="s">
        <v>175</v>
      </c>
      <c r="F1505" t="s">
        <v>99</v>
      </c>
      <c r="G1505">
        <v>25408</v>
      </c>
      <c r="H1505" t="s">
        <v>388</v>
      </c>
      <c r="I1505">
        <v>1</v>
      </c>
      <c r="J1505" t="s">
        <v>115</v>
      </c>
      <c r="K1505" s="19">
        <v>0.29166666666666669</v>
      </c>
      <c r="L1505" s="19">
        <v>0.5625</v>
      </c>
      <c r="M1505">
        <v>6.5</v>
      </c>
      <c r="N1505">
        <v>300.14999999999998</v>
      </c>
      <c r="O1505">
        <v>16</v>
      </c>
      <c r="P1505">
        <v>76</v>
      </c>
      <c r="Q1505" t="s">
        <v>99</v>
      </c>
      <c r="R1505">
        <v>30</v>
      </c>
      <c r="S1505" s="19">
        <v>0.5</v>
      </c>
      <c r="T1505">
        <v>0</v>
      </c>
      <c r="U1505" s="19"/>
      <c r="V1505" t="s">
        <v>99</v>
      </c>
      <c r="W1505">
        <v>6</v>
      </c>
      <c r="X1505" t="s">
        <v>102</v>
      </c>
      <c r="Y1505" t="b">
        <v>0</v>
      </c>
    </row>
    <row r="1506" spans="1:25" x14ac:dyDescent="0.55000000000000004">
      <c r="A1506" t="s">
        <v>94</v>
      </c>
      <c r="B1506" t="s">
        <v>381</v>
      </c>
      <c r="C1506" t="s">
        <v>348</v>
      </c>
      <c r="D1506" t="s">
        <v>174</v>
      </c>
      <c r="E1506" t="s">
        <v>175</v>
      </c>
      <c r="F1506" t="s">
        <v>99</v>
      </c>
      <c r="G1506">
        <v>25408</v>
      </c>
      <c r="H1506" t="s">
        <v>388</v>
      </c>
      <c r="I1506">
        <v>2</v>
      </c>
      <c r="J1506" t="s">
        <v>107</v>
      </c>
      <c r="K1506" s="19">
        <v>0.29166666666666669</v>
      </c>
      <c r="L1506" s="19">
        <v>0.5625</v>
      </c>
      <c r="M1506">
        <v>6.5</v>
      </c>
      <c r="N1506">
        <v>200.1</v>
      </c>
      <c r="O1506">
        <v>16</v>
      </c>
      <c r="P1506">
        <v>76</v>
      </c>
      <c r="Q1506" t="s">
        <v>99</v>
      </c>
      <c r="R1506">
        <v>30</v>
      </c>
      <c r="S1506" s="19">
        <v>0.5</v>
      </c>
      <c r="T1506">
        <v>0</v>
      </c>
      <c r="U1506" s="19"/>
      <c r="V1506" t="s">
        <v>99</v>
      </c>
      <c r="W1506">
        <v>6</v>
      </c>
      <c r="X1506" t="s">
        <v>102</v>
      </c>
      <c r="Y1506" t="b">
        <v>0</v>
      </c>
    </row>
    <row r="1507" spans="1:25" x14ac:dyDescent="0.55000000000000004">
      <c r="A1507" t="s">
        <v>94</v>
      </c>
      <c r="B1507" t="s">
        <v>381</v>
      </c>
      <c r="C1507" t="s">
        <v>348</v>
      </c>
      <c r="D1507" t="s">
        <v>174</v>
      </c>
      <c r="E1507" t="s">
        <v>175</v>
      </c>
      <c r="F1507" t="s">
        <v>99</v>
      </c>
      <c r="G1507">
        <v>25588</v>
      </c>
      <c r="H1507" t="s">
        <v>389</v>
      </c>
      <c r="I1507">
        <v>2</v>
      </c>
      <c r="J1507" t="s">
        <v>105</v>
      </c>
      <c r="K1507" s="19">
        <v>0.29166666666666669</v>
      </c>
      <c r="L1507" s="19">
        <v>0.5625</v>
      </c>
      <c r="M1507">
        <v>6.5</v>
      </c>
      <c r="N1507">
        <v>200.1</v>
      </c>
      <c r="O1507">
        <v>40</v>
      </c>
      <c r="P1507">
        <v>76</v>
      </c>
      <c r="Q1507" t="s">
        <v>99</v>
      </c>
      <c r="R1507">
        <v>30</v>
      </c>
      <c r="S1507" s="19">
        <v>0.5</v>
      </c>
      <c r="T1507">
        <v>0</v>
      </c>
      <c r="U1507" s="19"/>
      <c r="V1507" t="s">
        <v>99</v>
      </c>
      <c r="W1507">
        <v>6</v>
      </c>
      <c r="X1507" t="s">
        <v>102</v>
      </c>
      <c r="Y1507" t="b">
        <v>0</v>
      </c>
    </row>
    <row r="1508" spans="1:25" x14ac:dyDescent="0.55000000000000004">
      <c r="A1508" t="s">
        <v>94</v>
      </c>
      <c r="B1508" t="s">
        <v>381</v>
      </c>
      <c r="C1508" t="s">
        <v>348</v>
      </c>
      <c r="D1508" t="s">
        <v>174</v>
      </c>
      <c r="E1508" t="s">
        <v>175</v>
      </c>
      <c r="F1508" t="s">
        <v>390</v>
      </c>
      <c r="H1508" t="s">
        <v>99</v>
      </c>
      <c r="I1508">
        <v>2</v>
      </c>
      <c r="J1508" t="s">
        <v>116</v>
      </c>
      <c r="K1508" s="19">
        <v>0.29166666666666669</v>
      </c>
      <c r="L1508" s="19">
        <v>0.64583333333333337</v>
      </c>
      <c r="M1508">
        <v>8.5</v>
      </c>
      <c r="N1508">
        <v>406.7</v>
      </c>
      <c r="O1508">
        <v>0</v>
      </c>
      <c r="P1508">
        <v>0</v>
      </c>
      <c r="Q1508" t="s">
        <v>99</v>
      </c>
      <c r="R1508">
        <v>30</v>
      </c>
      <c r="S1508" s="19">
        <v>0.5</v>
      </c>
      <c r="T1508">
        <v>0</v>
      </c>
      <c r="U1508" s="19"/>
      <c r="V1508" t="s">
        <v>99</v>
      </c>
      <c r="W1508">
        <v>8</v>
      </c>
      <c r="X1508" t="s">
        <v>102</v>
      </c>
      <c r="Y1508" t="b">
        <v>0</v>
      </c>
    </row>
    <row r="1509" spans="1:25" x14ac:dyDescent="0.55000000000000004">
      <c r="A1509" t="s">
        <v>94</v>
      </c>
      <c r="B1509" t="s">
        <v>381</v>
      </c>
      <c r="C1509" t="s">
        <v>348</v>
      </c>
      <c r="D1509" t="s">
        <v>174</v>
      </c>
      <c r="E1509" t="s">
        <v>175</v>
      </c>
      <c r="F1509" t="s">
        <v>390</v>
      </c>
      <c r="H1509" t="s">
        <v>99</v>
      </c>
      <c r="I1509">
        <v>2</v>
      </c>
      <c r="J1509" t="s">
        <v>105</v>
      </c>
      <c r="K1509" s="19">
        <v>0.29166666666666669</v>
      </c>
      <c r="L1509" s="19">
        <v>0.64583333333333337</v>
      </c>
      <c r="M1509">
        <v>8.5</v>
      </c>
      <c r="N1509">
        <v>232.4</v>
      </c>
      <c r="O1509">
        <v>0</v>
      </c>
      <c r="P1509">
        <v>0</v>
      </c>
      <c r="Q1509" t="s">
        <v>99</v>
      </c>
      <c r="R1509">
        <v>30</v>
      </c>
      <c r="S1509" s="19">
        <v>0.5</v>
      </c>
      <c r="T1509">
        <v>0</v>
      </c>
      <c r="U1509" s="19"/>
      <c r="V1509" t="s">
        <v>99</v>
      </c>
      <c r="W1509">
        <v>8</v>
      </c>
      <c r="X1509" t="s">
        <v>102</v>
      </c>
      <c r="Y1509" t="b">
        <v>0</v>
      </c>
    </row>
    <row r="1510" spans="1:25" x14ac:dyDescent="0.55000000000000004">
      <c r="A1510" t="s">
        <v>94</v>
      </c>
      <c r="B1510" t="s">
        <v>381</v>
      </c>
      <c r="C1510" t="s">
        <v>348</v>
      </c>
      <c r="D1510" t="s">
        <v>174</v>
      </c>
      <c r="E1510" t="s">
        <v>175</v>
      </c>
      <c r="F1510" t="s">
        <v>390</v>
      </c>
      <c r="G1510">
        <v>22811</v>
      </c>
      <c r="H1510" t="s">
        <v>382</v>
      </c>
      <c r="I1510">
        <v>2</v>
      </c>
      <c r="J1510" t="s">
        <v>101</v>
      </c>
      <c r="K1510" s="19">
        <v>0.29166666666666669</v>
      </c>
      <c r="L1510" s="19">
        <v>0.64583333333333337</v>
      </c>
      <c r="M1510">
        <v>8.5</v>
      </c>
      <c r="N1510">
        <v>280.88</v>
      </c>
      <c r="O1510">
        <v>58</v>
      </c>
      <c r="P1510">
        <v>76</v>
      </c>
      <c r="Q1510" t="s">
        <v>99</v>
      </c>
      <c r="R1510">
        <v>30</v>
      </c>
      <c r="S1510" s="19">
        <v>0.5</v>
      </c>
      <c r="T1510">
        <v>0</v>
      </c>
      <c r="U1510" s="19"/>
      <c r="V1510" t="s">
        <v>99</v>
      </c>
      <c r="W1510">
        <v>8</v>
      </c>
      <c r="X1510" t="s">
        <v>102</v>
      </c>
      <c r="Y1510" t="b">
        <v>0</v>
      </c>
    </row>
    <row r="1511" spans="1:25" x14ac:dyDescent="0.55000000000000004">
      <c r="A1511" t="s">
        <v>94</v>
      </c>
      <c r="B1511" t="s">
        <v>381</v>
      </c>
      <c r="C1511" t="s">
        <v>348</v>
      </c>
      <c r="D1511" t="s">
        <v>174</v>
      </c>
      <c r="E1511" t="s">
        <v>175</v>
      </c>
      <c r="F1511" t="s">
        <v>390</v>
      </c>
      <c r="G1511">
        <v>22811</v>
      </c>
      <c r="H1511" t="s">
        <v>382</v>
      </c>
      <c r="I1511">
        <v>2</v>
      </c>
      <c r="J1511" t="s">
        <v>115</v>
      </c>
      <c r="K1511" s="19">
        <v>0.29166666666666669</v>
      </c>
      <c r="L1511" s="19">
        <v>0.64583333333333337</v>
      </c>
      <c r="M1511">
        <v>8.5</v>
      </c>
      <c r="N1511">
        <v>421.32</v>
      </c>
      <c r="O1511">
        <v>58</v>
      </c>
      <c r="P1511">
        <v>76</v>
      </c>
      <c r="Q1511" t="s">
        <v>99</v>
      </c>
      <c r="R1511">
        <v>30</v>
      </c>
      <c r="S1511" s="19">
        <v>0.5</v>
      </c>
      <c r="T1511">
        <v>0</v>
      </c>
      <c r="U1511" s="19"/>
      <c r="V1511" t="s">
        <v>99</v>
      </c>
      <c r="W1511">
        <v>8</v>
      </c>
      <c r="X1511" t="s">
        <v>102</v>
      </c>
      <c r="Y1511" t="b">
        <v>0</v>
      </c>
    </row>
    <row r="1512" spans="1:25" x14ac:dyDescent="0.55000000000000004">
      <c r="A1512" t="s">
        <v>94</v>
      </c>
      <c r="B1512" t="s">
        <v>381</v>
      </c>
      <c r="C1512" t="s">
        <v>348</v>
      </c>
      <c r="D1512" t="s">
        <v>174</v>
      </c>
      <c r="E1512" t="s">
        <v>175</v>
      </c>
      <c r="F1512" t="s">
        <v>390</v>
      </c>
      <c r="G1512">
        <v>22811</v>
      </c>
      <c r="H1512" t="s">
        <v>382</v>
      </c>
      <c r="I1512">
        <v>2</v>
      </c>
      <c r="J1512" t="s">
        <v>104</v>
      </c>
      <c r="K1512" s="19">
        <v>0.29166666666666669</v>
      </c>
      <c r="L1512" s="19">
        <v>0.64583333333333337</v>
      </c>
      <c r="M1512">
        <v>8.5</v>
      </c>
      <c r="N1512">
        <v>280.88</v>
      </c>
      <c r="O1512">
        <v>58</v>
      </c>
      <c r="P1512">
        <v>76</v>
      </c>
      <c r="Q1512" t="s">
        <v>99</v>
      </c>
      <c r="R1512">
        <v>30</v>
      </c>
      <c r="S1512" s="19">
        <v>0.5</v>
      </c>
      <c r="T1512">
        <v>0</v>
      </c>
      <c r="U1512" s="19"/>
      <c r="V1512" t="s">
        <v>99</v>
      </c>
      <c r="W1512">
        <v>8</v>
      </c>
      <c r="X1512" t="s">
        <v>102</v>
      </c>
      <c r="Y1512" t="b">
        <v>0</v>
      </c>
    </row>
    <row r="1513" spans="1:25" x14ac:dyDescent="0.55000000000000004">
      <c r="A1513" t="s">
        <v>94</v>
      </c>
      <c r="B1513" t="s">
        <v>381</v>
      </c>
      <c r="C1513" t="s">
        <v>348</v>
      </c>
      <c r="D1513" t="s">
        <v>174</v>
      </c>
      <c r="E1513" t="s">
        <v>175</v>
      </c>
      <c r="F1513" t="s">
        <v>390</v>
      </c>
      <c r="G1513">
        <v>24863</v>
      </c>
      <c r="H1513" t="s">
        <v>385</v>
      </c>
      <c r="I1513">
        <v>1</v>
      </c>
      <c r="J1513" t="s">
        <v>107</v>
      </c>
      <c r="K1513" s="19">
        <v>0.29166666666666669</v>
      </c>
      <c r="L1513" s="19">
        <v>0.64583333333333337</v>
      </c>
      <c r="M1513">
        <v>8.5</v>
      </c>
      <c r="N1513">
        <v>266.8</v>
      </c>
      <c r="O1513">
        <v>64</v>
      </c>
      <c r="P1513">
        <v>76</v>
      </c>
      <c r="Q1513" t="s">
        <v>99</v>
      </c>
      <c r="R1513">
        <v>30</v>
      </c>
      <c r="S1513" s="19">
        <v>0.5</v>
      </c>
      <c r="T1513">
        <v>0</v>
      </c>
      <c r="U1513" s="19"/>
      <c r="V1513" t="s">
        <v>99</v>
      </c>
      <c r="W1513">
        <v>8</v>
      </c>
      <c r="X1513" t="s">
        <v>102</v>
      </c>
      <c r="Y1513" t="b">
        <v>0</v>
      </c>
    </row>
    <row r="1514" spans="1:25" x14ac:dyDescent="0.55000000000000004">
      <c r="A1514" t="s">
        <v>94</v>
      </c>
      <c r="B1514" t="s">
        <v>381</v>
      </c>
      <c r="C1514" t="s">
        <v>348</v>
      </c>
      <c r="D1514" t="s">
        <v>174</v>
      </c>
      <c r="E1514" t="s">
        <v>175</v>
      </c>
      <c r="F1514" t="s">
        <v>390</v>
      </c>
      <c r="G1514">
        <v>24863</v>
      </c>
      <c r="H1514" t="s">
        <v>385</v>
      </c>
      <c r="I1514">
        <v>1</v>
      </c>
      <c r="J1514" t="s">
        <v>103</v>
      </c>
      <c r="K1514" s="19">
        <v>0.29166666666666669</v>
      </c>
      <c r="L1514" s="19">
        <v>0.64583333333333337</v>
      </c>
      <c r="M1514">
        <v>8.5</v>
      </c>
      <c r="N1514">
        <v>266.8</v>
      </c>
      <c r="O1514">
        <v>64</v>
      </c>
      <c r="P1514">
        <v>76</v>
      </c>
      <c r="Q1514" t="s">
        <v>99</v>
      </c>
      <c r="R1514">
        <v>30</v>
      </c>
      <c r="S1514" s="19">
        <v>0.5</v>
      </c>
      <c r="T1514">
        <v>0</v>
      </c>
      <c r="U1514" s="19"/>
      <c r="V1514" t="s">
        <v>99</v>
      </c>
      <c r="W1514">
        <v>8</v>
      </c>
      <c r="X1514" t="s">
        <v>102</v>
      </c>
      <c r="Y1514" t="b">
        <v>0</v>
      </c>
    </row>
    <row r="1515" spans="1:25" x14ac:dyDescent="0.55000000000000004">
      <c r="A1515" t="s">
        <v>94</v>
      </c>
      <c r="B1515" t="s">
        <v>381</v>
      </c>
      <c r="C1515" t="s">
        <v>348</v>
      </c>
      <c r="D1515" t="s">
        <v>174</v>
      </c>
      <c r="E1515" t="s">
        <v>175</v>
      </c>
      <c r="F1515" t="s">
        <v>390</v>
      </c>
      <c r="G1515">
        <v>25187</v>
      </c>
      <c r="H1515" t="s">
        <v>386</v>
      </c>
      <c r="I1515">
        <v>1</v>
      </c>
      <c r="J1515" t="s">
        <v>101</v>
      </c>
      <c r="K1515" s="19">
        <v>0.29166666666666669</v>
      </c>
      <c r="L1515" s="19">
        <v>0.64583333333333337</v>
      </c>
      <c r="M1515">
        <v>8.5</v>
      </c>
      <c r="N1515">
        <v>280.88</v>
      </c>
      <c r="O1515">
        <v>76</v>
      </c>
      <c r="P1515">
        <v>76</v>
      </c>
      <c r="Q1515" t="s">
        <v>99</v>
      </c>
      <c r="R1515">
        <v>30</v>
      </c>
      <c r="S1515" s="19">
        <v>0.5</v>
      </c>
      <c r="T1515">
        <v>0</v>
      </c>
      <c r="U1515" s="19"/>
      <c r="V1515" t="s">
        <v>99</v>
      </c>
      <c r="W1515">
        <v>8</v>
      </c>
      <c r="X1515" t="s">
        <v>102</v>
      </c>
      <c r="Y1515" t="b">
        <v>0</v>
      </c>
    </row>
    <row r="1516" spans="1:25" x14ac:dyDescent="0.55000000000000004">
      <c r="A1516" t="s">
        <v>94</v>
      </c>
      <c r="B1516" t="s">
        <v>381</v>
      </c>
      <c r="C1516" t="s">
        <v>348</v>
      </c>
      <c r="D1516" t="s">
        <v>174</v>
      </c>
      <c r="E1516" t="s">
        <v>175</v>
      </c>
      <c r="F1516" t="s">
        <v>390</v>
      </c>
      <c r="G1516">
        <v>25204</v>
      </c>
      <c r="H1516" t="s">
        <v>391</v>
      </c>
      <c r="I1516">
        <v>1</v>
      </c>
      <c r="J1516" t="s">
        <v>116</v>
      </c>
      <c r="K1516" s="19">
        <v>0.29166666666666669</v>
      </c>
      <c r="L1516" s="19">
        <v>0.64583333333333337</v>
      </c>
      <c r="M1516">
        <v>8.5</v>
      </c>
      <c r="N1516">
        <v>491.54</v>
      </c>
      <c r="O1516">
        <v>76</v>
      </c>
      <c r="P1516">
        <v>76</v>
      </c>
      <c r="Q1516" t="s">
        <v>99</v>
      </c>
      <c r="R1516">
        <v>30</v>
      </c>
      <c r="S1516" s="19">
        <v>0.5</v>
      </c>
      <c r="T1516">
        <v>0</v>
      </c>
      <c r="U1516" s="19"/>
      <c r="V1516" t="s">
        <v>99</v>
      </c>
      <c r="W1516">
        <v>8</v>
      </c>
      <c r="X1516" t="s">
        <v>102</v>
      </c>
      <c r="Y1516" t="b">
        <v>0</v>
      </c>
    </row>
    <row r="1517" spans="1:25" x14ac:dyDescent="0.55000000000000004">
      <c r="A1517" t="s">
        <v>94</v>
      </c>
      <c r="B1517" t="s">
        <v>381</v>
      </c>
      <c r="C1517" t="s">
        <v>348</v>
      </c>
      <c r="D1517" t="s">
        <v>174</v>
      </c>
      <c r="E1517" t="s">
        <v>175</v>
      </c>
      <c r="F1517" t="s">
        <v>390</v>
      </c>
      <c r="G1517">
        <v>25204</v>
      </c>
      <c r="H1517" t="s">
        <v>391</v>
      </c>
      <c r="I1517">
        <v>1</v>
      </c>
      <c r="J1517" t="s">
        <v>104</v>
      </c>
      <c r="K1517" s="19">
        <v>0.29166666666666669</v>
      </c>
      <c r="L1517" s="19">
        <v>0.64583333333333337</v>
      </c>
      <c r="M1517">
        <v>8.5</v>
      </c>
      <c r="N1517">
        <v>280.88</v>
      </c>
      <c r="O1517">
        <v>76</v>
      </c>
      <c r="P1517">
        <v>76</v>
      </c>
      <c r="Q1517" t="s">
        <v>99</v>
      </c>
      <c r="R1517">
        <v>30</v>
      </c>
      <c r="S1517" s="19">
        <v>0.5</v>
      </c>
      <c r="T1517">
        <v>0</v>
      </c>
      <c r="U1517" s="19"/>
      <c r="V1517" t="s">
        <v>99</v>
      </c>
      <c r="W1517">
        <v>8</v>
      </c>
      <c r="X1517" t="s">
        <v>102</v>
      </c>
      <c r="Y1517" t="b">
        <v>0</v>
      </c>
    </row>
    <row r="1518" spans="1:25" x14ac:dyDescent="0.55000000000000004">
      <c r="A1518" t="s">
        <v>94</v>
      </c>
      <c r="B1518" t="s">
        <v>381</v>
      </c>
      <c r="C1518" t="s">
        <v>348</v>
      </c>
      <c r="D1518" t="s">
        <v>174</v>
      </c>
      <c r="E1518" t="s">
        <v>175</v>
      </c>
      <c r="F1518" t="s">
        <v>390</v>
      </c>
      <c r="G1518">
        <v>25204</v>
      </c>
      <c r="H1518" t="s">
        <v>391</v>
      </c>
      <c r="I1518">
        <v>1</v>
      </c>
      <c r="J1518" t="s">
        <v>105</v>
      </c>
      <c r="K1518" s="19">
        <v>0.29166666666666669</v>
      </c>
      <c r="L1518" s="19">
        <v>0.64583333333333337</v>
      </c>
      <c r="M1518">
        <v>8.5</v>
      </c>
      <c r="N1518">
        <v>280.88</v>
      </c>
      <c r="O1518">
        <v>76</v>
      </c>
      <c r="P1518">
        <v>76</v>
      </c>
      <c r="Q1518" t="s">
        <v>99</v>
      </c>
      <c r="R1518">
        <v>30</v>
      </c>
      <c r="S1518" s="19">
        <v>0.5</v>
      </c>
      <c r="T1518">
        <v>0</v>
      </c>
      <c r="U1518" s="19"/>
      <c r="V1518" t="s">
        <v>99</v>
      </c>
      <c r="W1518">
        <v>8</v>
      </c>
      <c r="X1518" t="s">
        <v>102</v>
      </c>
      <c r="Y1518" t="b">
        <v>0</v>
      </c>
    </row>
    <row r="1519" spans="1:25" x14ac:dyDescent="0.55000000000000004">
      <c r="A1519" t="s">
        <v>94</v>
      </c>
      <c r="B1519" t="s">
        <v>381</v>
      </c>
      <c r="C1519" t="s">
        <v>348</v>
      </c>
      <c r="D1519" t="s">
        <v>174</v>
      </c>
      <c r="E1519" t="s">
        <v>175</v>
      </c>
      <c r="F1519" t="s">
        <v>390</v>
      </c>
      <c r="G1519">
        <v>25293</v>
      </c>
      <c r="H1519" t="s">
        <v>387</v>
      </c>
      <c r="I1519">
        <v>1</v>
      </c>
      <c r="J1519" t="s">
        <v>115</v>
      </c>
      <c r="K1519" s="19">
        <v>0.29166666666666669</v>
      </c>
      <c r="L1519" s="19">
        <v>0.64583333333333337</v>
      </c>
      <c r="M1519">
        <v>8.5</v>
      </c>
      <c r="N1519">
        <v>426.24</v>
      </c>
      <c r="O1519">
        <v>40</v>
      </c>
      <c r="P1519">
        <v>76</v>
      </c>
      <c r="Q1519" t="s">
        <v>99</v>
      </c>
      <c r="R1519">
        <v>30</v>
      </c>
      <c r="S1519" s="19">
        <v>0.5</v>
      </c>
      <c r="T1519">
        <v>0</v>
      </c>
      <c r="U1519" s="19"/>
      <c r="V1519" t="s">
        <v>99</v>
      </c>
      <c r="W1519">
        <v>8</v>
      </c>
      <c r="X1519" t="s">
        <v>102</v>
      </c>
      <c r="Y1519" t="b">
        <v>0</v>
      </c>
    </row>
    <row r="1520" spans="1:25" x14ac:dyDescent="0.55000000000000004">
      <c r="A1520" t="s">
        <v>94</v>
      </c>
      <c r="B1520" t="s">
        <v>381</v>
      </c>
      <c r="C1520" t="s">
        <v>348</v>
      </c>
      <c r="D1520" t="s">
        <v>174</v>
      </c>
      <c r="E1520" t="s">
        <v>175</v>
      </c>
      <c r="F1520" t="s">
        <v>390</v>
      </c>
      <c r="G1520">
        <v>25293</v>
      </c>
      <c r="H1520" t="s">
        <v>387</v>
      </c>
      <c r="I1520">
        <v>2</v>
      </c>
      <c r="J1520" t="s">
        <v>107</v>
      </c>
      <c r="K1520" s="19">
        <v>0.29166666666666669</v>
      </c>
      <c r="L1520" s="19">
        <v>0.64583333333333337</v>
      </c>
      <c r="M1520">
        <v>8.5</v>
      </c>
      <c r="N1520">
        <v>284.16000000000003</v>
      </c>
      <c r="O1520">
        <v>40</v>
      </c>
      <c r="P1520">
        <v>76</v>
      </c>
      <c r="Q1520" t="s">
        <v>99</v>
      </c>
      <c r="R1520">
        <v>30</v>
      </c>
      <c r="S1520" s="19">
        <v>0.5</v>
      </c>
      <c r="T1520">
        <v>0</v>
      </c>
      <c r="U1520" s="19"/>
      <c r="V1520" t="s">
        <v>99</v>
      </c>
      <c r="W1520">
        <v>8</v>
      </c>
      <c r="X1520" t="s">
        <v>102</v>
      </c>
      <c r="Y1520" t="b">
        <v>0</v>
      </c>
    </row>
    <row r="1521" spans="1:25" x14ac:dyDescent="0.55000000000000004">
      <c r="A1521" t="s">
        <v>94</v>
      </c>
      <c r="B1521" t="s">
        <v>381</v>
      </c>
      <c r="C1521" t="s">
        <v>348</v>
      </c>
      <c r="D1521" t="s">
        <v>174</v>
      </c>
      <c r="E1521" t="s">
        <v>175</v>
      </c>
      <c r="F1521" t="s">
        <v>390</v>
      </c>
      <c r="G1521">
        <v>25293</v>
      </c>
      <c r="H1521" t="s">
        <v>387</v>
      </c>
      <c r="I1521">
        <v>2</v>
      </c>
      <c r="J1521" t="s">
        <v>103</v>
      </c>
      <c r="K1521" s="19">
        <v>0.29166666666666669</v>
      </c>
      <c r="L1521" s="19">
        <v>0.64583333333333337</v>
      </c>
      <c r="M1521">
        <v>8.5</v>
      </c>
      <c r="N1521">
        <v>284.16000000000003</v>
      </c>
      <c r="O1521">
        <v>40</v>
      </c>
      <c r="P1521">
        <v>76</v>
      </c>
      <c r="Q1521" t="s">
        <v>99</v>
      </c>
      <c r="R1521">
        <v>30</v>
      </c>
      <c r="S1521" s="19">
        <v>0.5</v>
      </c>
      <c r="T1521">
        <v>0</v>
      </c>
      <c r="U1521" s="19"/>
      <c r="V1521" t="s">
        <v>99</v>
      </c>
      <c r="W1521">
        <v>8</v>
      </c>
      <c r="X1521" t="s">
        <v>102</v>
      </c>
      <c r="Y1521" t="b">
        <v>0</v>
      </c>
    </row>
    <row r="1522" spans="1:25" x14ac:dyDescent="0.55000000000000004">
      <c r="A1522" t="s">
        <v>94</v>
      </c>
      <c r="B1522" t="s">
        <v>381</v>
      </c>
      <c r="C1522" t="s">
        <v>348</v>
      </c>
      <c r="D1522" t="s">
        <v>174</v>
      </c>
      <c r="E1522" t="s">
        <v>175</v>
      </c>
      <c r="F1522" t="s">
        <v>390</v>
      </c>
      <c r="G1522">
        <v>25408</v>
      </c>
      <c r="H1522" t="s">
        <v>388</v>
      </c>
      <c r="I1522">
        <v>1</v>
      </c>
      <c r="J1522" t="s">
        <v>103</v>
      </c>
      <c r="K1522" s="19">
        <v>0.29166666666666669</v>
      </c>
      <c r="L1522" s="19">
        <v>0.64583333333333337</v>
      </c>
      <c r="M1522">
        <v>8.5</v>
      </c>
      <c r="N1522">
        <v>266.8</v>
      </c>
      <c r="O1522">
        <v>16</v>
      </c>
      <c r="P1522">
        <v>76</v>
      </c>
      <c r="Q1522" t="s">
        <v>99</v>
      </c>
      <c r="R1522">
        <v>30</v>
      </c>
      <c r="S1522" s="19">
        <v>0.5</v>
      </c>
      <c r="U1522" s="19"/>
      <c r="V1522" t="s">
        <v>379</v>
      </c>
      <c r="W1522">
        <v>8</v>
      </c>
      <c r="X1522" t="s">
        <v>384</v>
      </c>
      <c r="Y1522" t="b">
        <v>0</v>
      </c>
    </row>
    <row r="1523" spans="1:25" x14ac:dyDescent="0.55000000000000004">
      <c r="A1523" t="s">
        <v>94</v>
      </c>
      <c r="B1523" t="s">
        <v>381</v>
      </c>
      <c r="C1523" t="s">
        <v>348</v>
      </c>
      <c r="D1523" t="s">
        <v>174</v>
      </c>
      <c r="E1523" t="s">
        <v>175</v>
      </c>
      <c r="F1523" t="s">
        <v>390</v>
      </c>
      <c r="G1523">
        <v>25588</v>
      </c>
      <c r="H1523" t="s">
        <v>389</v>
      </c>
      <c r="I1523">
        <v>1</v>
      </c>
      <c r="J1523" t="s">
        <v>103</v>
      </c>
      <c r="K1523" s="19">
        <v>0.29166666666666669</v>
      </c>
      <c r="L1523" s="19">
        <v>0.5625</v>
      </c>
      <c r="M1523">
        <v>6.5</v>
      </c>
      <c r="N1523">
        <v>200.1</v>
      </c>
      <c r="O1523">
        <v>40</v>
      </c>
      <c r="P1523">
        <v>76</v>
      </c>
      <c r="Q1523" t="s">
        <v>99</v>
      </c>
      <c r="R1523">
        <v>30</v>
      </c>
      <c r="S1523" s="19">
        <v>0.5</v>
      </c>
      <c r="T1523">
        <v>0</v>
      </c>
      <c r="U1523" s="19"/>
      <c r="V1523" t="s">
        <v>99</v>
      </c>
      <c r="W1523">
        <v>6</v>
      </c>
      <c r="X1523" t="s">
        <v>102</v>
      </c>
      <c r="Y1523" t="b">
        <v>0</v>
      </c>
    </row>
    <row r="1524" spans="1:25" x14ac:dyDescent="0.55000000000000004">
      <c r="A1524" t="s">
        <v>94</v>
      </c>
      <c r="B1524" t="s">
        <v>381</v>
      </c>
      <c r="C1524" t="s">
        <v>348</v>
      </c>
      <c r="D1524" t="s">
        <v>174</v>
      </c>
      <c r="E1524" t="s">
        <v>175</v>
      </c>
      <c r="F1524" t="s">
        <v>392</v>
      </c>
      <c r="H1524" t="s">
        <v>99</v>
      </c>
      <c r="I1524">
        <v>1</v>
      </c>
      <c r="J1524" t="s">
        <v>104</v>
      </c>
      <c r="K1524" s="19">
        <v>0.29166666666666669</v>
      </c>
      <c r="L1524" s="19">
        <v>0.5625</v>
      </c>
      <c r="M1524">
        <v>6.5</v>
      </c>
      <c r="N1524">
        <v>174.3</v>
      </c>
      <c r="O1524">
        <v>0</v>
      </c>
      <c r="P1524">
        <v>0</v>
      </c>
      <c r="Q1524" t="s">
        <v>99</v>
      </c>
      <c r="R1524">
        <v>30</v>
      </c>
      <c r="S1524" s="19">
        <v>0.5</v>
      </c>
      <c r="T1524">
        <v>0</v>
      </c>
      <c r="U1524" s="19"/>
      <c r="V1524" t="s">
        <v>99</v>
      </c>
      <c r="W1524">
        <v>6</v>
      </c>
      <c r="X1524" t="s">
        <v>102</v>
      </c>
      <c r="Y1524" t="b">
        <v>0</v>
      </c>
    </row>
    <row r="1525" spans="1:25" x14ac:dyDescent="0.55000000000000004">
      <c r="A1525" t="s">
        <v>94</v>
      </c>
      <c r="B1525" t="s">
        <v>381</v>
      </c>
      <c r="C1525" t="s">
        <v>348</v>
      </c>
      <c r="D1525" t="s">
        <v>174</v>
      </c>
      <c r="E1525" t="s">
        <v>175</v>
      </c>
      <c r="F1525" t="s">
        <v>392</v>
      </c>
      <c r="H1525" t="s">
        <v>99</v>
      </c>
      <c r="I1525">
        <v>1</v>
      </c>
      <c r="J1525" t="s">
        <v>105</v>
      </c>
      <c r="K1525" s="19">
        <v>0.29166666666666669</v>
      </c>
      <c r="L1525" s="19">
        <v>0.5625</v>
      </c>
      <c r="M1525">
        <v>6.5</v>
      </c>
      <c r="N1525">
        <v>174.3</v>
      </c>
      <c r="O1525">
        <v>0</v>
      </c>
      <c r="P1525">
        <v>0</v>
      </c>
      <c r="Q1525" t="s">
        <v>99</v>
      </c>
      <c r="R1525">
        <v>30</v>
      </c>
      <c r="S1525" s="19">
        <v>0.5</v>
      </c>
      <c r="T1525">
        <v>0</v>
      </c>
      <c r="U1525" s="19"/>
      <c r="V1525" t="s">
        <v>99</v>
      </c>
      <c r="W1525">
        <v>6</v>
      </c>
      <c r="X1525" t="s">
        <v>102</v>
      </c>
      <c r="Y1525" t="b">
        <v>0</v>
      </c>
    </row>
    <row r="1526" spans="1:25" x14ac:dyDescent="0.55000000000000004">
      <c r="A1526" t="s">
        <v>94</v>
      </c>
      <c r="B1526" t="s">
        <v>381</v>
      </c>
      <c r="C1526" t="s">
        <v>348</v>
      </c>
      <c r="D1526" t="s">
        <v>174</v>
      </c>
      <c r="E1526" t="s">
        <v>175</v>
      </c>
      <c r="F1526" t="s">
        <v>392</v>
      </c>
      <c r="H1526" t="s">
        <v>99</v>
      </c>
      <c r="I1526">
        <v>2</v>
      </c>
      <c r="J1526" t="s">
        <v>115</v>
      </c>
      <c r="K1526" s="19">
        <v>0.29166666666666669</v>
      </c>
      <c r="L1526" s="19">
        <v>0.64583333333333337</v>
      </c>
      <c r="M1526">
        <v>8.5</v>
      </c>
      <c r="N1526">
        <v>348.6</v>
      </c>
      <c r="O1526">
        <v>0</v>
      </c>
      <c r="P1526">
        <v>0</v>
      </c>
      <c r="Q1526" t="s">
        <v>99</v>
      </c>
      <c r="R1526">
        <v>30</v>
      </c>
      <c r="S1526" s="19">
        <v>0.5</v>
      </c>
      <c r="T1526">
        <v>0</v>
      </c>
      <c r="U1526" s="19"/>
      <c r="V1526" t="s">
        <v>99</v>
      </c>
      <c r="W1526">
        <v>8</v>
      </c>
      <c r="X1526" t="s">
        <v>102</v>
      </c>
      <c r="Y1526" t="b">
        <v>0</v>
      </c>
    </row>
    <row r="1527" spans="1:25" x14ac:dyDescent="0.55000000000000004">
      <c r="A1527" t="s">
        <v>94</v>
      </c>
      <c r="B1527" t="s">
        <v>381</v>
      </c>
      <c r="C1527" t="s">
        <v>348</v>
      </c>
      <c r="D1527" t="s">
        <v>174</v>
      </c>
      <c r="E1527" t="s">
        <v>175</v>
      </c>
      <c r="F1527" t="s">
        <v>392</v>
      </c>
      <c r="H1527" t="s">
        <v>99</v>
      </c>
      <c r="I1527">
        <v>2</v>
      </c>
      <c r="J1527" t="s">
        <v>104</v>
      </c>
      <c r="K1527" s="19">
        <v>0.29166666666666669</v>
      </c>
      <c r="L1527" s="19">
        <v>0.64583333333333337</v>
      </c>
      <c r="M1527">
        <v>8.5</v>
      </c>
      <c r="N1527">
        <v>232.4</v>
      </c>
      <c r="O1527">
        <v>0</v>
      </c>
      <c r="P1527">
        <v>0</v>
      </c>
      <c r="Q1527" t="s">
        <v>99</v>
      </c>
      <c r="R1527">
        <v>30</v>
      </c>
      <c r="S1527" s="19">
        <v>0.5</v>
      </c>
      <c r="T1527">
        <v>0</v>
      </c>
      <c r="U1527" s="19"/>
      <c r="V1527" t="s">
        <v>99</v>
      </c>
      <c r="W1527">
        <v>8</v>
      </c>
      <c r="X1527" t="s">
        <v>102</v>
      </c>
      <c r="Y1527" t="b">
        <v>0</v>
      </c>
    </row>
    <row r="1528" spans="1:25" x14ac:dyDescent="0.55000000000000004">
      <c r="A1528" t="s">
        <v>94</v>
      </c>
      <c r="B1528" t="s">
        <v>381</v>
      </c>
      <c r="C1528" t="s">
        <v>348</v>
      </c>
      <c r="D1528" t="s">
        <v>174</v>
      </c>
      <c r="E1528" t="s">
        <v>175</v>
      </c>
      <c r="F1528" t="s">
        <v>392</v>
      </c>
      <c r="H1528" t="s">
        <v>99</v>
      </c>
      <c r="I1528">
        <v>2</v>
      </c>
      <c r="J1528" t="s">
        <v>105</v>
      </c>
      <c r="K1528" s="19">
        <v>0.29166666666666669</v>
      </c>
      <c r="L1528" s="19">
        <v>0.5625</v>
      </c>
      <c r="M1528">
        <v>6.5</v>
      </c>
      <c r="N1528">
        <v>174.3</v>
      </c>
      <c r="O1528">
        <v>0</v>
      </c>
      <c r="P1528">
        <v>0</v>
      </c>
      <c r="Q1528" t="s">
        <v>99</v>
      </c>
      <c r="R1528">
        <v>30</v>
      </c>
      <c r="S1528" s="19">
        <v>0.5</v>
      </c>
      <c r="T1528">
        <v>0</v>
      </c>
      <c r="U1528" s="19"/>
      <c r="V1528" t="s">
        <v>99</v>
      </c>
      <c r="W1528">
        <v>6</v>
      </c>
      <c r="X1528" t="s">
        <v>102</v>
      </c>
      <c r="Y1528" t="b">
        <v>0</v>
      </c>
    </row>
    <row r="1529" spans="1:25" x14ac:dyDescent="0.55000000000000004">
      <c r="A1529" t="s">
        <v>94</v>
      </c>
      <c r="B1529" t="s">
        <v>381</v>
      </c>
      <c r="C1529" t="s">
        <v>348</v>
      </c>
      <c r="D1529" t="s">
        <v>174</v>
      </c>
      <c r="E1529" t="s">
        <v>175</v>
      </c>
      <c r="F1529" t="s">
        <v>392</v>
      </c>
      <c r="G1529">
        <v>22811</v>
      </c>
      <c r="H1529" t="s">
        <v>382</v>
      </c>
      <c r="I1529">
        <v>1</v>
      </c>
      <c r="J1529" t="s">
        <v>115</v>
      </c>
      <c r="K1529" s="19">
        <v>0.29166666666666669</v>
      </c>
      <c r="L1529" s="19">
        <v>0.5625</v>
      </c>
      <c r="M1529">
        <v>6.5</v>
      </c>
      <c r="N1529">
        <v>315.99</v>
      </c>
      <c r="O1529">
        <v>58</v>
      </c>
      <c r="P1529">
        <v>76</v>
      </c>
      <c r="Q1529" t="s">
        <v>99</v>
      </c>
      <c r="R1529">
        <v>30</v>
      </c>
      <c r="S1529" s="19">
        <v>0.5</v>
      </c>
      <c r="T1529">
        <v>0</v>
      </c>
      <c r="U1529" s="19"/>
      <c r="V1529" t="s">
        <v>99</v>
      </c>
      <c r="W1529">
        <v>6</v>
      </c>
      <c r="X1529" t="s">
        <v>102</v>
      </c>
      <c r="Y1529" t="b">
        <v>0</v>
      </c>
    </row>
    <row r="1530" spans="1:25" x14ac:dyDescent="0.55000000000000004">
      <c r="A1530" t="s">
        <v>94</v>
      </c>
      <c r="B1530" t="s">
        <v>381</v>
      </c>
      <c r="C1530" t="s">
        <v>348</v>
      </c>
      <c r="D1530" t="s">
        <v>174</v>
      </c>
      <c r="E1530" t="s">
        <v>175</v>
      </c>
      <c r="F1530" t="s">
        <v>392</v>
      </c>
      <c r="G1530">
        <v>22811</v>
      </c>
      <c r="H1530" t="s">
        <v>382</v>
      </c>
      <c r="I1530">
        <v>1</v>
      </c>
      <c r="J1530" t="s">
        <v>116</v>
      </c>
      <c r="K1530" s="19">
        <v>0.29166666666666669</v>
      </c>
      <c r="L1530" s="19">
        <v>0.64583333333333337</v>
      </c>
      <c r="M1530">
        <v>8.5</v>
      </c>
      <c r="N1530">
        <v>491.54</v>
      </c>
      <c r="O1530">
        <v>58</v>
      </c>
      <c r="P1530">
        <v>76</v>
      </c>
      <c r="Q1530" t="s">
        <v>99</v>
      </c>
      <c r="R1530">
        <v>30</v>
      </c>
      <c r="S1530" s="19">
        <v>0.5</v>
      </c>
      <c r="T1530">
        <v>0</v>
      </c>
      <c r="U1530" s="19"/>
      <c r="V1530" t="s">
        <v>99</v>
      </c>
      <c r="W1530">
        <v>8</v>
      </c>
      <c r="X1530" t="s">
        <v>102</v>
      </c>
      <c r="Y1530" t="b">
        <v>0</v>
      </c>
    </row>
    <row r="1531" spans="1:25" x14ac:dyDescent="0.55000000000000004">
      <c r="A1531" t="s">
        <v>94</v>
      </c>
      <c r="B1531" t="s">
        <v>381</v>
      </c>
      <c r="C1531" t="s">
        <v>348</v>
      </c>
      <c r="D1531" t="s">
        <v>174</v>
      </c>
      <c r="E1531" t="s">
        <v>175</v>
      </c>
      <c r="F1531" t="s">
        <v>392</v>
      </c>
      <c r="G1531">
        <v>22811</v>
      </c>
      <c r="H1531" t="s">
        <v>382</v>
      </c>
      <c r="I1531">
        <v>1</v>
      </c>
      <c r="J1531" t="s">
        <v>104</v>
      </c>
      <c r="K1531" s="19">
        <v>0.29166666666666669</v>
      </c>
      <c r="L1531" s="19">
        <v>0.64583333333333337</v>
      </c>
      <c r="M1531">
        <v>8.5</v>
      </c>
      <c r="N1531">
        <v>280.88</v>
      </c>
      <c r="O1531">
        <v>58</v>
      </c>
      <c r="P1531">
        <v>76</v>
      </c>
      <c r="Q1531" t="s">
        <v>99</v>
      </c>
      <c r="R1531">
        <v>30</v>
      </c>
      <c r="S1531" s="19">
        <v>0.5</v>
      </c>
      <c r="T1531">
        <v>0</v>
      </c>
      <c r="U1531" s="19"/>
      <c r="V1531" t="s">
        <v>99</v>
      </c>
      <c r="W1531">
        <v>8</v>
      </c>
      <c r="X1531" t="s">
        <v>102</v>
      </c>
      <c r="Y1531" t="b">
        <v>0</v>
      </c>
    </row>
    <row r="1532" spans="1:25" x14ac:dyDescent="0.55000000000000004">
      <c r="A1532" t="s">
        <v>94</v>
      </c>
      <c r="B1532" t="s">
        <v>381</v>
      </c>
      <c r="C1532" t="s">
        <v>348</v>
      </c>
      <c r="D1532" t="s">
        <v>174</v>
      </c>
      <c r="E1532" t="s">
        <v>175</v>
      </c>
      <c r="F1532" t="s">
        <v>392</v>
      </c>
      <c r="G1532">
        <v>22811</v>
      </c>
      <c r="H1532" t="s">
        <v>382</v>
      </c>
      <c r="I1532">
        <v>2</v>
      </c>
      <c r="J1532" t="s">
        <v>116</v>
      </c>
      <c r="K1532" s="19">
        <v>0.29166666666666669</v>
      </c>
      <c r="L1532" s="19">
        <v>0.64583333333333337</v>
      </c>
      <c r="M1532">
        <v>8.5</v>
      </c>
      <c r="N1532">
        <v>491.54</v>
      </c>
      <c r="O1532">
        <v>58</v>
      </c>
      <c r="P1532">
        <v>76</v>
      </c>
      <c r="Q1532" t="s">
        <v>99</v>
      </c>
      <c r="R1532">
        <v>30</v>
      </c>
      <c r="S1532" s="19">
        <v>0.5</v>
      </c>
      <c r="T1532">
        <v>0</v>
      </c>
      <c r="U1532" s="19"/>
      <c r="V1532" t="s">
        <v>99</v>
      </c>
      <c r="W1532">
        <v>8</v>
      </c>
      <c r="X1532" t="s">
        <v>102</v>
      </c>
      <c r="Y1532" t="b">
        <v>0</v>
      </c>
    </row>
    <row r="1533" spans="1:25" x14ac:dyDescent="0.55000000000000004">
      <c r="A1533" t="s">
        <v>94</v>
      </c>
      <c r="B1533" t="s">
        <v>381</v>
      </c>
      <c r="C1533" t="s">
        <v>348</v>
      </c>
      <c r="D1533" t="s">
        <v>174</v>
      </c>
      <c r="E1533" t="s">
        <v>175</v>
      </c>
      <c r="F1533" t="s">
        <v>392</v>
      </c>
      <c r="G1533">
        <v>23215</v>
      </c>
      <c r="H1533" t="s">
        <v>393</v>
      </c>
      <c r="I1533">
        <v>1</v>
      </c>
      <c r="J1533" t="s">
        <v>107</v>
      </c>
      <c r="K1533" s="19">
        <v>0.29166666666666669</v>
      </c>
      <c r="L1533" s="19">
        <v>0.64583333333333337</v>
      </c>
      <c r="M1533">
        <v>8.5</v>
      </c>
      <c r="N1533">
        <v>280.88</v>
      </c>
      <c r="O1533">
        <v>76</v>
      </c>
      <c r="P1533">
        <v>76</v>
      </c>
      <c r="Q1533" t="s">
        <v>99</v>
      </c>
      <c r="R1533">
        <v>30</v>
      </c>
      <c r="S1533" s="19">
        <v>0.5</v>
      </c>
      <c r="T1533">
        <v>0</v>
      </c>
      <c r="U1533" s="19"/>
      <c r="V1533" t="s">
        <v>99</v>
      </c>
      <c r="W1533">
        <v>8</v>
      </c>
      <c r="X1533" t="s">
        <v>102</v>
      </c>
      <c r="Y1533" t="b">
        <v>0</v>
      </c>
    </row>
    <row r="1534" spans="1:25" x14ac:dyDescent="0.55000000000000004">
      <c r="A1534" t="s">
        <v>94</v>
      </c>
      <c r="B1534" t="s">
        <v>381</v>
      </c>
      <c r="C1534" t="s">
        <v>348</v>
      </c>
      <c r="D1534" t="s">
        <v>174</v>
      </c>
      <c r="E1534" t="s">
        <v>175</v>
      </c>
      <c r="F1534" t="s">
        <v>392</v>
      </c>
      <c r="G1534">
        <v>23215</v>
      </c>
      <c r="H1534" t="s">
        <v>393</v>
      </c>
      <c r="I1534">
        <v>1</v>
      </c>
      <c r="J1534" t="s">
        <v>103</v>
      </c>
      <c r="K1534" s="19">
        <v>0.29166666666666669</v>
      </c>
      <c r="L1534" s="19">
        <v>0.64583333333333337</v>
      </c>
      <c r="M1534">
        <v>8.5</v>
      </c>
      <c r="N1534">
        <v>280.88</v>
      </c>
      <c r="O1534">
        <v>76</v>
      </c>
      <c r="P1534">
        <v>76</v>
      </c>
      <c r="Q1534" t="s">
        <v>99</v>
      </c>
      <c r="R1534">
        <v>30</v>
      </c>
      <c r="S1534" s="19">
        <v>0.5</v>
      </c>
      <c r="T1534">
        <v>0</v>
      </c>
      <c r="U1534" s="19">
        <v>0.41666666666666669</v>
      </c>
      <c r="V1534" t="s">
        <v>99</v>
      </c>
      <c r="W1534">
        <v>8</v>
      </c>
      <c r="X1534" t="s">
        <v>102</v>
      </c>
      <c r="Y1534" t="b">
        <v>0</v>
      </c>
    </row>
    <row r="1535" spans="1:25" x14ac:dyDescent="0.55000000000000004">
      <c r="A1535" t="s">
        <v>94</v>
      </c>
      <c r="B1535" t="s">
        <v>381</v>
      </c>
      <c r="C1535" t="s">
        <v>348</v>
      </c>
      <c r="D1535" t="s">
        <v>174</v>
      </c>
      <c r="E1535" t="s">
        <v>175</v>
      </c>
      <c r="F1535" t="s">
        <v>392</v>
      </c>
      <c r="G1535">
        <v>23215</v>
      </c>
      <c r="H1535" t="s">
        <v>393</v>
      </c>
      <c r="I1535">
        <v>2</v>
      </c>
      <c r="J1535" t="s">
        <v>101</v>
      </c>
      <c r="K1535" s="19">
        <v>0.29166666666666669</v>
      </c>
      <c r="L1535" s="19">
        <v>0.64583333333333337</v>
      </c>
      <c r="M1535">
        <v>8.5</v>
      </c>
      <c r="N1535">
        <v>280.88</v>
      </c>
      <c r="O1535">
        <v>76</v>
      </c>
      <c r="P1535">
        <v>76</v>
      </c>
      <c r="Q1535" t="s">
        <v>99</v>
      </c>
      <c r="R1535">
        <v>30</v>
      </c>
      <c r="S1535" s="19">
        <v>0.5</v>
      </c>
      <c r="T1535">
        <v>0</v>
      </c>
      <c r="U1535" s="19"/>
      <c r="V1535" t="s">
        <v>99</v>
      </c>
      <c r="W1535">
        <v>8</v>
      </c>
      <c r="X1535" t="s">
        <v>102</v>
      </c>
      <c r="Y1535" t="b">
        <v>0</v>
      </c>
    </row>
    <row r="1536" spans="1:25" x14ac:dyDescent="0.55000000000000004">
      <c r="A1536" t="s">
        <v>94</v>
      </c>
      <c r="B1536" t="s">
        <v>381</v>
      </c>
      <c r="C1536" t="s">
        <v>348</v>
      </c>
      <c r="D1536" t="s">
        <v>174</v>
      </c>
      <c r="E1536" t="s">
        <v>175</v>
      </c>
      <c r="F1536" t="s">
        <v>392</v>
      </c>
      <c r="G1536">
        <v>23284</v>
      </c>
      <c r="H1536" t="s">
        <v>394</v>
      </c>
      <c r="I1536">
        <v>2</v>
      </c>
      <c r="J1536" t="s">
        <v>107</v>
      </c>
      <c r="K1536" s="19">
        <v>0.29166666666666669</v>
      </c>
      <c r="L1536" s="19">
        <v>0.64583333333333337</v>
      </c>
      <c r="M1536">
        <v>8.5</v>
      </c>
      <c r="N1536">
        <v>280.88</v>
      </c>
      <c r="O1536">
        <v>48</v>
      </c>
      <c r="P1536">
        <v>76</v>
      </c>
      <c r="Q1536" t="s">
        <v>99</v>
      </c>
      <c r="R1536">
        <v>30</v>
      </c>
      <c r="S1536" s="19">
        <v>0.5</v>
      </c>
      <c r="T1536">
        <v>0</v>
      </c>
      <c r="U1536" s="19"/>
      <c r="V1536" t="s">
        <v>99</v>
      </c>
      <c r="W1536">
        <v>8</v>
      </c>
      <c r="X1536" t="s">
        <v>102</v>
      </c>
      <c r="Y1536" t="b">
        <v>0</v>
      </c>
    </row>
    <row r="1537" spans="1:25" x14ac:dyDescent="0.55000000000000004">
      <c r="A1537" t="s">
        <v>94</v>
      </c>
      <c r="B1537" t="s">
        <v>381</v>
      </c>
      <c r="C1537" t="s">
        <v>348</v>
      </c>
      <c r="D1537" t="s">
        <v>174</v>
      </c>
      <c r="E1537" t="s">
        <v>175</v>
      </c>
      <c r="F1537" t="s">
        <v>392</v>
      </c>
      <c r="G1537">
        <v>23284</v>
      </c>
      <c r="H1537" t="s">
        <v>394</v>
      </c>
      <c r="I1537">
        <v>2</v>
      </c>
      <c r="J1537" t="s">
        <v>103</v>
      </c>
      <c r="K1537" s="19">
        <v>0.29166666666666669</v>
      </c>
      <c r="L1537" s="19">
        <v>0.5625</v>
      </c>
      <c r="M1537">
        <v>6.5</v>
      </c>
      <c r="N1537">
        <v>210.66</v>
      </c>
      <c r="O1537">
        <v>48</v>
      </c>
      <c r="P1537">
        <v>76</v>
      </c>
      <c r="Q1537" t="s">
        <v>99</v>
      </c>
      <c r="R1537">
        <v>30</v>
      </c>
      <c r="S1537" s="19">
        <v>0.5</v>
      </c>
      <c r="T1537">
        <v>0</v>
      </c>
      <c r="U1537" s="19"/>
      <c r="V1537" t="s">
        <v>99</v>
      </c>
      <c r="W1537">
        <v>6</v>
      </c>
      <c r="X1537" t="s">
        <v>102</v>
      </c>
      <c r="Y1537" t="b">
        <v>0</v>
      </c>
    </row>
    <row r="1538" spans="1:25" x14ac:dyDescent="0.55000000000000004">
      <c r="A1538" t="s">
        <v>94</v>
      </c>
      <c r="B1538" t="s">
        <v>381</v>
      </c>
      <c r="C1538" t="s">
        <v>348</v>
      </c>
      <c r="D1538" t="s">
        <v>174</v>
      </c>
      <c r="E1538" t="s">
        <v>175</v>
      </c>
      <c r="F1538" t="s">
        <v>392</v>
      </c>
      <c r="G1538">
        <v>23872</v>
      </c>
      <c r="H1538" t="s">
        <v>383</v>
      </c>
      <c r="I1538">
        <v>1</v>
      </c>
      <c r="J1538" t="s">
        <v>101</v>
      </c>
      <c r="K1538" s="19">
        <v>0.29166666666666669</v>
      </c>
      <c r="L1538" s="19">
        <v>0.64583333333333337</v>
      </c>
      <c r="M1538">
        <v>8.5</v>
      </c>
      <c r="N1538">
        <v>280.88</v>
      </c>
      <c r="O1538">
        <v>76</v>
      </c>
      <c r="P1538">
        <v>76</v>
      </c>
      <c r="Q1538" t="s">
        <v>99</v>
      </c>
      <c r="R1538">
        <v>30</v>
      </c>
      <c r="S1538" s="19">
        <v>0.5</v>
      </c>
      <c r="T1538">
        <v>0</v>
      </c>
      <c r="U1538" s="19"/>
      <c r="V1538" t="s">
        <v>379</v>
      </c>
      <c r="W1538">
        <v>8</v>
      </c>
      <c r="X1538" t="s">
        <v>102</v>
      </c>
      <c r="Y1538" t="b">
        <v>0</v>
      </c>
    </row>
    <row r="1539" spans="1:25" x14ac:dyDescent="0.55000000000000004">
      <c r="A1539" t="s">
        <v>94</v>
      </c>
      <c r="B1539" t="s">
        <v>381</v>
      </c>
      <c r="C1539" t="s">
        <v>348</v>
      </c>
      <c r="D1539" t="s">
        <v>174</v>
      </c>
      <c r="E1539" t="s">
        <v>175</v>
      </c>
      <c r="F1539" t="s">
        <v>392</v>
      </c>
      <c r="G1539">
        <v>23872</v>
      </c>
      <c r="H1539" t="s">
        <v>383</v>
      </c>
      <c r="I1539">
        <v>2</v>
      </c>
      <c r="J1539" t="s">
        <v>105</v>
      </c>
      <c r="K1539" s="19">
        <v>0.29166666666666669</v>
      </c>
      <c r="L1539" s="19">
        <v>0.64583333333333337</v>
      </c>
      <c r="M1539">
        <v>8.5</v>
      </c>
      <c r="N1539">
        <v>280.88</v>
      </c>
      <c r="O1539">
        <v>76</v>
      </c>
      <c r="P1539">
        <v>76</v>
      </c>
      <c r="Q1539" t="s">
        <v>99</v>
      </c>
      <c r="R1539">
        <v>30</v>
      </c>
      <c r="S1539" s="19">
        <v>0.5</v>
      </c>
      <c r="T1539">
        <v>0</v>
      </c>
      <c r="U1539" s="19"/>
      <c r="V1539" t="s">
        <v>99</v>
      </c>
      <c r="W1539">
        <v>8</v>
      </c>
      <c r="X1539" t="s">
        <v>102</v>
      </c>
      <c r="Y1539" t="b">
        <v>0</v>
      </c>
    </row>
    <row r="1540" spans="1:25" x14ac:dyDescent="0.55000000000000004">
      <c r="A1540" t="s">
        <v>94</v>
      </c>
      <c r="B1540" t="s">
        <v>381</v>
      </c>
      <c r="C1540" t="s">
        <v>348</v>
      </c>
      <c r="D1540" t="s">
        <v>174</v>
      </c>
      <c r="E1540" t="s">
        <v>175</v>
      </c>
      <c r="F1540" t="s">
        <v>392</v>
      </c>
      <c r="G1540">
        <v>24612</v>
      </c>
      <c r="H1540" t="s">
        <v>395</v>
      </c>
      <c r="I1540">
        <v>1</v>
      </c>
      <c r="J1540" t="s">
        <v>101</v>
      </c>
      <c r="K1540" s="19">
        <v>0.29166666666666669</v>
      </c>
      <c r="L1540" s="19">
        <v>0.5625</v>
      </c>
      <c r="M1540">
        <v>6.5</v>
      </c>
      <c r="N1540">
        <v>210.66</v>
      </c>
      <c r="O1540">
        <v>76</v>
      </c>
      <c r="P1540">
        <v>76</v>
      </c>
      <c r="Q1540" t="s">
        <v>99</v>
      </c>
      <c r="R1540">
        <v>30</v>
      </c>
      <c r="S1540" s="19">
        <v>0.5</v>
      </c>
      <c r="T1540">
        <v>0</v>
      </c>
      <c r="U1540" s="19"/>
      <c r="V1540" t="s">
        <v>99</v>
      </c>
      <c r="W1540">
        <v>6</v>
      </c>
      <c r="X1540" t="s">
        <v>102</v>
      </c>
      <c r="Y1540" t="b">
        <v>0</v>
      </c>
    </row>
    <row r="1541" spans="1:25" x14ac:dyDescent="0.55000000000000004">
      <c r="A1541" t="s">
        <v>94</v>
      </c>
      <c r="B1541" t="s">
        <v>381</v>
      </c>
      <c r="C1541" t="s">
        <v>348</v>
      </c>
      <c r="D1541" t="s">
        <v>174</v>
      </c>
      <c r="E1541" t="s">
        <v>175</v>
      </c>
      <c r="F1541" t="s">
        <v>392</v>
      </c>
      <c r="G1541">
        <v>24612</v>
      </c>
      <c r="H1541" t="s">
        <v>395</v>
      </c>
      <c r="I1541">
        <v>2</v>
      </c>
      <c r="J1541" t="s">
        <v>101</v>
      </c>
      <c r="K1541" s="19">
        <v>0.29166666666666669</v>
      </c>
      <c r="L1541" s="19">
        <v>0.5625</v>
      </c>
      <c r="M1541">
        <v>6.5</v>
      </c>
      <c r="N1541">
        <v>386.21</v>
      </c>
      <c r="O1541">
        <v>76</v>
      </c>
      <c r="P1541">
        <v>76</v>
      </c>
      <c r="Q1541" t="s">
        <v>99</v>
      </c>
      <c r="R1541">
        <v>30</v>
      </c>
      <c r="S1541" s="19">
        <v>0.5</v>
      </c>
      <c r="T1541">
        <v>0</v>
      </c>
      <c r="U1541" s="19"/>
      <c r="V1541" t="s">
        <v>99</v>
      </c>
      <c r="W1541">
        <v>6</v>
      </c>
      <c r="X1541" t="s">
        <v>102</v>
      </c>
      <c r="Y1541" t="b">
        <v>0</v>
      </c>
    </row>
    <row r="1542" spans="1:25" x14ac:dyDescent="0.55000000000000004">
      <c r="A1542" t="s">
        <v>94</v>
      </c>
      <c r="B1542" t="s">
        <v>381</v>
      </c>
      <c r="C1542" t="s">
        <v>348</v>
      </c>
      <c r="D1542" t="s">
        <v>174</v>
      </c>
      <c r="E1542" t="s">
        <v>175</v>
      </c>
      <c r="F1542" t="s">
        <v>392</v>
      </c>
      <c r="G1542">
        <v>25187</v>
      </c>
      <c r="H1542" t="s">
        <v>386</v>
      </c>
      <c r="I1542">
        <v>2</v>
      </c>
      <c r="J1542" t="s">
        <v>107</v>
      </c>
      <c r="K1542" s="19">
        <v>0.29166666666666669</v>
      </c>
      <c r="L1542" s="19">
        <v>0.5625</v>
      </c>
      <c r="M1542">
        <v>6.5</v>
      </c>
      <c r="N1542">
        <v>210.66</v>
      </c>
      <c r="O1542">
        <v>76</v>
      </c>
      <c r="P1542">
        <v>76</v>
      </c>
      <c r="Q1542" t="s">
        <v>99</v>
      </c>
      <c r="R1542">
        <v>30</v>
      </c>
      <c r="S1542" s="19">
        <v>0.5</v>
      </c>
      <c r="T1542">
        <v>0</v>
      </c>
      <c r="U1542" s="19"/>
      <c r="V1542" t="s">
        <v>99</v>
      </c>
      <c r="W1542">
        <v>6</v>
      </c>
      <c r="X1542" t="s">
        <v>102</v>
      </c>
      <c r="Y1542" t="b">
        <v>0</v>
      </c>
    </row>
    <row r="1543" spans="1:25" x14ac:dyDescent="0.55000000000000004">
      <c r="A1543" t="s">
        <v>94</v>
      </c>
      <c r="B1543" t="s">
        <v>381</v>
      </c>
      <c r="C1543" t="s">
        <v>348</v>
      </c>
      <c r="D1543" t="s">
        <v>174</v>
      </c>
      <c r="E1543" t="s">
        <v>175</v>
      </c>
      <c r="F1543" t="s">
        <v>392</v>
      </c>
      <c r="G1543">
        <v>25187</v>
      </c>
      <c r="H1543" t="s">
        <v>386</v>
      </c>
      <c r="I1543">
        <v>2</v>
      </c>
      <c r="J1543" t="s">
        <v>116</v>
      </c>
      <c r="K1543" s="19">
        <v>0.29166666666666669</v>
      </c>
      <c r="L1543" s="19">
        <v>0.5625</v>
      </c>
      <c r="M1543">
        <v>6.5</v>
      </c>
      <c r="N1543">
        <v>368.65</v>
      </c>
      <c r="O1543">
        <v>76</v>
      </c>
      <c r="P1543">
        <v>76</v>
      </c>
      <c r="Q1543" t="s">
        <v>99</v>
      </c>
      <c r="R1543">
        <v>30</v>
      </c>
      <c r="S1543" s="19">
        <v>0.5</v>
      </c>
      <c r="T1543">
        <v>0</v>
      </c>
      <c r="U1543" s="19"/>
      <c r="V1543" t="s">
        <v>99</v>
      </c>
      <c r="W1543">
        <v>6</v>
      </c>
      <c r="X1543" t="s">
        <v>102</v>
      </c>
      <c r="Y1543" t="b">
        <v>0</v>
      </c>
    </row>
    <row r="1544" spans="1:25" x14ac:dyDescent="0.55000000000000004">
      <c r="A1544" t="s">
        <v>94</v>
      </c>
      <c r="B1544" t="s">
        <v>381</v>
      </c>
      <c r="C1544" t="s">
        <v>348</v>
      </c>
      <c r="D1544" t="s">
        <v>174</v>
      </c>
      <c r="E1544" t="s">
        <v>175</v>
      </c>
      <c r="F1544" t="s">
        <v>392</v>
      </c>
      <c r="G1544">
        <v>25187</v>
      </c>
      <c r="H1544" t="s">
        <v>386</v>
      </c>
      <c r="I1544">
        <v>2</v>
      </c>
      <c r="J1544" t="s">
        <v>103</v>
      </c>
      <c r="K1544" s="19">
        <v>0.29166666666666669</v>
      </c>
      <c r="L1544" s="19">
        <v>0.64583333333333337</v>
      </c>
      <c r="M1544">
        <v>8.5</v>
      </c>
      <c r="N1544">
        <v>280.88</v>
      </c>
      <c r="O1544">
        <v>76</v>
      </c>
      <c r="P1544">
        <v>76</v>
      </c>
      <c r="Q1544" t="s">
        <v>99</v>
      </c>
      <c r="R1544">
        <v>30</v>
      </c>
      <c r="S1544" s="19">
        <v>0.5</v>
      </c>
      <c r="T1544">
        <v>0</v>
      </c>
      <c r="U1544" s="19"/>
      <c r="V1544" t="s">
        <v>99</v>
      </c>
      <c r="W1544">
        <v>8</v>
      </c>
      <c r="X1544" t="s">
        <v>102</v>
      </c>
      <c r="Y1544" t="b">
        <v>0</v>
      </c>
    </row>
    <row r="1545" spans="1:25" x14ac:dyDescent="0.55000000000000004">
      <c r="A1545" t="s">
        <v>94</v>
      </c>
      <c r="B1545" t="s">
        <v>381</v>
      </c>
      <c r="C1545" t="s">
        <v>348</v>
      </c>
      <c r="D1545" t="s">
        <v>174</v>
      </c>
      <c r="E1545" t="s">
        <v>175</v>
      </c>
      <c r="F1545" t="s">
        <v>392</v>
      </c>
      <c r="G1545">
        <v>25204</v>
      </c>
      <c r="H1545" t="s">
        <v>391</v>
      </c>
      <c r="I1545">
        <v>1</v>
      </c>
      <c r="J1545" t="s">
        <v>115</v>
      </c>
      <c r="K1545" s="19">
        <v>0.29166666666666669</v>
      </c>
      <c r="L1545" s="19">
        <v>0.64583333333333337</v>
      </c>
      <c r="M1545">
        <v>8.5</v>
      </c>
      <c r="N1545">
        <v>421.32</v>
      </c>
      <c r="O1545">
        <v>76</v>
      </c>
      <c r="P1545">
        <v>76</v>
      </c>
      <c r="Q1545" t="s">
        <v>99</v>
      </c>
      <c r="R1545">
        <v>30</v>
      </c>
      <c r="S1545" s="19">
        <v>0.5</v>
      </c>
      <c r="T1545">
        <v>0</v>
      </c>
      <c r="U1545" s="19"/>
      <c r="V1545" t="s">
        <v>99</v>
      </c>
      <c r="W1545">
        <v>8</v>
      </c>
      <c r="X1545" t="s">
        <v>102</v>
      </c>
      <c r="Y1545" t="b">
        <v>0</v>
      </c>
    </row>
    <row r="1546" spans="1:25" x14ac:dyDescent="0.55000000000000004">
      <c r="A1546" t="s">
        <v>94</v>
      </c>
      <c r="B1546" t="s">
        <v>381</v>
      </c>
      <c r="C1546" t="s">
        <v>348</v>
      </c>
      <c r="D1546" t="s">
        <v>174</v>
      </c>
      <c r="E1546" t="s">
        <v>175</v>
      </c>
      <c r="F1546" t="s">
        <v>392</v>
      </c>
      <c r="G1546">
        <v>25204</v>
      </c>
      <c r="H1546" t="s">
        <v>391</v>
      </c>
      <c r="I1546">
        <v>1</v>
      </c>
      <c r="J1546" t="s">
        <v>103</v>
      </c>
      <c r="K1546" s="19">
        <v>0.29166666666666669</v>
      </c>
      <c r="L1546" s="19">
        <v>0.5625</v>
      </c>
      <c r="M1546">
        <v>6.5</v>
      </c>
      <c r="N1546">
        <v>210.66</v>
      </c>
      <c r="O1546">
        <v>76</v>
      </c>
      <c r="P1546">
        <v>76</v>
      </c>
      <c r="Q1546" t="s">
        <v>99</v>
      </c>
      <c r="R1546">
        <v>30</v>
      </c>
      <c r="S1546" s="19">
        <v>0.5</v>
      </c>
      <c r="T1546">
        <v>0</v>
      </c>
      <c r="U1546" s="19"/>
      <c r="V1546" t="s">
        <v>99</v>
      </c>
      <c r="W1546">
        <v>6</v>
      </c>
      <c r="X1546" t="s">
        <v>102</v>
      </c>
      <c r="Y1546" t="b">
        <v>0</v>
      </c>
    </row>
    <row r="1547" spans="1:25" x14ac:dyDescent="0.55000000000000004">
      <c r="A1547" t="s">
        <v>94</v>
      </c>
      <c r="B1547" t="s">
        <v>381</v>
      </c>
      <c r="C1547" t="s">
        <v>348</v>
      </c>
      <c r="D1547" t="s">
        <v>174</v>
      </c>
      <c r="E1547" t="s">
        <v>175</v>
      </c>
      <c r="F1547" t="s">
        <v>392</v>
      </c>
      <c r="G1547">
        <v>25204</v>
      </c>
      <c r="H1547" t="s">
        <v>391</v>
      </c>
      <c r="I1547">
        <v>2</v>
      </c>
      <c r="J1547" t="s">
        <v>104</v>
      </c>
      <c r="K1547" s="19">
        <v>0.29166666666666669</v>
      </c>
      <c r="L1547" s="19">
        <v>0.5625</v>
      </c>
      <c r="M1547">
        <v>6.5</v>
      </c>
      <c r="N1547">
        <v>210.66</v>
      </c>
      <c r="O1547">
        <v>76</v>
      </c>
      <c r="P1547">
        <v>76</v>
      </c>
      <c r="Q1547" t="s">
        <v>99</v>
      </c>
      <c r="R1547">
        <v>30</v>
      </c>
      <c r="S1547" s="19">
        <v>0.5</v>
      </c>
      <c r="T1547">
        <v>0</v>
      </c>
      <c r="U1547" s="19"/>
      <c r="V1547" t="s">
        <v>99</v>
      </c>
      <c r="W1547">
        <v>6</v>
      </c>
      <c r="X1547" t="s">
        <v>102</v>
      </c>
      <c r="Y1547" t="b">
        <v>0</v>
      </c>
    </row>
    <row r="1548" spans="1:25" x14ac:dyDescent="0.55000000000000004">
      <c r="A1548" t="s">
        <v>94</v>
      </c>
      <c r="B1548" t="s">
        <v>381</v>
      </c>
      <c r="C1548" t="s">
        <v>348</v>
      </c>
      <c r="D1548" t="s">
        <v>174</v>
      </c>
      <c r="E1548" t="s">
        <v>175</v>
      </c>
      <c r="F1548" t="s">
        <v>392</v>
      </c>
      <c r="G1548">
        <v>25293</v>
      </c>
      <c r="H1548" t="s">
        <v>387</v>
      </c>
      <c r="I1548">
        <v>1</v>
      </c>
      <c r="J1548" t="s">
        <v>105</v>
      </c>
      <c r="K1548" s="19">
        <v>0.29166666666666669</v>
      </c>
      <c r="L1548" s="19">
        <v>0.64583333333333337</v>
      </c>
      <c r="M1548">
        <v>8.5</v>
      </c>
      <c r="N1548">
        <v>284.16000000000003</v>
      </c>
      <c r="O1548">
        <v>40</v>
      </c>
      <c r="P1548">
        <v>76</v>
      </c>
      <c r="Q1548" t="s">
        <v>99</v>
      </c>
      <c r="R1548">
        <v>30</v>
      </c>
      <c r="S1548" s="19">
        <v>0.5</v>
      </c>
      <c r="T1548">
        <v>0</v>
      </c>
      <c r="U1548" s="19"/>
      <c r="V1548" t="s">
        <v>99</v>
      </c>
      <c r="W1548">
        <v>8</v>
      </c>
      <c r="X1548" t="s">
        <v>102</v>
      </c>
      <c r="Y1548" t="b">
        <v>0</v>
      </c>
    </row>
    <row r="1549" spans="1:25" x14ac:dyDescent="0.55000000000000004">
      <c r="A1549" t="s">
        <v>94</v>
      </c>
      <c r="B1549" t="s">
        <v>381</v>
      </c>
      <c r="C1549" t="s">
        <v>348</v>
      </c>
      <c r="D1549" t="s">
        <v>174</v>
      </c>
      <c r="E1549" t="s">
        <v>175</v>
      </c>
      <c r="F1549" t="s">
        <v>392</v>
      </c>
      <c r="G1549">
        <v>25408</v>
      </c>
      <c r="H1549" t="s">
        <v>388</v>
      </c>
      <c r="I1549">
        <v>1</v>
      </c>
      <c r="J1549" t="s">
        <v>116</v>
      </c>
      <c r="K1549" s="19">
        <v>0.29166666666666669</v>
      </c>
      <c r="L1549" s="19">
        <v>0.60416666666666663</v>
      </c>
      <c r="M1549">
        <v>7.5</v>
      </c>
      <c r="N1549">
        <v>408.54</v>
      </c>
      <c r="O1549">
        <v>16</v>
      </c>
      <c r="P1549">
        <v>76</v>
      </c>
      <c r="Q1549" t="s">
        <v>99</v>
      </c>
      <c r="R1549">
        <v>30</v>
      </c>
      <c r="S1549" s="19">
        <v>0.5</v>
      </c>
      <c r="T1549">
        <v>0</v>
      </c>
      <c r="U1549" s="19"/>
      <c r="V1549" t="s">
        <v>99</v>
      </c>
      <c r="W1549">
        <v>7</v>
      </c>
      <c r="X1549" t="s">
        <v>102</v>
      </c>
      <c r="Y1549" t="b">
        <v>0</v>
      </c>
    </row>
    <row r="1550" spans="1:25" x14ac:dyDescent="0.55000000000000004">
      <c r="A1550" t="s">
        <v>94</v>
      </c>
      <c r="B1550" t="s">
        <v>381</v>
      </c>
      <c r="C1550" t="s">
        <v>348</v>
      </c>
      <c r="D1550" t="s">
        <v>174</v>
      </c>
      <c r="E1550" t="s">
        <v>175</v>
      </c>
      <c r="F1550" t="s">
        <v>392</v>
      </c>
      <c r="G1550">
        <v>25408</v>
      </c>
      <c r="H1550" t="s">
        <v>388</v>
      </c>
      <c r="I1550">
        <v>2</v>
      </c>
      <c r="J1550" t="s">
        <v>115</v>
      </c>
      <c r="K1550" s="19">
        <v>0.29166666666666669</v>
      </c>
      <c r="L1550" s="19">
        <v>0.5625</v>
      </c>
      <c r="M1550">
        <v>6.5</v>
      </c>
      <c r="N1550">
        <v>300.14999999999998</v>
      </c>
      <c r="O1550">
        <v>16</v>
      </c>
      <c r="P1550">
        <v>76</v>
      </c>
      <c r="Q1550" t="s">
        <v>99</v>
      </c>
      <c r="R1550">
        <v>30</v>
      </c>
      <c r="S1550" s="19">
        <v>0.5</v>
      </c>
      <c r="T1550">
        <v>0</v>
      </c>
      <c r="U1550" s="19"/>
      <c r="V1550" t="s">
        <v>99</v>
      </c>
      <c r="W1550">
        <v>6</v>
      </c>
      <c r="X1550" t="s">
        <v>102</v>
      </c>
      <c r="Y1550" t="b">
        <v>0</v>
      </c>
    </row>
    <row r="1551" spans="1:25" x14ac:dyDescent="0.55000000000000004">
      <c r="A1551" t="s">
        <v>94</v>
      </c>
      <c r="B1551" t="s">
        <v>381</v>
      </c>
      <c r="C1551" t="s">
        <v>348</v>
      </c>
      <c r="D1551" t="s">
        <v>174</v>
      </c>
      <c r="E1551" t="s">
        <v>175</v>
      </c>
      <c r="F1551" t="s">
        <v>392</v>
      </c>
      <c r="G1551">
        <v>25588</v>
      </c>
      <c r="H1551" t="s">
        <v>389</v>
      </c>
      <c r="I1551">
        <v>1</v>
      </c>
      <c r="J1551" t="s">
        <v>107</v>
      </c>
      <c r="K1551" s="19">
        <v>0.29166666666666669</v>
      </c>
      <c r="L1551" s="19">
        <v>0.5625</v>
      </c>
      <c r="M1551">
        <v>6.5</v>
      </c>
      <c r="N1551">
        <v>200.1</v>
      </c>
      <c r="O1551">
        <v>40</v>
      </c>
      <c r="P1551">
        <v>76</v>
      </c>
      <c r="Q1551" t="s">
        <v>99</v>
      </c>
      <c r="R1551">
        <v>30</v>
      </c>
      <c r="S1551" s="19">
        <v>0.5</v>
      </c>
      <c r="T1551">
        <v>0</v>
      </c>
      <c r="U1551" s="19"/>
      <c r="V1551" t="s">
        <v>99</v>
      </c>
      <c r="W1551">
        <v>6</v>
      </c>
      <c r="X1551" t="s">
        <v>102</v>
      </c>
      <c r="Y1551" t="b">
        <v>0</v>
      </c>
    </row>
    <row r="1552" spans="1:25" x14ac:dyDescent="0.55000000000000004">
      <c r="A1552" t="s">
        <v>94</v>
      </c>
      <c r="B1552" t="s">
        <v>381</v>
      </c>
      <c r="C1552" t="s">
        <v>348</v>
      </c>
      <c r="D1552" t="s">
        <v>174</v>
      </c>
      <c r="E1552" t="s">
        <v>175</v>
      </c>
      <c r="F1552" t="s">
        <v>376</v>
      </c>
      <c r="H1552" t="s">
        <v>99</v>
      </c>
      <c r="I1552">
        <v>1</v>
      </c>
      <c r="J1552" t="s">
        <v>107</v>
      </c>
      <c r="K1552" s="19">
        <v>0.29166666666666669</v>
      </c>
      <c r="L1552" s="19">
        <v>0.60416666666666663</v>
      </c>
      <c r="M1552">
        <v>7.5</v>
      </c>
      <c r="N1552">
        <v>203.35</v>
      </c>
      <c r="O1552">
        <v>0</v>
      </c>
      <c r="P1552">
        <v>0</v>
      </c>
      <c r="Q1552" t="s">
        <v>99</v>
      </c>
      <c r="R1552">
        <v>30</v>
      </c>
      <c r="S1552" s="19">
        <v>0.5</v>
      </c>
      <c r="T1552">
        <v>0</v>
      </c>
      <c r="U1552" s="19"/>
      <c r="V1552" t="s">
        <v>99</v>
      </c>
      <c r="W1552">
        <v>7</v>
      </c>
      <c r="X1552" t="s">
        <v>102</v>
      </c>
      <c r="Y1552" t="b">
        <v>0</v>
      </c>
    </row>
    <row r="1553" spans="1:25" x14ac:dyDescent="0.55000000000000004">
      <c r="A1553" t="s">
        <v>94</v>
      </c>
      <c r="B1553" t="s">
        <v>381</v>
      </c>
      <c r="C1553" t="s">
        <v>348</v>
      </c>
      <c r="D1553" t="s">
        <v>174</v>
      </c>
      <c r="E1553" t="s">
        <v>175</v>
      </c>
      <c r="F1553" t="s">
        <v>376</v>
      </c>
      <c r="H1553" t="s">
        <v>99</v>
      </c>
      <c r="I1553">
        <v>1</v>
      </c>
      <c r="J1553" t="s">
        <v>101</v>
      </c>
      <c r="K1553" s="19">
        <v>0.29166666666666669</v>
      </c>
      <c r="L1553" s="19">
        <v>0.60416666666666663</v>
      </c>
      <c r="M1553">
        <v>7.5</v>
      </c>
      <c r="N1553">
        <v>209.86</v>
      </c>
      <c r="O1553">
        <v>0</v>
      </c>
      <c r="P1553">
        <v>0</v>
      </c>
      <c r="Q1553" t="s">
        <v>99</v>
      </c>
      <c r="R1553">
        <v>30</v>
      </c>
      <c r="S1553" s="19">
        <v>0.5</v>
      </c>
      <c r="T1553">
        <v>0</v>
      </c>
      <c r="U1553" s="19"/>
      <c r="V1553" t="s">
        <v>396</v>
      </c>
      <c r="W1553">
        <v>7</v>
      </c>
      <c r="X1553" t="s">
        <v>102</v>
      </c>
      <c r="Y1553" t="b">
        <v>0</v>
      </c>
    </row>
    <row r="1554" spans="1:25" x14ac:dyDescent="0.55000000000000004">
      <c r="A1554" t="s">
        <v>94</v>
      </c>
      <c r="B1554" t="s">
        <v>381</v>
      </c>
      <c r="C1554" t="s">
        <v>348</v>
      </c>
      <c r="D1554" t="s">
        <v>174</v>
      </c>
      <c r="E1554" t="s">
        <v>175</v>
      </c>
      <c r="F1554" t="s">
        <v>376</v>
      </c>
      <c r="H1554" t="s">
        <v>99</v>
      </c>
      <c r="I1554">
        <v>1</v>
      </c>
      <c r="J1554" t="s">
        <v>115</v>
      </c>
      <c r="K1554" s="19">
        <v>0.29166666666666669</v>
      </c>
      <c r="L1554" s="19">
        <v>0.60416666666666663</v>
      </c>
      <c r="M1554">
        <v>7.5</v>
      </c>
      <c r="N1554">
        <v>305.02</v>
      </c>
      <c r="O1554">
        <v>0</v>
      </c>
      <c r="P1554">
        <v>0</v>
      </c>
      <c r="Q1554" t="s">
        <v>99</v>
      </c>
      <c r="R1554">
        <v>30</v>
      </c>
      <c r="S1554" s="19">
        <v>0.5</v>
      </c>
      <c r="T1554">
        <v>0</v>
      </c>
      <c r="U1554" s="19"/>
      <c r="V1554" t="s">
        <v>99</v>
      </c>
      <c r="W1554">
        <v>7</v>
      </c>
      <c r="X1554" t="s">
        <v>102</v>
      </c>
      <c r="Y1554" t="b">
        <v>0</v>
      </c>
    </row>
    <row r="1555" spans="1:25" x14ac:dyDescent="0.55000000000000004">
      <c r="A1555" t="s">
        <v>94</v>
      </c>
      <c r="B1555" t="s">
        <v>381</v>
      </c>
      <c r="C1555" t="s">
        <v>348</v>
      </c>
      <c r="D1555" t="s">
        <v>174</v>
      </c>
      <c r="E1555" t="s">
        <v>175</v>
      </c>
      <c r="F1555" t="s">
        <v>376</v>
      </c>
      <c r="H1555" t="s">
        <v>99</v>
      </c>
      <c r="I1555">
        <v>1</v>
      </c>
      <c r="J1555" t="s">
        <v>116</v>
      </c>
      <c r="K1555" s="19">
        <v>0.29166666666666669</v>
      </c>
      <c r="L1555" s="19">
        <v>0.5625</v>
      </c>
      <c r="M1555">
        <v>6.5</v>
      </c>
      <c r="N1555">
        <v>305.02</v>
      </c>
      <c r="O1555">
        <v>0</v>
      </c>
      <c r="P1555">
        <v>0</v>
      </c>
      <c r="Q1555" t="s">
        <v>99</v>
      </c>
      <c r="R1555">
        <v>30</v>
      </c>
      <c r="S1555" s="19">
        <v>0.5</v>
      </c>
      <c r="T1555">
        <v>0</v>
      </c>
      <c r="U1555" s="19"/>
      <c r="V1555" t="s">
        <v>99</v>
      </c>
      <c r="W1555">
        <v>6</v>
      </c>
      <c r="X1555" t="s">
        <v>102</v>
      </c>
      <c r="Y1555" t="b">
        <v>0</v>
      </c>
    </row>
    <row r="1556" spans="1:25" x14ac:dyDescent="0.55000000000000004">
      <c r="A1556" t="s">
        <v>94</v>
      </c>
      <c r="B1556" t="s">
        <v>381</v>
      </c>
      <c r="C1556" t="s">
        <v>348</v>
      </c>
      <c r="D1556" t="s">
        <v>174</v>
      </c>
      <c r="E1556" t="s">
        <v>175</v>
      </c>
      <c r="F1556" t="s">
        <v>376</v>
      </c>
      <c r="H1556" t="s">
        <v>99</v>
      </c>
      <c r="I1556">
        <v>1</v>
      </c>
      <c r="J1556" t="s">
        <v>105</v>
      </c>
      <c r="K1556" s="19">
        <v>0.29166666666666669</v>
      </c>
      <c r="L1556" s="19">
        <v>0.60416666666666663</v>
      </c>
      <c r="M1556">
        <v>7.5</v>
      </c>
      <c r="N1556">
        <v>203.35</v>
      </c>
      <c r="O1556">
        <v>0</v>
      </c>
      <c r="P1556">
        <v>0</v>
      </c>
      <c r="Q1556" t="s">
        <v>99</v>
      </c>
      <c r="R1556">
        <v>30</v>
      </c>
      <c r="S1556" s="19">
        <v>0.5</v>
      </c>
      <c r="T1556">
        <v>0</v>
      </c>
      <c r="U1556" s="19"/>
      <c r="V1556" t="s">
        <v>99</v>
      </c>
      <c r="W1556">
        <v>7</v>
      </c>
      <c r="X1556" t="s">
        <v>102</v>
      </c>
      <c r="Y1556" t="b">
        <v>0</v>
      </c>
    </row>
    <row r="1557" spans="1:25" x14ac:dyDescent="0.55000000000000004">
      <c r="A1557" t="s">
        <v>94</v>
      </c>
      <c r="B1557" t="s">
        <v>381</v>
      </c>
      <c r="C1557" t="s">
        <v>348</v>
      </c>
      <c r="D1557" t="s">
        <v>174</v>
      </c>
      <c r="E1557" t="s">
        <v>175</v>
      </c>
      <c r="F1557" t="s">
        <v>376</v>
      </c>
      <c r="H1557" t="s">
        <v>99</v>
      </c>
      <c r="I1557">
        <v>2</v>
      </c>
      <c r="J1557" t="s">
        <v>107</v>
      </c>
      <c r="K1557" s="19">
        <v>0.29166666666666669</v>
      </c>
      <c r="L1557" s="19">
        <v>0.5625</v>
      </c>
      <c r="M1557">
        <v>6.5</v>
      </c>
      <c r="N1557">
        <v>174.3</v>
      </c>
      <c r="O1557">
        <v>0</v>
      </c>
      <c r="P1557">
        <v>0</v>
      </c>
      <c r="Q1557" t="s">
        <v>99</v>
      </c>
      <c r="R1557">
        <v>30</v>
      </c>
      <c r="S1557" s="19">
        <v>0.5</v>
      </c>
      <c r="T1557">
        <v>0</v>
      </c>
      <c r="U1557" s="19"/>
      <c r="V1557" t="s">
        <v>99</v>
      </c>
      <c r="W1557">
        <v>6</v>
      </c>
      <c r="X1557" t="s">
        <v>102</v>
      </c>
      <c r="Y1557" t="b">
        <v>0</v>
      </c>
    </row>
    <row r="1558" spans="1:25" x14ac:dyDescent="0.55000000000000004">
      <c r="A1558" t="s">
        <v>94</v>
      </c>
      <c r="B1558" t="s">
        <v>381</v>
      </c>
      <c r="C1558" t="s">
        <v>348</v>
      </c>
      <c r="D1558" t="s">
        <v>174</v>
      </c>
      <c r="E1558" t="s">
        <v>175</v>
      </c>
      <c r="F1558" t="s">
        <v>376</v>
      </c>
      <c r="H1558" t="s">
        <v>99</v>
      </c>
      <c r="I1558">
        <v>2</v>
      </c>
      <c r="J1558" t="s">
        <v>107</v>
      </c>
      <c r="K1558" s="19">
        <v>0.29166666666666669</v>
      </c>
      <c r="L1558" s="19">
        <v>0.60416666666666663</v>
      </c>
      <c r="M1558">
        <v>7.5</v>
      </c>
      <c r="N1558">
        <v>203.35</v>
      </c>
      <c r="O1558">
        <v>0</v>
      </c>
      <c r="P1558">
        <v>0</v>
      </c>
      <c r="Q1558" t="s">
        <v>99</v>
      </c>
      <c r="R1558">
        <v>30</v>
      </c>
      <c r="S1558" s="19">
        <v>0.5</v>
      </c>
      <c r="T1558">
        <v>0</v>
      </c>
      <c r="U1558" s="19"/>
      <c r="V1558" t="s">
        <v>99</v>
      </c>
      <c r="W1558">
        <v>7</v>
      </c>
      <c r="X1558" t="s">
        <v>102</v>
      </c>
      <c r="Y1558" t="b">
        <v>0</v>
      </c>
    </row>
    <row r="1559" spans="1:25" x14ac:dyDescent="0.55000000000000004">
      <c r="A1559" t="s">
        <v>94</v>
      </c>
      <c r="B1559" t="s">
        <v>381</v>
      </c>
      <c r="C1559" t="s">
        <v>348</v>
      </c>
      <c r="D1559" t="s">
        <v>174</v>
      </c>
      <c r="E1559" t="s">
        <v>175</v>
      </c>
      <c r="F1559" t="s">
        <v>376</v>
      </c>
      <c r="H1559" t="s">
        <v>99</v>
      </c>
      <c r="I1559">
        <v>2</v>
      </c>
      <c r="J1559" t="s">
        <v>101</v>
      </c>
      <c r="K1559" s="19">
        <v>0.29166666666666669</v>
      </c>
      <c r="L1559" s="19">
        <v>0.5625</v>
      </c>
      <c r="M1559">
        <v>6.5</v>
      </c>
      <c r="N1559">
        <v>174.3</v>
      </c>
      <c r="O1559">
        <v>0</v>
      </c>
      <c r="P1559">
        <v>0</v>
      </c>
      <c r="Q1559" t="s">
        <v>99</v>
      </c>
      <c r="R1559">
        <v>30</v>
      </c>
      <c r="S1559" s="19">
        <v>0.5</v>
      </c>
      <c r="T1559">
        <v>0</v>
      </c>
      <c r="U1559" s="19"/>
      <c r="V1559" t="s">
        <v>99</v>
      </c>
      <c r="W1559">
        <v>6</v>
      </c>
      <c r="X1559" t="s">
        <v>102</v>
      </c>
      <c r="Y1559" t="b">
        <v>0</v>
      </c>
    </row>
    <row r="1560" spans="1:25" x14ac:dyDescent="0.55000000000000004">
      <c r="A1560" t="s">
        <v>94</v>
      </c>
      <c r="B1560" t="s">
        <v>381</v>
      </c>
      <c r="C1560" t="s">
        <v>348</v>
      </c>
      <c r="D1560" t="s">
        <v>174</v>
      </c>
      <c r="E1560" t="s">
        <v>175</v>
      </c>
      <c r="F1560" t="s">
        <v>376</v>
      </c>
      <c r="H1560" t="s">
        <v>99</v>
      </c>
      <c r="I1560">
        <v>2</v>
      </c>
      <c r="J1560" t="s">
        <v>103</v>
      </c>
      <c r="K1560" s="19">
        <v>0.29166666666666669</v>
      </c>
      <c r="L1560" s="19">
        <v>0.5625</v>
      </c>
      <c r="M1560">
        <v>6.5</v>
      </c>
      <c r="N1560">
        <v>174.3</v>
      </c>
      <c r="O1560">
        <v>0</v>
      </c>
      <c r="P1560">
        <v>0</v>
      </c>
      <c r="Q1560" t="s">
        <v>99</v>
      </c>
      <c r="R1560">
        <v>30</v>
      </c>
      <c r="S1560" s="19">
        <v>0.5</v>
      </c>
      <c r="T1560">
        <v>0</v>
      </c>
      <c r="U1560" s="19"/>
      <c r="V1560" t="s">
        <v>99</v>
      </c>
      <c r="W1560">
        <v>6</v>
      </c>
      <c r="X1560" t="s">
        <v>102</v>
      </c>
      <c r="Y1560" t="b">
        <v>0</v>
      </c>
    </row>
    <row r="1561" spans="1:25" x14ac:dyDescent="0.55000000000000004">
      <c r="A1561" t="s">
        <v>94</v>
      </c>
      <c r="B1561" t="s">
        <v>381</v>
      </c>
      <c r="C1561" t="s">
        <v>348</v>
      </c>
      <c r="D1561" t="s">
        <v>174</v>
      </c>
      <c r="E1561" t="s">
        <v>175</v>
      </c>
      <c r="F1561" t="s">
        <v>376</v>
      </c>
      <c r="G1561">
        <v>16846</v>
      </c>
      <c r="H1561" t="s">
        <v>397</v>
      </c>
      <c r="I1561">
        <v>1</v>
      </c>
      <c r="J1561" t="s">
        <v>105</v>
      </c>
      <c r="K1561" s="19">
        <v>0.29166666666666669</v>
      </c>
      <c r="L1561" s="19">
        <v>0.5625</v>
      </c>
      <c r="M1561">
        <v>6.5</v>
      </c>
      <c r="N1561">
        <v>210.66</v>
      </c>
      <c r="O1561">
        <v>76</v>
      </c>
      <c r="P1561">
        <v>76</v>
      </c>
      <c r="Q1561" t="s">
        <v>99</v>
      </c>
      <c r="R1561">
        <v>30</v>
      </c>
      <c r="S1561" s="19">
        <v>0.5</v>
      </c>
      <c r="T1561">
        <v>0</v>
      </c>
      <c r="U1561" s="19"/>
      <c r="V1561" t="s">
        <v>99</v>
      </c>
      <c r="W1561">
        <v>6</v>
      </c>
      <c r="X1561" t="s">
        <v>102</v>
      </c>
      <c r="Y1561" t="b">
        <v>0</v>
      </c>
    </row>
    <row r="1562" spans="1:25" x14ac:dyDescent="0.55000000000000004">
      <c r="A1562" t="s">
        <v>94</v>
      </c>
      <c r="B1562" t="s">
        <v>381</v>
      </c>
      <c r="C1562" t="s">
        <v>348</v>
      </c>
      <c r="D1562" t="s">
        <v>174</v>
      </c>
      <c r="E1562" t="s">
        <v>175</v>
      </c>
      <c r="F1562" t="s">
        <v>376</v>
      </c>
      <c r="G1562">
        <v>16846</v>
      </c>
      <c r="H1562" t="s">
        <v>397</v>
      </c>
      <c r="I1562">
        <v>2</v>
      </c>
      <c r="J1562" t="s">
        <v>105</v>
      </c>
      <c r="K1562" s="19">
        <v>0.29166666666666669</v>
      </c>
      <c r="L1562" s="19">
        <v>0.5625</v>
      </c>
      <c r="M1562">
        <v>6.5</v>
      </c>
      <c r="N1562">
        <v>210.66</v>
      </c>
      <c r="O1562">
        <v>76</v>
      </c>
      <c r="P1562">
        <v>76</v>
      </c>
      <c r="Q1562" t="s">
        <v>99</v>
      </c>
      <c r="R1562">
        <v>30</v>
      </c>
      <c r="S1562" s="19">
        <v>0.5</v>
      </c>
      <c r="T1562">
        <v>0</v>
      </c>
      <c r="U1562" s="19"/>
      <c r="V1562" t="s">
        <v>99</v>
      </c>
      <c r="W1562">
        <v>6</v>
      </c>
      <c r="X1562" t="s">
        <v>102</v>
      </c>
      <c r="Y1562" t="b">
        <v>0</v>
      </c>
    </row>
    <row r="1563" spans="1:25" x14ac:dyDescent="0.55000000000000004">
      <c r="A1563" t="s">
        <v>94</v>
      </c>
      <c r="B1563" t="s">
        <v>381</v>
      </c>
      <c r="C1563" t="s">
        <v>348</v>
      </c>
      <c r="D1563" t="s">
        <v>174</v>
      </c>
      <c r="E1563" t="s">
        <v>175</v>
      </c>
      <c r="F1563" t="s">
        <v>376</v>
      </c>
      <c r="G1563">
        <v>23185</v>
      </c>
      <c r="H1563" t="s">
        <v>398</v>
      </c>
      <c r="I1563">
        <v>1</v>
      </c>
      <c r="J1563" t="s">
        <v>101</v>
      </c>
      <c r="K1563" s="19">
        <v>0.29166666666666669</v>
      </c>
      <c r="L1563" s="19">
        <v>0.5625</v>
      </c>
      <c r="M1563">
        <v>6.5</v>
      </c>
      <c r="N1563">
        <v>200.1</v>
      </c>
      <c r="O1563">
        <v>32</v>
      </c>
      <c r="P1563">
        <v>76</v>
      </c>
      <c r="Q1563" t="s">
        <v>99</v>
      </c>
      <c r="R1563">
        <v>30</v>
      </c>
      <c r="S1563" s="19">
        <v>0.5</v>
      </c>
      <c r="T1563">
        <v>0</v>
      </c>
      <c r="U1563" s="19"/>
      <c r="V1563" t="s">
        <v>99</v>
      </c>
      <c r="W1563">
        <v>6</v>
      </c>
      <c r="X1563" t="s">
        <v>102</v>
      </c>
      <c r="Y1563" t="b">
        <v>0</v>
      </c>
    </row>
    <row r="1564" spans="1:25" x14ac:dyDescent="0.55000000000000004">
      <c r="A1564" t="s">
        <v>94</v>
      </c>
      <c r="B1564" t="s">
        <v>381</v>
      </c>
      <c r="C1564" t="s">
        <v>348</v>
      </c>
      <c r="D1564" t="s">
        <v>174</v>
      </c>
      <c r="E1564" t="s">
        <v>175</v>
      </c>
      <c r="F1564" t="s">
        <v>376</v>
      </c>
      <c r="G1564">
        <v>23185</v>
      </c>
      <c r="H1564" t="s">
        <v>398</v>
      </c>
      <c r="I1564">
        <v>1</v>
      </c>
      <c r="J1564" t="s">
        <v>104</v>
      </c>
      <c r="K1564" s="19">
        <v>0.29166666666666669</v>
      </c>
      <c r="L1564" s="19">
        <v>0.5625</v>
      </c>
      <c r="M1564">
        <v>6.5</v>
      </c>
      <c r="N1564">
        <v>200.1</v>
      </c>
      <c r="O1564">
        <v>32</v>
      </c>
      <c r="P1564">
        <v>76</v>
      </c>
      <c r="Q1564" t="s">
        <v>99</v>
      </c>
      <c r="R1564">
        <v>30</v>
      </c>
      <c r="S1564" s="19">
        <v>0.5</v>
      </c>
      <c r="T1564">
        <v>0</v>
      </c>
      <c r="U1564" s="19"/>
      <c r="V1564" t="s">
        <v>99</v>
      </c>
      <c r="W1564">
        <v>6</v>
      </c>
      <c r="X1564" t="s">
        <v>102</v>
      </c>
      <c r="Y1564" t="b">
        <v>0</v>
      </c>
    </row>
    <row r="1565" spans="1:25" x14ac:dyDescent="0.55000000000000004">
      <c r="A1565" t="s">
        <v>94</v>
      </c>
      <c r="B1565" t="s">
        <v>381</v>
      </c>
      <c r="C1565" t="s">
        <v>348</v>
      </c>
      <c r="D1565" t="s">
        <v>174</v>
      </c>
      <c r="E1565" t="s">
        <v>175</v>
      </c>
      <c r="F1565" t="s">
        <v>376</v>
      </c>
      <c r="G1565">
        <v>23185</v>
      </c>
      <c r="H1565" t="s">
        <v>398</v>
      </c>
      <c r="I1565">
        <v>2</v>
      </c>
      <c r="J1565" t="s">
        <v>101</v>
      </c>
      <c r="K1565" s="19">
        <v>0.29166666666666669</v>
      </c>
      <c r="L1565" s="19">
        <v>0.60416666666666663</v>
      </c>
      <c r="M1565">
        <v>7.5</v>
      </c>
      <c r="N1565">
        <v>233.45</v>
      </c>
      <c r="O1565">
        <v>32</v>
      </c>
      <c r="P1565">
        <v>76</v>
      </c>
      <c r="Q1565" t="s">
        <v>99</v>
      </c>
      <c r="R1565">
        <v>30</v>
      </c>
      <c r="S1565" s="19">
        <v>0.5</v>
      </c>
      <c r="T1565">
        <v>0</v>
      </c>
      <c r="U1565" s="19"/>
      <c r="V1565" t="s">
        <v>99</v>
      </c>
      <c r="W1565">
        <v>7</v>
      </c>
      <c r="X1565" t="s">
        <v>102</v>
      </c>
      <c r="Y1565" t="b">
        <v>0</v>
      </c>
    </row>
    <row r="1566" spans="1:25" x14ac:dyDescent="0.55000000000000004">
      <c r="A1566" t="s">
        <v>94</v>
      </c>
      <c r="B1566" t="s">
        <v>381</v>
      </c>
      <c r="C1566" t="s">
        <v>348</v>
      </c>
      <c r="D1566" t="s">
        <v>174</v>
      </c>
      <c r="E1566" t="s">
        <v>175</v>
      </c>
      <c r="F1566" t="s">
        <v>376</v>
      </c>
      <c r="G1566">
        <v>23185</v>
      </c>
      <c r="H1566" t="s">
        <v>398</v>
      </c>
      <c r="I1566">
        <v>2</v>
      </c>
      <c r="J1566" t="s">
        <v>103</v>
      </c>
      <c r="K1566" s="19">
        <v>0.29166666666666669</v>
      </c>
      <c r="L1566" s="19">
        <v>0.60416666666666663</v>
      </c>
      <c r="M1566">
        <v>7.5</v>
      </c>
      <c r="N1566">
        <v>233.45</v>
      </c>
      <c r="O1566">
        <v>32</v>
      </c>
      <c r="P1566">
        <v>76</v>
      </c>
      <c r="Q1566" t="s">
        <v>99</v>
      </c>
      <c r="R1566">
        <v>30</v>
      </c>
      <c r="S1566" s="19">
        <v>0.5</v>
      </c>
      <c r="T1566">
        <v>0</v>
      </c>
      <c r="U1566" s="19"/>
      <c r="V1566" t="s">
        <v>99</v>
      </c>
      <c r="W1566">
        <v>7</v>
      </c>
      <c r="X1566" t="s">
        <v>102</v>
      </c>
      <c r="Y1566" t="b">
        <v>0</v>
      </c>
    </row>
    <row r="1567" spans="1:25" x14ac:dyDescent="0.55000000000000004">
      <c r="A1567" t="s">
        <v>94</v>
      </c>
      <c r="B1567" t="s">
        <v>381</v>
      </c>
      <c r="C1567" t="s">
        <v>348</v>
      </c>
      <c r="D1567" t="s">
        <v>174</v>
      </c>
      <c r="E1567" t="s">
        <v>175</v>
      </c>
      <c r="F1567" t="s">
        <v>376</v>
      </c>
      <c r="G1567">
        <v>23185</v>
      </c>
      <c r="H1567" t="s">
        <v>398</v>
      </c>
      <c r="I1567">
        <v>2</v>
      </c>
      <c r="J1567" t="s">
        <v>104</v>
      </c>
      <c r="K1567" s="19">
        <v>0.29166666666666669</v>
      </c>
      <c r="L1567" s="19">
        <v>0.60416666666666663</v>
      </c>
      <c r="M1567">
        <v>7.5</v>
      </c>
      <c r="N1567">
        <v>233.45</v>
      </c>
      <c r="O1567">
        <v>32</v>
      </c>
      <c r="P1567">
        <v>76</v>
      </c>
      <c r="Q1567" t="s">
        <v>99</v>
      </c>
      <c r="R1567">
        <v>30</v>
      </c>
      <c r="S1567" s="19">
        <v>0.5</v>
      </c>
      <c r="T1567">
        <v>0</v>
      </c>
      <c r="U1567" s="19"/>
      <c r="V1567" t="s">
        <v>99</v>
      </c>
      <c r="W1567">
        <v>7</v>
      </c>
      <c r="X1567" t="s">
        <v>102</v>
      </c>
      <c r="Y1567" t="b">
        <v>0</v>
      </c>
    </row>
    <row r="1568" spans="1:25" x14ac:dyDescent="0.55000000000000004">
      <c r="A1568" t="s">
        <v>94</v>
      </c>
      <c r="B1568" t="s">
        <v>381</v>
      </c>
      <c r="C1568" t="s">
        <v>348</v>
      </c>
      <c r="D1568" t="s">
        <v>174</v>
      </c>
      <c r="E1568" t="s">
        <v>175</v>
      </c>
      <c r="F1568" t="s">
        <v>376</v>
      </c>
      <c r="G1568">
        <v>23215</v>
      </c>
      <c r="H1568" t="s">
        <v>393</v>
      </c>
      <c r="I1568">
        <v>2</v>
      </c>
      <c r="J1568" t="s">
        <v>116</v>
      </c>
      <c r="K1568" s="19">
        <v>0.29166666666666669</v>
      </c>
      <c r="L1568" s="19">
        <v>0.5625</v>
      </c>
      <c r="M1568">
        <v>6.5</v>
      </c>
      <c r="N1568">
        <v>368.65</v>
      </c>
      <c r="O1568">
        <v>76</v>
      </c>
      <c r="P1568">
        <v>76</v>
      </c>
      <c r="Q1568" t="s">
        <v>99</v>
      </c>
      <c r="R1568">
        <v>30</v>
      </c>
      <c r="S1568" s="19">
        <v>0.5</v>
      </c>
      <c r="T1568">
        <v>0</v>
      </c>
      <c r="U1568" s="19"/>
      <c r="V1568" t="s">
        <v>99</v>
      </c>
      <c r="W1568">
        <v>6</v>
      </c>
      <c r="X1568" t="s">
        <v>102</v>
      </c>
      <c r="Y1568" t="b">
        <v>0</v>
      </c>
    </row>
    <row r="1569" spans="1:25" x14ac:dyDescent="0.55000000000000004">
      <c r="A1569" t="s">
        <v>94</v>
      </c>
      <c r="B1569" t="s">
        <v>381</v>
      </c>
      <c r="C1569" t="s">
        <v>348</v>
      </c>
      <c r="D1569" t="s">
        <v>174</v>
      </c>
      <c r="E1569" t="s">
        <v>175</v>
      </c>
      <c r="F1569" t="s">
        <v>376</v>
      </c>
      <c r="G1569">
        <v>23284</v>
      </c>
      <c r="H1569" t="s">
        <v>394</v>
      </c>
      <c r="I1569">
        <v>1</v>
      </c>
      <c r="J1569" t="s">
        <v>107</v>
      </c>
      <c r="K1569" s="19">
        <v>0.29166666666666669</v>
      </c>
      <c r="L1569" s="19">
        <v>0.5625</v>
      </c>
      <c r="M1569">
        <v>6.5</v>
      </c>
      <c r="N1569">
        <v>210.66</v>
      </c>
      <c r="O1569">
        <v>48</v>
      </c>
      <c r="P1569">
        <v>76</v>
      </c>
      <c r="Q1569" t="s">
        <v>99</v>
      </c>
      <c r="R1569">
        <v>30</v>
      </c>
      <c r="S1569" s="19">
        <v>0.5</v>
      </c>
      <c r="T1569">
        <v>0</v>
      </c>
      <c r="U1569" s="19"/>
      <c r="V1569" t="s">
        <v>99</v>
      </c>
      <c r="W1569">
        <v>6</v>
      </c>
      <c r="X1569" t="s">
        <v>102</v>
      </c>
      <c r="Y1569" t="b">
        <v>0</v>
      </c>
    </row>
    <row r="1570" spans="1:25" x14ac:dyDescent="0.55000000000000004">
      <c r="A1570" t="s">
        <v>94</v>
      </c>
      <c r="B1570" t="s">
        <v>381</v>
      </c>
      <c r="C1570" t="s">
        <v>348</v>
      </c>
      <c r="D1570" t="s">
        <v>174</v>
      </c>
      <c r="E1570" t="s">
        <v>175</v>
      </c>
      <c r="F1570" t="s">
        <v>376</v>
      </c>
      <c r="G1570">
        <v>23284</v>
      </c>
      <c r="H1570" t="s">
        <v>394</v>
      </c>
      <c r="I1570">
        <v>1</v>
      </c>
      <c r="J1570" t="s">
        <v>115</v>
      </c>
      <c r="K1570" s="19">
        <v>0.29166666666666669</v>
      </c>
      <c r="L1570" s="19">
        <v>0.5625</v>
      </c>
      <c r="M1570">
        <v>6.5</v>
      </c>
      <c r="N1570">
        <v>315.99</v>
      </c>
      <c r="O1570">
        <v>48</v>
      </c>
      <c r="P1570">
        <v>76</v>
      </c>
      <c r="Q1570" t="s">
        <v>99</v>
      </c>
      <c r="R1570">
        <v>30</v>
      </c>
      <c r="S1570" s="19">
        <v>0.5</v>
      </c>
      <c r="T1570">
        <v>0</v>
      </c>
      <c r="U1570" s="19"/>
      <c r="V1570" t="s">
        <v>99</v>
      </c>
      <c r="W1570">
        <v>6</v>
      </c>
      <c r="X1570" t="s">
        <v>102</v>
      </c>
      <c r="Y1570" t="b">
        <v>0</v>
      </c>
    </row>
    <row r="1571" spans="1:25" x14ac:dyDescent="0.55000000000000004">
      <c r="A1571" t="s">
        <v>94</v>
      </c>
      <c r="B1571" t="s">
        <v>381</v>
      </c>
      <c r="C1571" t="s">
        <v>348</v>
      </c>
      <c r="D1571" t="s">
        <v>174</v>
      </c>
      <c r="E1571" t="s">
        <v>175</v>
      </c>
      <c r="F1571" t="s">
        <v>376</v>
      </c>
      <c r="G1571">
        <v>23284</v>
      </c>
      <c r="H1571" t="s">
        <v>394</v>
      </c>
      <c r="I1571">
        <v>1</v>
      </c>
      <c r="J1571" t="s">
        <v>116</v>
      </c>
      <c r="K1571" s="19">
        <v>0.29166666666666669</v>
      </c>
      <c r="L1571" s="19">
        <v>0.60416666666666663</v>
      </c>
      <c r="M1571">
        <v>7.5</v>
      </c>
      <c r="N1571">
        <v>430.1</v>
      </c>
      <c r="O1571">
        <v>48</v>
      </c>
      <c r="P1571">
        <v>76</v>
      </c>
      <c r="Q1571" t="s">
        <v>99</v>
      </c>
      <c r="R1571">
        <v>30</v>
      </c>
      <c r="S1571" s="19">
        <v>0.5</v>
      </c>
      <c r="T1571">
        <v>0</v>
      </c>
      <c r="U1571" s="19"/>
      <c r="V1571" t="s">
        <v>396</v>
      </c>
      <c r="W1571">
        <v>7</v>
      </c>
      <c r="X1571" t="s">
        <v>102</v>
      </c>
      <c r="Y1571" t="b">
        <v>0</v>
      </c>
    </row>
    <row r="1572" spans="1:25" x14ac:dyDescent="0.55000000000000004">
      <c r="A1572" t="s">
        <v>94</v>
      </c>
      <c r="B1572" t="s">
        <v>381</v>
      </c>
      <c r="C1572" t="s">
        <v>348</v>
      </c>
      <c r="D1572" t="s">
        <v>174</v>
      </c>
      <c r="E1572" t="s">
        <v>175</v>
      </c>
      <c r="F1572" t="s">
        <v>376</v>
      </c>
      <c r="G1572">
        <v>23284</v>
      </c>
      <c r="H1572" t="s">
        <v>394</v>
      </c>
      <c r="I1572">
        <v>1</v>
      </c>
      <c r="J1572" t="s">
        <v>103</v>
      </c>
      <c r="K1572" s="19">
        <v>0.29166666666666669</v>
      </c>
      <c r="L1572" s="19">
        <v>0.60416666666666663</v>
      </c>
      <c r="M1572">
        <v>7.5</v>
      </c>
      <c r="N1572">
        <v>245.77</v>
      </c>
      <c r="O1572">
        <v>48</v>
      </c>
      <c r="P1572">
        <v>76</v>
      </c>
      <c r="Q1572" t="s">
        <v>99</v>
      </c>
      <c r="R1572">
        <v>30</v>
      </c>
      <c r="S1572" s="19">
        <v>0.5</v>
      </c>
      <c r="T1572">
        <v>0</v>
      </c>
      <c r="U1572" s="19"/>
      <c r="V1572" t="s">
        <v>99</v>
      </c>
      <c r="W1572">
        <v>7</v>
      </c>
      <c r="X1572" t="s">
        <v>102</v>
      </c>
      <c r="Y1572" t="b">
        <v>0</v>
      </c>
    </row>
    <row r="1573" spans="1:25" x14ac:dyDescent="0.55000000000000004">
      <c r="A1573" t="s">
        <v>94</v>
      </c>
      <c r="B1573" t="s">
        <v>381</v>
      </c>
      <c r="C1573" t="s">
        <v>348</v>
      </c>
      <c r="D1573" t="s">
        <v>174</v>
      </c>
      <c r="E1573" t="s">
        <v>175</v>
      </c>
      <c r="F1573" t="s">
        <v>376</v>
      </c>
      <c r="G1573">
        <v>23284</v>
      </c>
      <c r="H1573" t="s">
        <v>394</v>
      </c>
      <c r="I1573">
        <v>2</v>
      </c>
      <c r="J1573" t="s">
        <v>115</v>
      </c>
      <c r="K1573" s="19">
        <v>0.29166666666666669</v>
      </c>
      <c r="L1573" s="19">
        <v>0.5625</v>
      </c>
      <c r="M1573">
        <v>6.5</v>
      </c>
      <c r="N1573">
        <v>315.99</v>
      </c>
      <c r="O1573">
        <v>48</v>
      </c>
      <c r="P1573">
        <v>76</v>
      </c>
      <c r="Q1573" t="s">
        <v>99</v>
      </c>
      <c r="R1573">
        <v>30</v>
      </c>
      <c r="S1573" s="19">
        <v>0.5</v>
      </c>
      <c r="T1573">
        <v>0</v>
      </c>
      <c r="U1573" s="19"/>
      <c r="V1573" t="s">
        <v>99</v>
      </c>
      <c r="W1573">
        <v>6</v>
      </c>
      <c r="X1573" t="s">
        <v>102</v>
      </c>
      <c r="Y1573" t="b">
        <v>0</v>
      </c>
    </row>
    <row r="1574" spans="1:25" x14ac:dyDescent="0.55000000000000004">
      <c r="A1574" t="s">
        <v>94</v>
      </c>
      <c r="B1574" t="s">
        <v>381</v>
      </c>
      <c r="C1574" t="s">
        <v>348</v>
      </c>
      <c r="D1574" t="s">
        <v>174</v>
      </c>
      <c r="E1574" t="s">
        <v>175</v>
      </c>
      <c r="F1574" t="s">
        <v>376</v>
      </c>
      <c r="G1574">
        <v>23284</v>
      </c>
      <c r="H1574" t="s">
        <v>394</v>
      </c>
      <c r="I1574">
        <v>2</v>
      </c>
      <c r="J1574" t="s">
        <v>116</v>
      </c>
      <c r="K1574" s="19">
        <v>0.29166666666666669</v>
      </c>
      <c r="L1574" s="19">
        <v>0.60416666666666663</v>
      </c>
      <c r="M1574">
        <v>7.5</v>
      </c>
      <c r="N1574">
        <v>430.1</v>
      </c>
      <c r="O1574">
        <v>48</v>
      </c>
      <c r="P1574">
        <v>76</v>
      </c>
      <c r="Q1574" t="s">
        <v>99</v>
      </c>
      <c r="R1574">
        <v>30</v>
      </c>
      <c r="S1574" s="19">
        <v>0.5</v>
      </c>
      <c r="T1574">
        <v>0</v>
      </c>
      <c r="U1574" s="19"/>
      <c r="V1574" t="s">
        <v>99</v>
      </c>
      <c r="W1574">
        <v>7</v>
      </c>
      <c r="X1574" t="s">
        <v>102</v>
      </c>
      <c r="Y1574" t="b">
        <v>0</v>
      </c>
    </row>
    <row r="1575" spans="1:25" x14ac:dyDescent="0.55000000000000004">
      <c r="A1575" t="s">
        <v>94</v>
      </c>
      <c r="B1575" t="s">
        <v>381</v>
      </c>
      <c r="C1575" t="s">
        <v>348</v>
      </c>
      <c r="D1575" t="s">
        <v>174</v>
      </c>
      <c r="E1575" t="s">
        <v>175</v>
      </c>
      <c r="F1575" t="s">
        <v>376</v>
      </c>
      <c r="G1575">
        <v>23284</v>
      </c>
      <c r="H1575" t="s">
        <v>394</v>
      </c>
      <c r="I1575">
        <v>2</v>
      </c>
      <c r="J1575" t="s">
        <v>105</v>
      </c>
      <c r="K1575" s="19">
        <v>0.29166666666666669</v>
      </c>
      <c r="L1575" s="19">
        <v>0.60416666666666663</v>
      </c>
      <c r="M1575">
        <v>7.5</v>
      </c>
      <c r="N1575">
        <v>245.77</v>
      </c>
      <c r="O1575">
        <v>48</v>
      </c>
      <c r="P1575">
        <v>76</v>
      </c>
      <c r="Q1575" t="s">
        <v>99</v>
      </c>
      <c r="R1575">
        <v>30</v>
      </c>
      <c r="S1575" s="19">
        <v>0.5</v>
      </c>
      <c r="T1575">
        <v>0</v>
      </c>
      <c r="U1575" s="19"/>
      <c r="V1575" t="s">
        <v>99</v>
      </c>
      <c r="W1575">
        <v>7</v>
      </c>
      <c r="X1575" t="s">
        <v>102</v>
      </c>
      <c r="Y1575" t="b">
        <v>0</v>
      </c>
    </row>
    <row r="1576" spans="1:25" x14ac:dyDescent="0.55000000000000004">
      <c r="A1576" t="s">
        <v>94</v>
      </c>
      <c r="B1576" t="s">
        <v>381</v>
      </c>
      <c r="C1576" t="s">
        <v>348</v>
      </c>
      <c r="D1576" t="s">
        <v>174</v>
      </c>
      <c r="E1576" t="s">
        <v>175</v>
      </c>
      <c r="F1576" t="s">
        <v>376</v>
      </c>
      <c r="G1576">
        <v>23872</v>
      </c>
      <c r="H1576" t="s">
        <v>383</v>
      </c>
      <c r="I1576">
        <v>1</v>
      </c>
      <c r="J1576" t="s">
        <v>104</v>
      </c>
      <c r="K1576" s="19">
        <v>0.29166666666666669</v>
      </c>
      <c r="L1576" s="19">
        <v>0.60416666666666663</v>
      </c>
      <c r="M1576">
        <v>7.5</v>
      </c>
      <c r="N1576">
        <v>245.77</v>
      </c>
      <c r="O1576">
        <v>76</v>
      </c>
      <c r="P1576">
        <v>76</v>
      </c>
      <c r="Q1576" t="s">
        <v>99</v>
      </c>
      <c r="R1576">
        <v>30</v>
      </c>
      <c r="S1576" s="19">
        <v>0.5</v>
      </c>
      <c r="T1576">
        <v>0</v>
      </c>
      <c r="U1576" s="19"/>
      <c r="V1576" t="s">
        <v>99</v>
      </c>
      <c r="W1576">
        <v>7</v>
      </c>
      <c r="X1576" t="s">
        <v>102</v>
      </c>
      <c r="Y1576" t="b">
        <v>0</v>
      </c>
    </row>
    <row r="1577" spans="1:25" x14ac:dyDescent="0.55000000000000004">
      <c r="A1577" t="s">
        <v>94</v>
      </c>
      <c r="B1577" t="s">
        <v>381</v>
      </c>
      <c r="C1577" t="s">
        <v>348</v>
      </c>
      <c r="D1577" t="s">
        <v>174</v>
      </c>
      <c r="E1577" t="s">
        <v>175</v>
      </c>
      <c r="F1577" t="s">
        <v>376</v>
      </c>
      <c r="G1577">
        <v>23872</v>
      </c>
      <c r="H1577" t="s">
        <v>383</v>
      </c>
      <c r="I1577">
        <v>2</v>
      </c>
      <c r="J1577" t="s">
        <v>115</v>
      </c>
      <c r="K1577" s="19">
        <v>0.29166666666666669</v>
      </c>
      <c r="L1577" s="19">
        <v>0.60416666666666663</v>
      </c>
      <c r="M1577">
        <v>7.5</v>
      </c>
      <c r="N1577">
        <v>368.65</v>
      </c>
      <c r="O1577">
        <v>76</v>
      </c>
      <c r="P1577">
        <v>76</v>
      </c>
      <c r="Q1577" t="s">
        <v>99</v>
      </c>
      <c r="R1577">
        <v>30</v>
      </c>
      <c r="S1577" s="19">
        <v>0.5</v>
      </c>
      <c r="T1577">
        <v>0</v>
      </c>
      <c r="U1577" s="19"/>
      <c r="V1577" t="s">
        <v>99</v>
      </c>
      <c r="W1577">
        <v>7</v>
      </c>
      <c r="X1577" t="s">
        <v>102</v>
      </c>
      <c r="Y1577" t="b">
        <v>0</v>
      </c>
    </row>
    <row r="1578" spans="1:25" x14ac:dyDescent="0.55000000000000004">
      <c r="A1578" t="s">
        <v>94</v>
      </c>
      <c r="B1578" t="s">
        <v>381</v>
      </c>
      <c r="C1578" t="s">
        <v>348</v>
      </c>
      <c r="D1578" t="s">
        <v>174</v>
      </c>
      <c r="E1578" t="s">
        <v>175</v>
      </c>
      <c r="F1578" t="s">
        <v>376</v>
      </c>
      <c r="G1578">
        <v>23877</v>
      </c>
      <c r="H1578" t="s">
        <v>399</v>
      </c>
      <c r="I1578">
        <v>1</v>
      </c>
      <c r="J1578" t="s">
        <v>103</v>
      </c>
      <c r="K1578" s="19">
        <v>0.29166666666666669</v>
      </c>
      <c r="L1578" s="19">
        <v>0.5625</v>
      </c>
      <c r="M1578">
        <v>6.5</v>
      </c>
      <c r="N1578">
        <v>210.66</v>
      </c>
      <c r="O1578">
        <v>76</v>
      </c>
      <c r="P1578">
        <v>76</v>
      </c>
      <c r="Q1578" t="s">
        <v>99</v>
      </c>
      <c r="R1578">
        <v>30</v>
      </c>
      <c r="S1578" s="19">
        <v>0.5</v>
      </c>
      <c r="T1578">
        <v>0</v>
      </c>
      <c r="U1578" s="19"/>
      <c r="V1578" t="s">
        <v>99</v>
      </c>
      <c r="W1578">
        <v>6</v>
      </c>
      <c r="X1578" t="s">
        <v>102</v>
      </c>
      <c r="Y1578" t="b">
        <v>0</v>
      </c>
    </row>
    <row r="1579" spans="1:25" x14ac:dyDescent="0.55000000000000004">
      <c r="A1579" t="s">
        <v>94</v>
      </c>
      <c r="B1579" t="s">
        <v>381</v>
      </c>
      <c r="C1579" t="s">
        <v>348</v>
      </c>
      <c r="D1579" t="s">
        <v>174</v>
      </c>
      <c r="E1579" t="s">
        <v>175</v>
      </c>
      <c r="F1579" t="s">
        <v>376</v>
      </c>
      <c r="G1579">
        <v>23877</v>
      </c>
      <c r="H1579" t="s">
        <v>399</v>
      </c>
      <c r="I1579">
        <v>2</v>
      </c>
      <c r="J1579" t="s">
        <v>104</v>
      </c>
      <c r="K1579" s="19">
        <v>0.29166666666666669</v>
      </c>
      <c r="L1579" s="19">
        <v>0.5625</v>
      </c>
      <c r="M1579">
        <v>6.5</v>
      </c>
      <c r="N1579">
        <v>210.66</v>
      </c>
      <c r="O1579">
        <v>76</v>
      </c>
      <c r="P1579">
        <v>76</v>
      </c>
      <c r="Q1579" t="s">
        <v>99</v>
      </c>
      <c r="R1579">
        <v>30</v>
      </c>
      <c r="S1579" s="19">
        <v>0.5</v>
      </c>
      <c r="T1579">
        <v>0</v>
      </c>
      <c r="U1579" s="19"/>
      <c r="V1579" t="s">
        <v>99</v>
      </c>
      <c r="W1579">
        <v>6</v>
      </c>
      <c r="X1579" t="s">
        <v>102</v>
      </c>
      <c r="Y1579" t="b">
        <v>0</v>
      </c>
    </row>
    <row r="1580" spans="1:25" x14ac:dyDescent="0.55000000000000004">
      <c r="A1580" t="s">
        <v>94</v>
      </c>
      <c r="B1580" t="s">
        <v>381</v>
      </c>
      <c r="C1580" t="s">
        <v>348</v>
      </c>
      <c r="D1580" t="s">
        <v>174</v>
      </c>
      <c r="E1580" t="s">
        <v>175</v>
      </c>
      <c r="F1580" t="s">
        <v>353</v>
      </c>
      <c r="G1580">
        <v>25408</v>
      </c>
      <c r="H1580" t="s">
        <v>388</v>
      </c>
      <c r="I1580">
        <v>2</v>
      </c>
      <c r="J1580" t="s">
        <v>103</v>
      </c>
      <c r="K1580" s="19">
        <v>0.29166666666666669</v>
      </c>
      <c r="L1580" s="19">
        <v>0.64583333333333337</v>
      </c>
      <c r="M1580">
        <v>8.5</v>
      </c>
      <c r="N1580">
        <v>266.8</v>
      </c>
      <c r="O1580">
        <v>16</v>
      </c>
      <c r="P1580">
        <v>76</v>
      </c>
      <c r="Q1580" t="s">
        <v>99</v>
      </c>
      <c r="R1580">
        <v>30</v>
      </c>
      <c r="S1580" s="19">
        <v>0.5</v>
      </c>
      <c r="U1580" s="19"/>
      <c r="V1580" t="s">
        <v>379</v>
      </c>
      <c r="W1580">
        <v>8</v>
      </c>
      <c r="X1580" t="s">
        <v>384</v>
      </c>
      <c r="Y1580" t="b">
        <v>0</v>
      </c>
    </row>
    <row r="1581" spans="1:25" x14ac:dyDescent="0.55000000000000004">
      <c r="A1581" t="s">
        <v>94</v>
      </c>
      <c r="B1581" t="s">
        <v>381</v>
      </c>
      <c r="C1581" t="s">
        <v>348</v>
      </c>
      <c r="D1581" t="s">
        <v>174</v>
      </c>
      <c r="E1581" t="s">
        <v>211</v>
      </c>
      <c r="F1581" t="s">
        <v>99</v>
      </c>
      <c r="H1581" t="s">
        <v>99</v>
      </c>
      <c r="I1581">
        <v>1</v>
      </c>
      <c r="J1581" t="s">
        <v>104</v>
      </c>
      <c r="K1581" s="19">
        <v>0.94791666666666663</v>
      </c>
      <c r="L1581" s="19">
        <v>0.30208333333333331</v>
      </c>
      <c r="M1581">
        <v>17</v>
      </c>
      <c r="N1581">
        <v>613.64</v>
      </c>
      <c r="O1581">
        <v>0</v>
      </c>
      <c r="P1581">
        <v>0</v>
      </c>
      <c r="Q1581" t="s">
        <v>99</v>
      </c>
      <c r="R1581">
        <v>60</v>
      </c>
      <c r="S1581" s="19">
        <v>0</v>
      </c>
      <c r="T1581">
        <v>0</v>
      </c>
      <c r="U1581" s="19"/>
      <c r="V1581" t="s">
        <v>99</v>
      </c>
      <c r="W1581">
        <v>16</v>
      </c>
      <c r="X1581" t="s">
        <v>102</v>
      </c>
      <c r="Y1581" t="b">
        <v>0</v>
      </c>
    </row>
    <row r="1582" spans="1:25" x14ac:dyDescent="0.55000000000000004">
      <c r="A1582" t="s">
        <v>94</v>
      </c>
      <c r="B1582" t="s">
        <v>381</v>
      </c>
      <c r="C1582" t="s">
        <v>348</v>
      </c>
      <c r="D1582" t="s">
        <v>174</v>
      </c>
      <c r="E1582" t="s">
        <v>211</v>
      </c>
      <c r="F1582" t="s">
        <v>99</v>
      </c>
      <c r="H1582" t="s">
        <v>99</v>
      </c>
      <c r="I1582">
        <v>1</v>
      </c>
      <c r="J1582" t="s">
        <v>105</v>
      </c>
      <c r="K1582" s="19">
        <v>0.94791666666666663</v>
      </c>
      <c r="L1582" s="19">
        <v>0.30208333333333331</v>
      </c>
      <c r="M1582">
        <v>8.5</v>
      </c>
      <c r="N1582">
        <v>306.82</v>
      </c>
      <c r="O1582">
        <v>0</v>
      </c>
      <c r="P1582">
        <v>0</v>
      </c>
      <c r="Q1582" t="s">
        <v>99</v>
      </c>
      <c r="R1582">
        <v>30</v>
      </c>
      <c r="S1582" s="19">
        <v>0</v>
      </c>
      <c r="T1582">
        <v>0</v>
      </c>
      <c r="U1582" s="19">
        <v>0.41666666666666669</v>
      </c>
      <c r="V1582" t="s">
        <v>99</v>
      </c>
      <c r="W1582">
        <v>8</v>
      </c>
      <c r="X1582" t="s">
        <v>102</v>
      </c>
      <c r="Y1582" t="b">
        <v>0</v>
      </c>
    </row>
    <row r="1583" spans="1:25" x14ac:dyDescent="0.55000000000000004">
      <c r="A1583" t="s">
        <v>94</v>
      </c>
      <c r="B1583" t="s">
        <v>381</v>
      </c>
      <c r="C1583" t="s">
        <v>348</v>
      </c>
      <c r="D1583" t="s">
        <v>174</v>
      </c>
      <c r="E1583" t="s">
        <v>211</v>
      </c>
      <c r="F1583" t="s">
        <v>99</v>
      </c>
      <c r="H1583" t="s">
        <v>99</v>
      </c>
      <c r="I1583">
        <v>2</v>
      </c>
      <c r="J1583" t="s">
        <v>101</v>
      </c>
      <c r="K1583" s="19">
        <v>0.94791666666666663</v>
      </c>
      <c r="L1583" s="19">
        <v>0.30208333333333331</v>
      </c>
      <c r="M1583">
        <v>8.5</v>
      </c>
      <c r="N1583">
        <v>306.82</v>
      </c>
      <c r="O1583">
        <v>0</v>
      </c>
      <c r="P1583">
        <v>0</v>
      </c>
      <c r="Q1583" t="s">
        <v>99</v>
      </c>
      <c r="R1583">
        <v>30</v>
      </c>
      <c r="S1583" s="19">
        <v>0</v>
      </c>
      <c r="T1583">
        <v>0</v>
      </c>
      <c r="U1583" s="19">
        <v>0.41666666666666669</v>
      </c>
      <c r="V1583" t="s">
        <v>99</v>
      </c>
      <c r="W1583">
        <v>8</v>
      </c>
      <c r="X1583" t="s">
        <v>102</v>
      </c>
      <c r="Y1583" t="b">
        <v>0</v>
      </c>
    </row>
    <row r="1584" spans="1:25" x14ac:dyDescent="0.55000000000000004">
      <c r="A1584" t="s">
        <v>94</v>
      </c>
      <c r="B1584" t="s">
        <v>381</v>
      </c>
      <c r="C1584" t="s">
        <v>348</v>
      </c>
      <c r="D1584" t="s">
        <v>174</v>
      </c>
      <c r="E1584" t="s">
        <v>211</v>
      </c>
      <c r="F1584" t="s">
        <v>99</v>
      </c>
      <c r="H1584" t="s">
        <v>99</v>
      </c>
      <c r="I1584">
        <v>2</v>
      </c>
      <c r="J1584" t="s">
        <v>116</v>
      </c>
      <c r="K1584" s="19">
        <v>0.94791666666666663</v>
      </c>
      <c r="L1584" s="19">
        <v>0.30208333333333331</v>
      </c>
      <c r="M1584">
        <v>8.5</v>
      </c>
      <c r="N1584">
        <v>331.83</v>
      </c>
      <c r="O1584">
        <v>0</v>
      </c>
      <c r="P1584">
        <v>0</v>
      </c>
      <c r="Q1584" t="s">
        <v>99</v>
      </c>
      <c r="R1584">
        <v>30</v>
      </c>
      <c r="S1584" s="19">
        <v>0</v>
      </c>
      <c r="T1584">
        <v>0</v>
      </c>
      <c r="U1584" s="19">
        <v>0.41666666666666669</v>
      </c>
      <c r="V1584" t="s">
        <v>99</v>
      </c>
      <c r="W1584">
        <v>8</v>
      </c>
      <c r="X1584" t="s">
        <v>102</v>
      </c>
      <c r="Y1584" t="b">
        <v>0</v>
      </c>
    </row>
    <row r="1585" spans="1:25" x14ac:dyDescent="0.55000000000000004">
      <c r="A1585" t="s">
        <v>94</v>
      </c>
      <c r="B1585" t="s">
        <v>381</v>
      </c>
      <c r="C1585" t="s">
        <v>348</v>
      </c>
      <c r="D1585" t="s">
        <v>174</v>
      </c>
      <c r="E1585" t="s">
        <v>211</v>
      </c>
      <c r="F1585" t="s">
        <v>99</v>
      </c>
      <c r="H1585" t="s">
        <v>99</v>
      </c>
      <c r="I1585">
        <v>2</v>
      </c>
      <c r="J1585" t="s">
        <v>103</v>
      </c>
      <c r="K1585" s="19">
        <v>0.94791666666666663</v>
      </c>
      <c r="L1585" s="19">
        <v>0.30208333333333331</v>
      </c>
      <c r="M1585">
        <v>17</v>
      </c>
      <c r="N1585">
        <v>569.66</v>
      </c>
      <c r="O1585">
        <v>0</v>
      </c>
      <c r="P1585">
        <v>0</v>
      </c>
      <c r="Q1585" t="s">
        <v>99</v>
      </c>
      <c r="R1585">
        <v>60</v>
      </c>
      <c r="S1585" s="19">
        <v>0</v>
      </c>
      <c r="T1585">
        <v>0</v>
      </c>
      <c r="U1585" s="19"/>
      <c r="V1585" t="s">
        <v>99</v>
      </c>
      <c r="W1585">
        <v>16</v>
      </c>
      <c r="X1585" t="s">
        <v>102</v>
      </c>
      <c r="Y1585" t="b">
        <v>0</v>
      </c>
    </row>
    <row r="1586" spans="1:25" x14ac:dyDescent="0.55000000000000004">
      <c r="A1586" t="s">
        <v>94</v>
      </c>
      <c r="B1586" t="s">
        <v>381</v>
      </c>
      <c r="C1586" t="s">
        <v>348</v>
      </c>
      <c r="D1586" t="s">
        <v>174</v>
      </c>
      <c r="E1586" t="s">
        <v>211</v>
      </c>
      <c r="F1586" t="s">
        <v>99</v>
      </c>
      <c r="H1586" t="s">
        <v>99</v>
      </c>
      <c r="I1586">
        <v>2</v>
      </c>
      <c r="J1586" t="s">
        <v>104</v>
      </c>
      <c r="K1586" s="19">
        <v>0.94791666666666663</v>
      </c>
      <c r="L1586" s="19">
        <v>0.30208333333333331</v>
      </c>
      <c r="M1586">
        <v>8.5</v>
      </c>
      <c r="N1586">
        <v>306.82</v>
      </c>
      <c r="O1586">
        <v>0</v>
      </c>
      <c r="P1586">
        <v>0</v>
      </c>
      <c r="Q1586" t="s">
        <v>99</v>
      </c>
      <c r="R1586">
        <v>30</v>
      </c>
      <c r="S1586" s="19">
        <v>0</v>
      </c>
      <c r="T1586">
        <v>0</v>
      </c>
      <c r="U1586" s="19">
        <v>0.41666666666666669</v>
      </c>
      <c r="V1586" t="s">
        <v>99</v>
      </c>
      <c r="W1586">
        <v>8</v>
      </c>
      <c r="X1586" t="s">
        <v>102</v>
      </c>
      <c r="Y1586" t="b">
        <v>0</v>
      </c>
    </row>
    <row r="1587" spans="1:25" x14ac:dyDescent="0.55000000000000004">
      <c r="A1587" t="s">
        <v>94</v>
      </c>
      <c r="B1587" t="s">
        <v>381</v>
      </c>
      <c r="C1587" t="s">
        <v>348</v>
      </c>
      <c r="D1587" t="s">
        <v>174</v>
      </c>
      <c r="E1587" t="s">
        <v>211</v>
      </c>
      <c r="F1587" t="s">
        <v>99</v>
      </c>
      <c r="H1587" t="s">
        <v>99</v>
      </c>
      <c r="I1587">
        <v>2</v>
      </c>
      <c r="J1587" t="s">
        <v>105</v>
      </c>
      <c r="K1587" s="19">
        <v>0.94791666666666663</v>
      </c>
      <c r="L1587" s="19">
        <v>0.30208333333333331</v>
      </c>
      <c r="M1587">
        <v>8.5</v>
      </c>
      <c r="N1587">
        <v>262.83999999999997</v>
      </c>
      <c r="O1587">
        <v>0</v>
      </c>
      <c r="P1587">
        <v>0</v>
      </c>
      <c r="Q1587" t="s">
        <v>99</v>
      </c>
      <c r="R1587">
        <v>30</v>
      </c>
      <c r="S1587" s="19">
        <v>0</v>
      </c>
      <c r="T1587">
        <v>0</v>
      </c>
      <c r="U1587" s="19">
        <v>0.41666666666666669</v>
      </c>
      <c r="V1587" t="s">
        <v>99</v>
      </c>
      <c r="W1587">
        <v>8</v>
      </c>
      <c r="X1587" t="s">
        <v>102</v>
      </c>
      <c r="Y1587" t="b">
        <v>0</v>
      </c>
    </row>
    <row r="1588" spans="1:25" x14ac:dyDescent="0.55000000000000004">
      <c r="A1588" t="s">
        <v>94</v>
      </c>
      <c r="B1588" t="s">
        <v>381</v>
      </c>
      <c r="C1588" t="s">
        <v>348</v>
      </c>
      <c r="D1588" t="s">
        <v>174</v>
      </c>
      <c r="E1588" t="s">
        <v>211</v>
      </c>
      <c r="F1588" t="s">
        <v>99</v>
      </c>
      <c r="G1588">
        <v>10968</v>
      </c>
      <c r="H1588" t="s">
        <v>400</v>
      </c>
      <c r="I1588">
        <v>1</v>
      </c>
      <c r="J1588" t="s">
        <v>107</v>
      </c>
      <c r="K1588" s="19">
        <v>0.94791666666666663</v>
      </c>
      <c r="L1588" s="19">
        <v>0.30208333333333331</v>
      </c>
      <c r="M1588">
        <v>8.5</v>
      </c>
      <c r="N1588">
        <v>405.96</v>
      </c>
      <c r="O1588">
        <v>32</v>
      </c>
      <c r="P1588">
        <v>76</v>
      </c>
      <c r="Q1588" t="s">
        <v>99</v>
      </c>
      <c r="R1588">
        <v>30</v>
      </c>
      <c r="S1588" s="19">
        <v>0</v>
      </c>
      <c r="T1588">
        <v>0</v>
      </c>
      <c r="U1588" s="19">
        <v>0.41666666666666669</v>
      </c>
      <c r="V1588" t="s">
        <v>99</v>
      </c>
      <c r="W1588">
        <v>8</v>
      </c>
      <c r="X1588" t="s">
        <v>102</v>
      </c>
      <c r="Y1588" t="b">
        <v>0</v>
      </c>
    </row>
    <row r="1589" spans="1:25" x14ac:dyDescent="0.55000000000000004">
      <c r="A1589" t="s">
        <v>94</v>
      </c>
      <c r="B1589" t="s">
        <v>381</v>
      </c>
      <c r="C1589" t="s">
        <v>348</v>
      </c>
      <c r="D1589" t="s">
        <v>174</v>
      </c>
      <c r="E1589" t="s">
        <v>211</v>
      </c>
      <c r="F1589" t="s">
        <v>99</v>
      </c>
      <c r="G1589">
        <v>10968</v>
      </c>
      <c r="H1589" t="s">
        <v>400</v>
      </c>
      <c r="I1589">
        <v>1</v>
      </c>
      <c r="J1589" t="s">
        <v>115</v>
      </c>
      <c r="K1589" s="19">
        <v>0.94791666666666663</v>
      </c>
      <c r="L1589" s="19">
        <v>0.30208333333333331</v>
      </c>
      <c r="M1589">
        <v>8.5</v>
      </c>
      <c r="N1589">
        <v>480.57</v>
      </c>
      <c r="O1589">
        <v>32</v>
      </c>
      <c r="P1589">
        <v>76</v>
      </c>
      <c r="Q1589" t="s">
        <v>99</v>
      </c>
      <c r="R1589">
        <v>30</v>
      </c>
      <c r="S1589" s="19">
        <v>0</v>
      </c>
      <c r="T1589">
        <v>0</v>
      </c>
      <c r="U1589" s="19">
        <v>0.41666666666666669</v>
      </c>
      <c r="V1589" t="s">
        <v>99</v>
      </c>
      <c r="W1589">
        <v>8</v>
      </c>
      <c r="X1589" t="s">
        <v>102</v>
      </c>
      <c r="Y1589" t="b">
        <v>0</v>
      </c>
    </row>
    <row r="1590" spans="1:25" x14ac:dyDescent="0.55000000000000004">
      <c r="A1590" t="s">
        <v>94</v>
      </c>
      <c r="B1590" t="s">
        <v>381</v>
      </c>
      <c r="C1590" t="s">
        <v>348</v>
      </c>
      <c r="D1590" t="s">
        <v>174</v>
      </c>
      <c r="E1590" t="s">
        <v>211</v>
      </c>
      <c r="F1590" t="s">
        <v>99</v>
      </c>
      <c r="G1590">
        <v>10968</v>
      </c>
      <c r="H1590" t="s">
        <v>400</v>
      </c>
      <c r="I1590">
        <v>1</v>
      </c>
      <c r="J1590" t="s">
        <v>116</v>
      </c>
      <c r="K1590" s="19">
        <v>0.94791666666666663</v>
      </c>
      <c r="L1590" s="19">
        <v>0.30208333333333331</v>
      </c>
      <c r="M1590">
        <v>8.5</v>
      </c>
      <c r="N1590">
        <v>349.34</v>
      </c>
      <c r="O1590">
        <v>32</v>
      </c>
      <c r="P1590">
        <v>76</v>
      </c>
      <c r="Q1590" t="s">
        <v>99</v>
      </c>
      <c r="R1590">
        <v>30</v>
      </c>
      <c r="S1590" s="19">
        <v>0</v>
      </c>
      <c r="T1590">
        <v>0</v>
      </c>
      <c r="U1590" s="19">
        <v>0.41666666666666669</v>
      </c>
      <c r="V1590" t="s">
        <v>99</v>
      </c>
      <c r="W1590">
        <v>8</v>
      </c>
      <c r="X1590" t="s">
        <v>102</v>
      </c>
      <c r="Y1590" t="b">
        <v>0</v>
      </c>
    </row>
    <row r="1591" spans="1:25" x14ac:dyDescent="0.55000000000000004">
      <c r="A1591" t="s">
        <v>94</v>
      </c>
      <c r="B1591" t="s">
        <v>381</v>
      </c>
      <c r="C1591" t="s">
        <v>348</v>
      </c>
      <c r="D1591" t="s">
        <v>174</v>
      </c>
      <c r="E1591" t="s">
        <v>211</v>
      </c>
      <c r="F1591" t="s">
        <v>99</v>
      </c>
      <c r="G1591">
        <v>10968</v>
      </c>
      <c r="H1591" t="s">
        <v>400</v>
      </c>
      <c r="I1591">
        <v>1</v>
      </c>
      <c r="J1591" t="s">
        <v>103</v>
      </c>
      <c r="K1591" s="19">
        <v>0.94791666666666663</v>
      </c>
      <c r="L1591" s="19">
        <v>0.30208333333333331</v>
      </c>
      <c r="M1591">
        <v>8.5</v>
      </c>
      <c r="N1591">
        <v>323.01</v>
      </c>
      <c r="O1591">
        <v>32</v>
      </c>
      <c r="P1591">
        <v>76</v>
      </c>
      <c r="Q1591" t="s">
        <v>99</v>
      </c>
      <c r="R1591">
        <v>30</v>
      </c>
      <c r="S1591" s="19">
        <v>0</v>
      </c>
      <c r="T1591">
        <v>0</v>
      </c>
      <c r="U1591" s="19"/>
      <c r="V1591" t="s">
        <v>99</v>
      </c>
      <c r="W1591">
        <v>8</v>
      </c>
      <c r="X1591" t="s">
        <v>102</v>
      </c>
      <c r="Y1591" t="b">
        <v>0</v>
      </c>
    </row>
    <row r="1592" spans="1:25" x14ac:dyDescent="0.55000000000000004">
      <c r="A1592" t="s">
        <v>94</v>
      </c>
      <c r="B1592" t="s">
        <v>381</v>
      </c>
      <c r="C1592" t="s">
        <v>348</v>
      </c>
      <c r="D1592" t="s">
        <v>174</v>
      </c>
      <c r="E1592" t="s">
        <v>211</v>
      </c>
      <c r="F1592" t="s">
        <v>99</v>
      </c>
      <c r="G1592">
        <v>13581</v>
      </c>
      <c r="H1592" t="s">
        <v>401</v>
      </c>
      <c r="I1592">
        <v>1</v>
      </c>
      <c r="J1592" t="s">
        <v>107</v>
      </c>
      <c r="K1592" s="19">
        <v>0.94791666666666663</v>
      </c>
      <c r="L1592" s="19">
        <v>0.30208333333333331</v>
      </c>
      <c r="M1592">
        <v>8.5</v>
      </c>
      <c r="N1592">
        <v>405.96</v>
      </c>
      <c r="O1592">
        <v>64</v>
      </c>
      <c r="P1592">
        <v>76</v>
      </c>
      <c r="Q1592" t="s">
        <v>99</v>
      </c>
      <c r="R1592">
        <v>30</v>
      </c>
      <c r="S1592" s="19">
        <v>0</v>
      </c>
      <c r="T1592">
        <v>0</v>
      </c>
      <c r="U1592" s="19">
        <v>0.41666666666666669</v>
      </c>
      <c r="V1592" t="s">
        <v>99</v>
      </c>
      <c r="W1592">
        <v>8</v>
      </c>
      <c r="X1592" t="s">
        <v>102</v>
      </c>
      <c r="Y1592" t="b">
        <v>0</v>
      </c>
    </row>
    <row r="1593" spans="1:25" x14ac:dyDescent="0.55000000000000004">
      <c r="A1593" t="s">
        <v>94</v>
      </c>
      <c r="B1593" t="s">
        <v>381</v>
      </c>
      <c r="C1593" t="s">
        <v>348</v>
      </c>
      <c r="D1593" t="s">
        <v>174</v>
      </c>
      <c r="E1593" t="s">
        <v>211</v>
      </c>
      <c r="F1593" t="s">
        <v>99</v>
      </c>
      <c r="G1593">
        <v>13581</v>
      </c>
      <c r="H1593" t="s">
        <v>401</v>
      </c>
      <c r="I1593">
        <v>1</v>
      </c>
      <c r="J1593" t="s">
        <v>101</v>
      </c>
      <c r="K1593" s="19">
        <v>0.94791666666666663</v>
      </c>
      <c r="L1593" s="19">
        <v>0.30208333333333331</v>
      </c>
      <c r="M1593">
        <v>8.5</v>
      </c>
      <c r="N1593">
        <v>323.01</v>
      </c>
      <c r="O1593">
        <v>64</v>
      </c>
      <c r="P1593">
        <v>76</v>
      </c>
      <c r="Q1593" t="s">
        <v>99</v>
      </c>
      <c r="R1593">
        <v>30</v>
      </c>
      <c r="S1593" s="19">
        <v>0</v>
      </c>
      <c r="T1593">
        <v>0</v>
      </c>
      <c r="U1593" s="19"/>
      <c r="V1593" t="s">
        <v>99</v>
      </c>
      <c r="W1593">
        <v>8</v>
      </c>
      <c r="X1593" t="s">
        <v>102</v>
      </c>
      <c r="Y1593" t="b">
        <v>0</v>
      </c>
    </row>
    <row r="1594" spans="1:25" x14ac:dyDescent="0.55000000000000004">
      <c r="A1594" t="s">
        <v>94</v>
      </c>
      <c r="B1594" t="s">
        <v>381</v>
      </c>
      <c r="C1594" t="s">
        <v>348</v>
      </c>
      <c r="D1594" t="s">
        <v>174</v>
      </c>
      <c r="E1594" t="s">
        <v>211</v>
      </c>
      <c r="F1594" t="s">
        <v>99</v>
      </c>
      <c r="G1594">
        <v>13581</v>
      </c>
      <c r="H1594" t="s">
        <v>401</v>
      </c>
      <c r="I1594">
        <v>1</v>
      </c>
      <c r="J1594" t="s">
        <v>115</v>
      </c>
      <c r="K1594" s="19">
        <v>0.94791666666666663</v>
      </c>
      <c r="L1594" s="19">
        <v>0.30208333333333331</v>
      </c>
      <c r="M1594">
        <v>8.5</v>
      </c>
      <c r="N1594">
        <v>480.57</v>
      </c>
      <c r="O1594">
        <v>64</v>
      </c>
      <c r="P1594">
        <v>76</v>
      </c>
      <c r="Q1594" t="s">
        <v>99</v>
      </c>
      <c r="R1594">
        <v>30</v>
      </c>
      <c r="S1594" s="19">
        <v>0</v>
      </c>
      <c r="T1594">
        <v>0</v>
      </c>
      <c r="U1594" s="19">
        <v>0.41666666666666669</v>
      </c>
      <c r="V1594" t="s">
        <v>99</v>
      </c>
      <c r="W1594">
        <v>8</v>
      </c>
      <c r="X1594" t="s">
        <v>102</v>
      </c>
      <c r="Y1594" t="b">
        <v>0</v>
      </c>
    </row>
    <row r="1595" spans="1:25" x14ac:dyDescent="0.55000000000000004">
      <c r="A1595" t="s">
        <v>94</v>
      </c>
      <c r="B1595" t="s">
        <v>381</v>
      </c>
      <c r="C1595" t="s">
        <v>348</v>
      </c>
      <c r="D1595" t="s">
        <v>174</v>
      </c>
      <c r="E1595" t="s">
        <v>211</v>
      </c>
      <c r="F1595" t="s">
        <v>99</v>
      </c>
      <c r="G1595">
        <v>13581</v>
      </c>
      <c r="H1595" t="s">
        <v>401</v>
      </c>
      <c r="I1595">
        <v>1</v>
      </c>
      <c r="J1595" t="s">
        <v>116</v>
      </c>
      <c r="K1595" s="19">
        <v>0.94791666666666663</v>
      </c>
      <c r="L1595" s="19">
        <v>0.30208333333333331</v>
      </c>
      <c r="M1595">
        <v>8.5</v>
      </c>
      <c r="N1595">
        <v>349.34</v>
      </c>
      <c r="O1595">
        <v>64</v>
      </c>
      <c r="P1595">
        <v>76</v>
      </c>
      <c r="Q1595" t="s">
        <v>99</v>
      </c>
      <c r="R1595">
        <v>30</v>
      </c>
      <c r="S1595" s="19">
        <v>0</v>
      </c>
      <c r="T1595">
        <v>0</v>
      </c>
      <c r="U1595" s="19">
        <v>0.41666666666666669</v>
      </c>
      <c r="V1595" t="s">
        <v>99</v>
      </c>
      <c r="W1595">
        <v>8</v>
      </c>
      <c r="X1595" t="s">
        <v>102</v>
      </c>
      <c r="Y1595" t="b">
        <v>0</v>
      </c>
    </row>
    <row r="1596" spans="1:25" x14ac:dyDescent="0.55000000000000004">
      <c r="A1596" t="s">
        <v>94</v>
      </c>
      <c r="B1596" t="s">
        <v>381</v>
      </c>
      <c r="C1596" t="s">
        <v>348</v>
      </c>
      <c r="D1596" t="s">
        <v>174</v>
      </c>
      <c r="E1596" t="s">
        <v>211</v>
      </c>
      <c r="F1596" t="s">
        <v>99</v>
      </c>
      <c r="G1596">
        <v>13581</v>
      </c>
      <c r="H1596" t="s">
        <v>401</v>
      </c>
      <c r="I1596">
        <v>1</v>
      </c>
      <c r="J1596" t="s">
        <v>103</v>
      </c>
      <c r="K1596" s="19">
        <v>0.94791666666666663</v>
      </c>
      <c r="L1596" s="19">
        <v>0.30208333333333331</v>
      </c>
      <c r="M1596">
        <v>8.5</v>
      </c>
      <c r="N1596">
        <v>323.01</v>
      </c>
      <c r="O1596">
        <v>64</v>
      </c>
      <c r="P1596">
        <v>76</v>
      </c>
      <c r="Q1596" t="s">
        <v>99</v>
      </c>
      <c r="R1596">
        <v>30</v>
      </c>
      <c r="S1596" s="19">
        <v>0</v>
      </c>
      <c r="T1596">
        <v>0</v>
      </c>
      <c r="U1596" s="19"/>
      <c r="V1596" t="s">
        <v>99</v>
      </c>
      <c r="W1596">
        <v>8</v>
      </c>
      <c r="X1596" t="s">
        <v>102</v>
      </c>
      <c r="Y1596" t="b">
        <v>0</v>
      </c>
    </row>
    <row r="1597" spans="1:25" x14ac:dyDescent="0.55000000000000004">
      <c r="A1597" t="s">
        <v>94</v>
      </c>
      <c r="B1597" t="s">
        <v>381</v>
      </c>
      <c r="C1597" t="s">
        <v>348</v>
      </c>
      <c r="D1597" t="s">
        <v>174</v>
      </c>
      <c r="E1597" t="s">
        <v>211</v>
      </c>
      <c r="F1597" t="s">
        <v>99</v>
      </c>
      <c r="G1597">
        <v>13581</v>
      </c>
      <c r="H1597" t="s">
        <v>401</v>
      </c>
      <c r="I1597">
        <v>2</v>
      </c>
      <c r="J1597" t="s">
        <v>107</v>
      </c>
      <c r="K1597" s="19">
        <v>0.94791666666666663</v>
      </c>
      <c r="L1597" s="19">
        <v>0.30208333333333331</v>
      </c>
      <c r="M1597">
        <v>8.5</v>
      </c>
      <c r="N1597">
        <v>405.96</v>
      </c>
      <c r="O1597">
        <v>64</v>
      </c>
      <c r="P1597">
        <v>76</v>
      </c>
      <c r="Q1597" t="s">
        <v>99</v>
      </c>
      <c r="R1597">
        <v>30</v>
      </c>
      <c r="S1597" s="19">
        <v>0</v>
      </c>
      <c r="T1597">
        <v>0</v>
      </c>
      <c r="U1597" s="19"/>
      <c r="V1597" t="s">
        <v>99</v>
      </c>
      <c r="W1597">
        <v>8</v>
      </c>
      <c r="X1597" t="s">
        <v>102</v>
      </c>
      <c r="Y1597" t="b">
        <v>0</v>
      </c>
    </row>
    <row r="1598" spans="1:25" x14ac:dyDescent="0.55000000000000004">
      <c r="A1598" t="s">
        <v>94</v>
      </c>
      <c r="B1598" t="s">
        <v>381</v>
      </c>
      <c r="C1598" t="s">
        <v>348</v>
      </c>
      <c r="D1598" t="s">
        <v>174</v>
      </c>
      <c r="E1598" t="s">
        <v>211</v>
      </c>
      <c r="F1598" t="s">
        <v>99</v>
      </c>
      <c r="G1598">
        <v>13581</v>
      </c>
      <c r="H1598" t="s">
        <v>401</v>
      </c>
      <c r="I1598">
        <v>2</v>
      </c>
      <c r="J1598" t="s">
        <v>115</v>
      </c>
      <c r="K1598" s="19">
        <v>0.94791666666666663</v>
      </c>
      <c r="L1598" s="19">
        <v>0.30208333333333331</v>
      </c>
      <c r="M1598">
        <v>8.5</v>
      </c>
      <c r="N1598">
        <v>480.57</v>
      </c>
      <c r="O1598">
        <v>64</v>
      </c>
      <c r="P1598">
        <v>76</v>
      </c>
      <c r="Q1598" t="s">
        <v>99</v>
      </c>
      <c r="R1598">
        <v>30</v>
      </c>
      <c r="S1598" s="19">
        <v>0.125</v>
      </c>
      <c r="T1598">
        <v>0</v>
      </c>
      <c r="U1598" s="19">
        <v>0.41666666666666669</v>
      </c>
      <c r="V1598" t="s">
        <v>402</v>
      </c>
      <c r="W1598">
        <v>8</v>
      </c>
      <c r="X1598" t="s">
        <v>102</v>
      </c>
      <c r="Y1598" t="b">
        <v>0</v>
      </c>
    </row>
    <row r="1599" spans="1:25" x14ac:dyDescent="0.55000000000000004">
      <c r="A1599" t="s">
        <v>94</v>
      </c>
      <c r="B1599" t="s">
        <v>381</v>
      </c>
      <c r="C1599" t="s">
        <v>348</v>
      </c>
      <c r="D1599" t="s">
        <v>174</v>
      </c>
      <c r="E1599" t="s">
        <v>211</v>
      </c>
      <c r="F1599" t="s">
        <v>99</v>
      </c>
      <c r="G1599">
        <v>13581</v>
      </c>
      <c r="H1599" t="s">
        <v>401</v>
      </c>
      <c r="I1599">
        <v>2</v>
      </c>
      <c r="J1599" t="s">
        <v>116</v>
      </c>
      <c r="K1599" s="19">
        <v>0.94791666666666663</v>
      </c>
      <c r="L1599" s="19">
        <v>0.30208333333333331</v>
      </c>
      <c r="M1599">
        <v>8.5</v>
      </c>
      <c r="N1599">
        <v>349.34</v>
      </c>
      <c r="O1599">
        <v>64</v>
      </c>
      <c r="P1599">
        <v>76</v>
      </c>
      <c r="Q1599" t="s">
        <v>99</v>
      </c>
      <c r="R1599">
        <v>30</v>
      </c>
      <c r="S1599" s="19">
        <v>0</v>
      </c>
      <c r="T1599">
        <v>0</v>
      </c>
      <c r="U1599" s="19">
        <v>0.41666666666666669</v>
      </c>
      <c r="V1599" t="s">
        <v>99</v>
      </c>
      <c r="W1599">
        <v>8</v>
      </c>
      <c r="X1599" t="s">
        <v>102</v>
      </c>
      <c r="Y1599" t="b">
        <v>0</v>
      </c>
    </row>
    <row r="1600" spans="1:25" x14ac:dyDescent="0.55000000000000004">
      <c r="A1600" t="s">
        <v>94</v>
      </c>
      <c r="B1600" t="s">
        <v>381</v>
      </c>
      <c r="C1600" t="s">
        <v>348</v>
      </c>
      <c r="D1600" t="s">
        <v>174</v>
      </c>
      <c r="E1600" t="s">
        <v>211</v>
      </c>
      <c r="F1600" t="s">
        <v>99</v>
      </c>
      <c r="G1600">
        <v>23874</v>
      </c>
      <c r="H1600" t="s">
        <v>403</v>
      </c>
      <c r="I1600">
        <v>1</v>
      </c>
      <c r="J1600" t="s">
        <v>101</v>
      </c>
      <c r="K1600" s="19">
        <v>0.94791666666666663</v>
      </c>
      <c r="L1600" s="19">
        <v>0.30208333333333331</v>
      </c>
      <c r="M1600">
        <v>8.5</v>
      </c>
      <c r="N1600">
        <v>323.01</v>
      </c>
      <c r="O1600">
        <v>76</v>
      </c>
      <c r="P1600">
        <v>76</v>
      </c>
      <c r="Q1600" t="s">
        <v>99</v>
      </c>
      <c r="R1600">
        <v>30</v>
      </c>
      <c r="S1600" s="19">
        <v>0</v>
      </c>
      <c r="T1600">
        <v>0</v>
      </c>
      <c r="U1600" s="19"/>
      <c r="V1600" t="s">
        <v>99</v>
      </c>
      <c r="W1600">
        <v>8</v>
      </c>
      <c r="X1600" t="s">
        <v>102</v>
      </c>
      <c r="Y1600" t="b">
        <v>0</v>
      </c>
    </row>
    <row r="1601" spans="1:25" x14ac:dyDescent="0.55000000000000004">
      <c r="A1601" t="s">
        <v>94</v>
      </c>
      <c r="B1601" t="s">
        <v>381</v>
      </c>
      <c r="C1601" t="s">
        <v>348</v>
      </c>
      <c r="D1601" t="s">
        <v>174</v>
      </c>
      <c r="E1601" t="s">
        <v>211</v>
      </c>
      <c r="F1601" t="s">
        <v>99</v>
      </c>
      <c r="G1601">
        <v>23874</v>
      </c>
      <c r="H1601" t="s">
        <v>403</v>
      </c>
      <c r="I1601">
        <v>2</v>
      </c>
      <c r="J1601" t="s">
        <v>107</v>
      </c>
      <c r="K1601" s="19">
        <v>0.94791666666666663</v>
      </c>
      <c r="L1601" s="19">
        <v>0.30208333333333331</v>
      </c>
      <c r="M1601">
        <v>8.5</v>
      </c>
      <c r="N1601">
        <v>405.96</v>
      </c>
      <c r="O1601">
        <v>76</v>
      </c>
      <c r="P1601">
        <v>76</v>
      </c>
      <c r="Q1601" t="s">
        <v>99</v>
      </c>
      <c r="R1601">
        <v>30</v>
      </c>
      <c r="S1601" s="19">
        <v>0</v>
      </c>
      <c r="T1601">
        <v>0</v>
      </c>
      <c r="U1601" s="19"/>
      <c r="V1601" t="s">
        <v>99</v>
      </c>
      <c r="W1601">
        <v>8</v>
      </c>
      <c r="X1601" t="s">
        <v>102</v>
      </c>
      <c r="Y1601" t="b">
        <v>0</v>
      </c>
    </row>
    <row r="1602" spans="1:25" x14ac:dyDescent="0.55000000000000004">
      <c r="A1602" t="s">
        <v>94</v>
      </c>
      <c r="B1602" t="s">
        <v>381</v>
      </c>
      <c r="C1602" t="s">
        <v>348</v>
      </c>
      <c r="D1602" t="s">
        <v>174</v>
      </c>
      <c r="E1602" t="s">
        <v>211</v>
      </c>
      <c r="F1602" t="s">
        <v>99</v>
      </c>
      <c r="G1602">
        <v>23874</v>
      </c>
      <c r="H1602" t="s">
        <v>403</v>
      </c>
      <c r="I1602">
        <v>2</v>
      </c>
      <c r="J1602" t="s">
        <v>101</v>
      </c>
      <c r="K1602" s="19">
        <v>0.94791666666666663</v>
      </c>
      <c r="L1602" s="19">
        <v>0.30208333333333331</v>
      </c>
      <c r="M1602">
        <v>8.5</v>
      </c>
      <c r="N1602">
        <v>323.01</v>
      </c>
      <c r="O1602">
        <v>76</v>
      </c>
      <c r="P1602">
        <v>76</v>
      </c>
      <c r="Q1602" t="s">
        <v>99</v>
      </c>
      <c r="R1602">
        <v>30</v>
      </c>
      <c r="S1602" s="19">
        <v>0</v>
      </c>
      <c r="T1602">
        <v>0</v>
      </c>
      <c r="U1602" s="19"/>
      <c r="V1602" t="s">
        <v>99</v>
      </c>
      <c r="W1602">
        <v>8</v>
      </c>
      <c r="X1602" t="s">
        <v>102</v>
      </c>
      <c r="Y1602" t="b">
        <v>0</v>
      </c>
    </row>
    <row r="1603" spans="1:25" x14ac:dyDescent="0.55000000000000004">
      <c r="A1603" t="s">
        <v>94</v>
      </c>
      <c r="B1603" t="s">
        <v>381</v>
      </c>
      <c r="C1603" t="s">
        <v>348</v>
      </c>
      <c r="D1603" t="s">
        <v>174</v>
      </c>
      <c r="E1603" t="s">
        <v>211</v>
      </c>
      <c r="F1603" t="s">
        <v>99</v>
      </c>
      <c r="G1603">
        <v>23874</v>
      </c>
      <c r="H1603" t="s">
        <v>403</v>
      </c>
      <c r="I1603">
        <v>2</v>
      </c>
      <c r="J1603" t="s">
        <v>115</v>
      </c>
      <c r="K1603" s="19">
        <v>0.94791666666666663</v>
      </c>
      <c r="L1603" s="19">
        <v>0.30208333333333331</v>
      </c>
      <c r="M1603">
        <v>8.5</v>
      </c>
      <c r="N1603">
        <v>480.57</v>
      </c>
      <c r="O1603">
        <v>76</v>
      </c>
      <c r="P1603">
        <v>76</v>
      </c>
      <c r="Q1603" t="s">
        <v>99</v>
      </c>
      <c r="R1603">
        <v>30</v>
      </c>
      <c r="S1603" s="19">
        <v>0.125</v>
      </c>
      <c r="T1603">
        <v>0</v>
      </c>
      <c r="U1603" s="19">
        <v>0.41666666666666669</v>
      </c>
      <c r="V1603" t="s">
        <v>402</v>
      </c>
      <c r="W1603">
        <v>8</v>
      </c>
      <c r="X1603" t="s">
        <v>102</v>
      </c>
      <c r="Y1603" t="b">
        <v>0</v>
      </c>
    </row>
    <row r="1604" spans="1:25" x14ac:dyDescent="0.55000000000000004">
      <c r="A1604" t="s">
        <v>94</v>
      </c>
      <c r="B1604" t="s">
        <v>381</v>
      </c>
      <c r="C1604" t="s">
        <v>348</v>
      </c>
      <c r="D1604" t="s">
        <v>174</v>
      </c>
      <c r="E1604" t="s">
        <v>211</v>
      </c>
      <c r="F1604" t="s">
        <v>99</v>
      </c>
      <c r="G1604">
        <v>24612</v>
      </c>
      <c r="H1604" t="s">
        <v>395</v>
      </c>
      <c r="I1604">
        <v>1</v>
      </c>
      <c r="J1604" t="s">
        <v>105</v>
      </c>
      <c r="K1604" s="19">
        <v>0.94791666666666663</v>
      </c>
      <c r="L1604" s="19">
        <v>0.30208333333333331</v>
      </c>
      <c r="M1604">
        <v>8.5</v>
      </c>
      <c r="N1604">
        <v>323.01</v>
      </c>
      <c r="O1604">
        <v>76</v>
      </c>
      <c r="P1604">
        <v>76</v>
      </c>
      <c r="Q1604" t="s">
        <v>99</v>
      </c>
      <c r="R1604">
        <v>30</v>
      </c>
      <c r="S1604" s="19">
        <v>0</v>
      </c>
      <c r="T1604">
        <v>0</v>
      </c>
      <c r="U1604" s="19"/>
      <c r="V1604" t="s">
        <v>99</v>
      </c>
      <c r="W1604">
        <v>8</v>
      </c>
      <c r="X1604" t="s">
        <v>102</v>
      </c>
      <c r="Y1604" t="b">
        <v>0</v>
      </c>
    </row>
    <row r="1605" spans="1:25" x14ac:dyDescent="0.55000000000000004">
      <c r="A1605" t="s">
        <v>94</v>
      </c>
      <c r="B1605" t="s">
        <v>381</v>
      </c>
      <c r="C1605" t="s">
        <v>348</v>
      </c>
      <c r="D1605" t="s">
        <v>174</v>
      </c>
      <c r="E1605" t="s">
        <v>211</v>
      </c>
      <c r="F1605" t="s">
        <v>99</v>
      </c>
      <c r="G1605">
        <v>24612</v>
      </c>
      <c r="H1605" t="s">
        <v>395</v>
      </c>
      <c r="I1605">
        <v>2</v>
      </c>
      <c r="J1605" t="s">
        <v>104</v>
      </c>
      <c r="K1605" s="19">
        <v>0.94791666666666663</v>
      </c>
      <c r="L1605" s="19">
        <v>0.30208333333333331</v>
      </c>
      <c r="M1605">
        <v>8.5</v>
      </c>
      <c r="N1605">
        <v>323.01</v>
      </c>
      <c r="O1605">
        <v>76</v>
      </c>
      <c r="P1605">
        <v>76</v>
      </c>
      <c r="Q1605" t="s">
        <v>99</v>
      </c>
      <c r="R1605">
        <v>30</v>
      </c>
      <c r="S1605" s="19">
        <v>0</v>
      </c>
      <c r="T1605">
        <v>0</v>
      </c>
      <c r="U1605" s="19"/>
      <c r="V1605" t="s">
        <v>99</v>
      </c>
      <c r="W1605">
        <v>8</v>
      </c>
      <c r="X1605" t="s">
        <v>102</v>
      </c>
      <c r="Y1605" t="b">
        <v>0</v>
      </c>
    </row>
    <row r="1606" spans="1:25" x14ac:dyDescent="0.55000000000000004">
      <c r="A1606" t="s">
        <v>94</v>
      </c>
      <c r="B1606" t="s">
        <v>381</v>
      </c>
      <c r="C1606" t="s">
        <v>348</v>
      </c>
      <c r="D1606" t="s">
        <v>174</v>
      </c>
      <c r="E1606" t="s">
        <v>211</v>
      </c>
      <c r="F1606" t="s">
        <v>99</v>
      </c>
      <c r="G1606">
        <v>24612</v>
      </c>
      <c r="H1606" t="s">
        <v>395</v>
      </c>
      <c r="I1606">
        <v>2</v>
      </c>
      <c r="J1606" t="s">
        <v>105</v>
      </c>
      <c r="K1606" s="19">
        <v>0.94791666666666663</v>
      </c>
      <c r="L1606" s="19">
        <v>0.30208333333333331</v>
      </c>
      <c r="M1606">
        <v>8.5</v>
      </c>
      <c r="N1606">
        <v>323.01</v>
      </c>
      <c r="O1606">
        <v>76</v>
      </c>
      <c r="P1606">
        <v>76</v>
      </c>
      <c r="Q1606" t="s">
        <v>99</v>
      </c>
      <c r="R1606">
        <v>30</v>
      </c>
      <c r="S1606" s="19">
        <v>0</v>
      </c>
      <c r="T1606">
        <v>0</v>
      </c>
      <c r="U1606" s="19"/>
      <c r="V1606" t="s">
        <v>99</v>
      </c>
      <c r="W1606">
        <v>8</v>
      </c>
      <c r="X1606" t="s">
        <v>102</v>
      </c>
      <c r="Y1606" t="b">
        <v>0</v>
      </c>
    </row>
    <row r="1607" spans="1:25" x14ac:dyDescent="0.55000000000000004">
      <c r="A1607" t="s">
        <v>94</v>
      </c>
      <c r="B1607" t="s">
        <v>381</v>
      </c>
      <c r="C1607" t="s">
        <v>348</v>
      </c>
      <c r="D1607" t="s">
        <v>174</v>
      </c>
      <c r="E1607" t="s">
        <v>222</v>
      </c>
      <c r="F1607" t="s">
        <v>99</v>
      </c>
      <c r="H1607" t="s">
        <v>99</v>
      </c>
      <c r="I1607">
        <v>1</v>
      </c>
      <c r="J1607" t="s">
        <v>101</v>
      </c>
      <c r="K1607" s="19">
        <v>0.60416666666666663</v>
      </c>
      <c r="L1607" s="19">
        <v>0.95833333333333337</v>
      </c>
      <c r="M1607">
        <v>8.5</v>
      </c>
      <c r="N1607">
        <v>300.14999999999998</v>
      </c>
      <c r="O1607">
        <v>0</v>
      </c>
      <c r="P1607">
        <v>0</v>
      </c>
      <c r="Q1607" t="s">
        <v>99</v>
      </c>
      <c r="R1607">
        <v>30</v>
      </c>
      <c r="S1607" s="19">
        <v>0.8125</v>
      </c>
      <c r="T1607">
        <v>0</v>
      </c>
      <c r="U1607" s="19"/>
      <c r="V1607" t="s">
        <v>99</v>
      </c>
      <c r="W1607">
        <v>8</v>
      </c>
      <c r="X1607" t="s">
        <v>102</v>
      </c>
      <c r="Y1607" t="b">
        <v>0</v>
      </c>
    </row>
    <row r="1608" spans="1:25" x14ac:dyDescent="0.55000000000000004">
      <c r="A1608" t="s">
        <v>94</v>
      </c>
      <c r="B1608" t="s">
        <v>381</v>
      </c>
      <c r="C1608" t="s">
        <v>348</v>
      </c>
      <c r="D1608" t="s">
        <v>174</v>
      </c>
      <c r="E1608" t="s">
        <v>222</v>
      </c>
      <c r="F1608" t="s">
        <v>99</v>
      </c>
      <c r="H1608" t="s">
        <v>99</v>
      </c>
      <c r="I1608">
        <v>1</v>
      </c>
      <c r="J1608" t="s">
        <v>104</v>
      </c>
      <c r="K1608" s="19">
        <v>0.60416666666666663</v>
      </c>
      <c r="L1608" s="19">
        <v>0.95833333333333337</v>
      </c>
      <c r="M1608">
        <v>8.5</v>
      </c>
      <c r="N1608">
        <v>300.14999999999998</v>
      </c>
      <c r="O1608">
        <v>0</v>
      </c>
      <c r="P1608">
        <v>0</v>
      </c>
      <c r="Q1608" t="s">
        <v>99</v>
      </c>
      <c r="R1608">
        <v>30</v>
      </c>
      <c r="S1608" s="19">
        <v>0.8125</v>
      </c>
      <c r="T1608">
        <v>0</v>
      </c>
      <c r="U1608" s="19">
        <v>0.41666666666666669</v>
      </c>
      <c r="V1608" t="s">
        <v>99</v>
      </c>
      <c r="W1608">
        <v>8</v>
      </c>
      <c r="X1608" t="s">
        <v>102</v>
      </c>
      <c r="Y1608" t="b">
        <v>0</v>
      </c>
    </row>
    <row r="1609" spans="1:25" x14ac:dyDescent="0.55000000000000004">
      <c r="A1609" t="s">
        <v>94</v>
      </c>
      <c r="B1609" t="s">
        <v>381</v>
      </c>
      <c r="C1609" t="s">
        <v>348</v>
      </c>
      <c r="D1609" t="s">
        <v>174</v>
      </c>
      <c r="E1609" t="s">
        <v>222</v>
      </c>
      <c r="F1609" t="s">
        <v>99</v>
      </c>
      <c r="G1609">
        <v>22436</v>
      </c>
      <c r="H1609" t="s">
        <v>404</v>
      </c>
      <c r="I1609">
        <v>2</v>
      </c>
      <c r="J1609" t="s">
        <v>116</v>
      </c>
      <c r="K1609" s="19">
        <v>0.60416666666666663</v>
      </c>
      <c r="L1609" s="19">
        <v>0.95833333333333337</v>
      </c>
      <c r="M1609">
        <v>8.5</v>
      </c>
      <c r="N1609">
        <v>497.28</v>
      </c>
      <c r="O1609">
        <v>56</v>
      </c>
      <c r="P1609">
        <v>76</v>
      </c>
      <c r="Q1609" t="s">
        <v>99</v>
      </c>
      <c r="R1609">
        <v>30</v>
      </c>
      <c r="S1609" s="19">
        <v>0.8125</v>
      </c>
      <c r="T1609">
        <v>0</v>
      </c>
      <c r="U1609" s="19"/>
      <c r="V1609" t="s">
        <v>99</v>
      </c>
      <c r="W1609">
        <v>8</v>
      </c>
      <c r="X1609" t="s">
        <v>102</v>
      </c>
      <c r="Y1609" t="b">
        <v>0</v>
      </c>
    </row>
    <row r="1610" spans="1:25" x14ac:dyDescent="0.55000000000000004">
      <c r="A1610" t="s">
        <v>94</v>
      </c>
      <c r="B1610" t="s">
        <v>381</v>
      </c>
      <c r="C1610" t="s">
        <v>348</v>
      </c>
      <c r="D1610" t="s">
        <v>174</v>
      </c>
      <c r="E1610" t="s">
        <v>222</v>
      </c>
      <c r="F1610" t="s">
        <v>99</v>
      </c>
      <c r="G1610">
        <v>23873</v>
      </c>
      <c r="H1610" t="s">
        <v>405</v>
      </c>
      <c r="I1610">
        <v>1</v>
      </c>
      <c r="J1610" t="s">
        <v>103</v>
      </c>
      <c r="K1610" s="19">
        <v>0.60416666666666663</v>
      </c>
      <c r="L1610" s="19">
        <v>0.95833333333333337</v>
      </c>
      <c r="M1610">
        <v>8.5</v>
      </c>
      <c r="N1610">
        <v>315.99</v>
      </c>
      <c r="O1610">
        <v>76</v>
      </c>
      <c r="P1610">
        <v>76</v>
      </c>
      <c r="Q1610" t="s">
        <v>99</v>
      </c>
      <c r="R1610">
        <v>30</v>
      </c>
      <c r="S1610" s="19">
        <v>0.8125</v>
      </c>
      <c r="T1610">
        <v>0</v>
      </c>
      <c r="U1610" s="19"/>
      <c r="V1610" t="s">
        <v>99</v>
      </c>
      <c r="W1610">
        <v>8</v>
      </c>
      <c r="X1610" t="s">
        <v>102</v>
      </c>
      <c r="Y1610" t="b">
        <v>0</v>
      </c>
    </row>
    <row r="1611" spans="1:25" x14ac:dyDescent="0.55000000000000004">
      <c r="A1611" t="s">
        <v>94</v>
      </c>
      <c r="B1611" t="s">
        <v>381</v>
      </c>
      <c r="C1611" t="s">
        <v>348</v>
      </c>
      <c r="D1611" t="s">
        <v>174</v>
      </c>
      <c r="E1611" t="s">
        <v>222</v>
      </c>
      <c r="F1611" t="s">
        <v>99</v>
      </c>
      <c r="G1611">
        <v>23873</v>
      </c>
      <c r="H1611" t="s">
        <v>405</v>
      </c>
      <c r="I1611">
        <v>1</v>
      </c>
      <c r="J1611" t="s">
        <v>105</v>
      </c>
      <c r="K1611" s="19">
        <v>0.60416666666666663</v>
      </c>
      <c r="L1611" s="19">
        <v>0.95833333333333337</v>
      </c>
      <c r="M1611">
        <v>8.5</v>
      </c>
      <c r="N1611">
        <v>315.99</v>
      </c>
      <c r="O1611">
        <v>76</v>
      </c>
      <c r="P1611">
        <v>76</v>
      </c>
      <c r="Q1611" t="s">
        <v>99</v>
      </c>
      <c r="R1611">
        <v>30</v>
      </c>
      <c r="S1611" s="19">
        <v>0.8125</v>
      </c>
      <c r="T1611">
        <v>0</v>
      </c>
      <c r="U1611" s="19"/>
      <c r="V1611" t="s">
        <v>99</v>
      </c>
      <c r="W1611">
        <v>8</v>
      </c>
      <c r="X1611" t="s">
        <v>102</v>
      </c>
      <c r="Y1611" t="b">
        <v>0</v>
      </c>
    </row>
    <row r="1612" spans="1:25" x14ac:dyDescent="0.55000000000000004">
      <c r="A1612" t="s">
        <v>94</v>
      </c>
      <c r="B1612" t="s">
        <v>381</v>
      </c>
      <c r="C1612" t="s">
        <v>348</v>
      </c>
      <c r="D1612" t="s">
        <v>174</v>
      </c>
      <c r="E1612" t="s">
        <v>222</v>
      </c>
      <c r="F1612" t="s">
        <v>99</v>
      </c>
      <c r="G1612">
        <v>23873</v>
      </c>
      <c r="H1612" t="s">
        <v>405</v>
      </c>
      <c r="I1612">
        <v>2</v>
      </c>
      <c r="J1612" t="s">
        <v>103</v>
      </c>
      <c r="K1612" s="19">
        <v>0.60416666666666663</v>
      </c>
      <c r="L1612" s="19">
        <v>0.95833333333333337</v>
      </c>
      <c r="M1612">
        <v>8.5</v>
      </c>
      <c r="N1612">
        <v>315.99</v>
      </c>
      <c r="O1612">
        <v>76</v>
      </c>
      <c r="P1612">
        <v>76</v>
      </c>
      <c r="Q1612" t="s">
        <v>99</v>
      </c>
      <c r="R1612">
        <v>30</v>
      </c>
      <c r="S1612" s="19">
        <v>0.8125</v>
      </c>
      <c r="T1612">
        <v>0</v>
      </c>
      <c r="U1612" s="19"/>
      <c r="V1612" t="s">
        <v>99</v>
      </c>
      <c r="W1612">
        <v>8</v>
      </c>
      <c r="X1612" t="s">
        <v>102</v>
      </c>
      <c r="Y1612" t="b">
        <v>0</v>
      </c>
    </row>
    <row r="1613" spans="1:25" x14ac:dyDescent="0.55000000000000004">
      <c r="A1613" t="s">
        <v>94</v>
      </c>
      <c r="B1613" t="s">
        <v>381</v>
      </c>
      <c r="C1613" t="s">
        <v>348</v>
      </c>
      <c r="D1613" t="s">
        <v>174</v>
      </c>
      <c r="E1613" t="s">
        <v>222</v>
      </c>
      <c r="F1613" t="s">
        <v>99</v>
      </c>
      <c r="G1613">
        <v>23877</v>
      </c>
      <c r="H1613" t="s">
        <v>399</v>
      </c>
      <c r="I1613">
        <v>1</v>
      </c>
      <c r="J1613" t="s">
        <v>107</v>
      </c>
      <c r="K1613" s="19">
        <v>0.60416666666666663</v>
      </c>
      <c r="L1613" s="19">
        <v>0.95833333333333337</v>
      </c>
      <c r="M1613">
        <v>8.5</v>
      </c>
      <c r="N1613">
        <v>315.99</v>
      </c>
      <c r="O1613">
        <v>76</v>
      </c>
      <c r="P1613">
        <v>76</v>
      </c>
      <c r="Q1613" t="s">
        <v>99</v>
      </c>
      <c r="R1613">
        <v>30</v>
      </c>
      <c r="S1613" s="19">
        <v>0.8125</v>
      </c>
      <c r="T1613">
        <v>0</v>
      </c>
      <c r="U1613" s="19"/>
      <c r="V1613" t="s">
        <v>99</v>
      </c>
      <c r="W1613">
        <v>8</v>
      </c>
      <c r="X1613" t="s">
        <v>102</v>
      </c>
      <c r="Y1613" t="b">
        <v>0</v>
      </c>
    </row>
    <row r="1614" spans="1:25" x14ac:dyDescent="0.55000000000000004">
      <c r="A1614" t="s">
        <v>94</v>
      </c>
      <c r="B1614" t="s">
        <v>381</v>
      </c>
      <c r="C1614" t="s">
        <v>348</v>
      </c>
      <c r="D1614" t="s">
        <v>174</v>
      </c>
      <c r="E1614" t="s">
        <v>222</v>
      </c>
      <c r="F1614" t="s">
        <v>99</v>
      </c>
      <c r="G1614">
        <v>23884</v>
      </c>
      <c r="H1614" t="s">
        <v>406</v>
      </c>
      <c r="I1614">
        <v>1</v>
      </c>
      <c r="J1614" t="s">
        <v>115</v>
      </c>
      <c r="K1614" s="19">
        <v>0.60416666666666663</v>
      </c>
      <c r="L1614" s="19">
        <v>0.95833333333333337</v>
      </c>
      <c r="M1614">
        <v>8.5</v>
      </c>
      <c r="N1614">
        <v>421.32</v>
      </c>
      <c r="O1614">
        <v>76</v>
      </c>
      <c r="P1614">
        <v>76</v>
      </c>
      <c r="Q1614" t="s">
        <v>99</v>
      </c>
      <c r="R1614">
        <v>30</v>
      </c>
      <c r="S1614" s="19">
        <v>0.8125</v>
      </c>
      <c r="T1614">
        <v>0</v>
      </c>
      <c r="U1614" s="19"/>
      <c r="V1614" t="s">
        <v>99</v>
      </c>
      <c r="W1614">
        <v>8</v>
      </c>
      <c r="X1614" t="s">
        <v>102</v>
      </c>
      <c r="Y1614" t="b">
        <v>0</v>
      </c>
    </row>
    <row r="1615" spans="1:25" x14ac:dyDescent="0.55000000000000004">
      <c r="A1615" t="s">
        <v>94</v>
      </c>
      <c r="B1615" t="s">
        <v>381</v>
      </c>
      <c r="C1615" t="s">
        <v>348</v>
      </c>
      <c r="D1615" t="s">
        <v>174</v>
      </c>
      <c r="E1615" t="s">
        <v>222</v>
      </c>
      <c r="F1615" t="s">
        <v>99</v>
      </c>
      <c r="G1615">
        <v>23884</v>
      </c>
      <c r="H1615" t="s">
        <v>406</v>
      </c>
      <c r="I1615">
        <v>2</v>
      </c>
      <c r="J1615" t="s">
        <v>107</v>
      </c>
      <c r="K1615" s="19">
        <v>0.60416666666666663</v>
      </c>
      <c r="L1615" s="19">
        <v>0.95833333333333337</v>
      </c>
      <c r="M1615">
        <v>8.5</v>
      </c>
      <c r="N1615">
        <v>315.99</v>
      </c>
      <c r="O1615">
        <v>76</v>
      </c>
      <c r="P1615">
        <v>76</v>
      </c>
      <c r="Q1615" t="s">
        <v>99</v>
      </c>
      <c r="R1615">
        <v>30</v>
      </c>
      <c r="S1615" s="19">
        <v>0.8125</v>
      </c>
      <c r="T1615">
        <v>0</v>
      </c>
      <c r="U1615" s="19"/>
      <c r="V1615" t="s">
        <v>99</v>
      </c>
      <c r="W1615">
        <v>8</v>
      </c>
      <c r="X1615" t="s">
        <v>102</v>
      </c>
      <c r="Y1615" t="b">
        <v>0</v>
      </c>
    </row>
    <row r="1616" spans="1:25" x14ac:dyDescent="0.55000000000000004">
      <c r="A1616" t="s">
        <v>94</v>
      </c>
      <c r="B1616" t="s">
        <v>381</v>
      </c>
      <c r="C1616" t="s">
        <v>348</v>
      </c>
      <c r="D1616" t="s">
        <v>174</v>
      </c>
      <c r="E1616" t="s">
        <v>222</v>
      </c>
      <c r="F1616" t="s">
        <v>99</v>
      </c>
      <c r="G1616">
        <v>23884</v>
      </c>
      <c r="H1616" t="s">
        <v>406</v>
      </c>
      <c r="I1616">
        <v>2</v>
      </c>
      <c r="J1616" t="s">
        <v>101</v>
      </c>
      <c r="K1616" s="19">
        <v>0.60416666666666663</v>
      </c>
      <c r="L1616" s="19">
        <v>0.95833333333333337</v>
      </c>
      <c r="M1616">
        <v>8.5</v>
      </c>
      <c r="N1616">
        <v>315.99</v>
      </c>
      <c r="O1616">
        <v>76</v>
      </c>
      <c r="P1616">
        <v>76</v>
      </c>
      <c r="Q1616" t="s">
        <v>99</v>
      </c>
      <c r="R1616">
        <v>30</v>
      </c>
      <c r="S1616" s="19">
        <v>0.8125</v>
      </c>
      <c r="T1616">
        <v>0</v>
      </c>
      <c r="U1616" s="19"/>
      <c r="V1616" t="s">
        <v>99</v>
      </c>
      <c r="W1616">
        <v>8</v>
      </c>
      <c r="X1616" t="s">
        <v>102</v>
      </c>
      <c r="Y1616" t="b">
        <v>0</v>
      </c>
    </row>
    <row r="1617" spans="1:25" x14ac:dyDescent="0.55000000000000004">
      <c r="A1617" t="s">
        <v>94</v>
      </c>
      <c r="B1617" t="s">
        <v>381</v>
      </c>
      <c r="C1617" t="s">
        <v>348</v>
      </c>
      <c r="D1617" t="s">
        <v>174</v>
      </c>
      <c r="E1617" t="s">
        <v>222</v>
      </c>
      <c r="F1617" t="s">
        <v>99</v>
      </c>
      <c r="G1617">
        <v>23884</v>
      </c>
      <c r="H1617" t="s">
        <v>406</v>
      </c>
      <c r="I1617">
        <v>2</v>
      </c>
      <c r="J1617" t="s">
        <v>115</v>
      </c>
      <c r="K1617" s="19">
        <v>0.60416666666666663</v>
      </c>
      <c r="L1617" s="19">
        <v>0.95833333333333337</v>
      </c>
      <c r="M1617">
        <v>8.5</v>
      </c>
      <c r="N1617">
        <v>421.32</v>
      </c>
      <c r="O1617">
        <v>76</v>
      </c>
      <c r="P1617">
        <v>76</v>
      </c>
      <c r="Q1617" t="s">
        <v>99</v>
      </c>
      <c r="R1617">
        <v>30</v>
      </c>
      <c r="S1617" s="19">
        <v>0.8125</v>
      </c>
      <c r="T1617">
        <v>0</v>
      </c>
      <c r="U1617" s="19"/>
      <c r="V1617" t="s">
        <v>99</v>
      </c>
      <c r="W1617">
        <v>8</v>
      </c>
      <c r="X1617" t="s">
        <v>102</v>
      </c>
      <c r="Y1617" t="b">
        <v>0</v>
      </c>
    </row>
    <row r="1618" spans="1:25" x14ac:dyDescent="0.55000000000000004">
      <c r="A1618" t="s">
        <v>94</v>
      </c>
      <c r="B1618" t="s">
        <v>381</v>
      </c>
      <c r="C1618" t="s">
        <v>348</v>
      </c>
      <c r="D1618" t="s">
        <v>174</v>
      </c>
      <c r="E1618" t="s">
        <v>222</v>
      </c>
      <c r="F1618" t="s">
        <v>99</v>
      </c>
      <c r="G1618">
        <v>24612</v>
      </c>
      <c r="H1618" t="s">
        <v>395</v>
      </c>
      <c r="I1618">
        <v>1</v>
      </c>
      <c r="J1618" t="s">
        <v>116</v>
      </c>
      <c r="K1618" s="19">
        <v>0.60416666666666663</v>
      </c>
      <c r="L1618" s="19">
        <v>0.95833333333333337</v>
      </c>
      <c r="M1618">
        <v>8.5</v>
      </c>
      <c r="N1618">
        <v>491.54</v>
      </c>
      <c r="O1618">
        <v>76</v>
      </c>
      <c r="P1618">
        <v>76</v>
      </c>
      <c r="Q1618" t="s">
        <v>99</v>
      </c>
      <c r="R1618">
        <v>30</v>
      </c>
      <c r="S1618" s="19">
        <v>0.8125</v>
      </c>
      <c r="T1618">
        <v>0</v>
      </c>
      <c r="U1618" s="19"/>
      <c r="V1618" t="s">
        <v>99</v>
      </c>
      <c r="W1618">
        <v>8</v>
      </c>
      <c r="X1618" t="s">
        <v>102</v>
      </c>
      <c r="Y1618" t="b">
        <v>0</v>
      </c>
    </row>
    <row r="1619" spans="1:25" x14ac:dyDescent="0.55000000000000004">
      <c r="A1619" t="s">
        <v>94</v>
      </c>
      <c r="B1619" t="s">
        <v>381</v>
      </c>
      <c r="C1619" t="s">
        <v>348</v>
      </c>
      <c r="D1619" t="s">
        <v>174</v>
      </c>
      <c r="E1619" t="s">
        <v>222</v>
      </c>
      <c r="F1619" t="s">
        <v>99</v>
      </c>
      <c r="G1619">
        <v>24863</v>
      </c>
      <c r="H1619" t="s">
        <v>385</v>
      </c>
      <c r="I1619">
        <v>2</v>
      </c>
      <c r="J1619" t="s">
        <v>104</v>
      </c>
      <c r="K1619" s="19">
        <v>0.60416666666666663</v>
      </c>
      <c r="L1619" s="19">
        <v>0.95833333333333337</v>
      </c>
      <c r="M1619">
        <v>8.5</v>
      </c>
      <c r="N1619">
        <v>300.14999999999998</v>
      </c>
      <c r="O1619">
        <v>64</v>
      </c>
      <c r="P1619">
        <v>76</v>
      </c>
      <c r="Q1619" t="s">
        <v>99</v>
      </c>
      <c r="R1619">
        <v>30</v>
      </c>
      <c r="S1619" s="19">
        <v>0.8125</v>
      </c>
      <c r="T1619">
        <v>0</v>
      </c>
      <c r="U1619" s="19"/>
      <c r="V1619" t="s">
        <v>99</v>
      </c>
      <c r="W1619">
        <v>8</v>
      </c>
      <c r="X1619" t="s">
        <v>102</v>
      </c>
      <c r="Y1619" t="b">
        <v>0</v>
      </c>
    </row>
    <row r="1620" spans="1:25" x14ac:dyDescent="0.55000000000000004">
      <c r="A1620" t="s">
        <v>94</v>
      </c>
      <c r="B1620" t="s">
        <v>381</v>
      </c>
      <c r="C1620" t="s">
        <v>348</v>
      </c>
      <c r="D1620" t="s">
        <v>174</v>
      </c>
      <c r="E1620" t="s">
        <v>222</v>
      </c>
      <c r="F1620" t="s">
        <v>99</v>
      </c>
      <c r="G1620">
        <v>24863</v>
      </c>
      <c r="H1620" t="s">
        <v>385</v>
      </c>
      <c r="I1620">
        <v>2</v>
      </c>
      <c r="J1620" t="s">
        <v>105</v>
      </c>
      <c r="K1620" s="19">
        <v>0.60416666666666663</v>
      </c>
      <c r="L1620" s="19">
        <v>0.95833333333333337</v>
      </c>
      <c r="M1620">
        <v>8.5</v>
      </c>
      <c r="N1620">
        <v>300.14999999999998</v>
      </c>
      <c r="O1620">
        <v>64</v>
      </c>
      <c r="P1620">
        <v>76</v>
      </c>
      <c r="Q1620" t="s">
        <v>99</v>
      </c>
      <c r="R1620">
        <v>30</v>
      </c>
      <c r="S1620" s="19">
        <v>0.8125</v>
      </c>
      <c r="T1620">
        <v>0</v>
      </c>
      <c r="U1620" s="19"/>
      <c r="V1620" t="s">
        <v>99</v>
      </c>
      <c r="W1620">
        <v>8</v>
      </c>
      <c r="X1620" t="s">
        <v>102</v>
      </c>
      <c r="Y1620" t="b">
        <v>0</v>
      </c>
    </row>
    <row r="1621" spans="1:25" x14ac:dyDescent="0.55000000000000004">
      <c r="A1621" t="s">
        <v>94</v>
      </c>
      <c r="B1621" t="s">
        <v>381</v>
      </c>
      <c r="C1621" t="s">
        <v>348</v>
      </c>
      <c r="D1621" t="s">
        <v>174</v>
      </c>
      <c r="E1621" t="s">
        <v>222</v>
      </c>
      <c r="F1621" t="s">
        <v>390</v>
      </c>
      <c r="H1621" t="s">
        <v>99</v>
      </c>
      <c r="I1621">
        <v>1</v>
      </c>
      <c r="J1621" t="s">
        <v>107</v>
      </c>
      <c r="K1621" s="19">
        <v>0.60416666666666663</v>
      </c>
      <c r="L1621" s="19">
        <v>0.95833333333333337</v>
      </c>
      <c r="M1621">
        <v>8.5</v>
      </c>
      <c r="N1621">
        <v>300.14999999999998</v>
      </c>
      <c r="O1621">
        <v>0</v>
      </c>
      <c r="P1621">
        <v>0</v>
      </c>
      <c r="Q1621" t="s">
        <v>99</v>
      </c>
      <c r="R1621">
        <v>30</v>
      </c>
      <c r="S1621" s="19">
        <v>0.8125</v>
      </c>
      <c r="T1621">
        <v>0</v>
      </c>
      <c r="U1621" s="19"/>
      <c r="V1621" t="s">
        <v>99</v>
      </c>
      <c r="W1621">
        <v>8</v>
      </c>
      <c r="X1621" t="s">
        <v>102</v>
      </c>
      <c r="Y1621" t="b">
        <v>0</v>
      </c>
    </row>
    <row r="1622" spans="1:25" x14ac:dyDescent="0.55000000000000004">
      <c r="A1622" t="s">
        <v>94</v>
      </c>
      <c r="B1622" t="s">
        <v>381</v>
      </c>
      <c r="C1622" t="s">
        <v>348</v>
      </c>
      <c r="D1622" t="s">
        <v>174</v>
      </c>
      <c r="E1622" t="s">
        <v>222</v>
      </c>
      <c r="F1622" t="s">
        <v>390</v>
      </c>
      <c r="H1622" t="s">
        <v>99</v>
      </c>
      <c r="I1622">
        <v>1</v>
      </c>
      <c r="J1622" t="s">
        <v>115</v>
      </c>
      <c r="K1622" s="19">
        <v>0.60416666666666663</v>
      </c>
      <c r="L1622" s="19">
        <v>0.95833333333333337</v>
      </c>
      <c r="M1622">
        <v>8.5</v>
      </c>
      <c r="N1622">
        <v>400.2</v>
      </c>
      <c r="O1622">
        <v>0</v>
      </c>
      <c r="P1622">
        <v>0</v>
      </c>
      <c r="Q1622" t="s">
        <v>99</v>
      </c>
      <c r="R1622">
        <v>30</v>
      </c>
      <c r="S1622" s="19">
        <v>0.8125</v>
      </c>
      <c r="T1622">
        <v>0</v>
      </c>
      <c r="U1622" s="19"/>
      <c r="V1622" t="s">
        <v>99</v>
      </c>
      <c r="W1622">
        <v>8</v>
      </c>
      <c r="X1622" t="s">
        <v>102</v>
      </c>
      <c r="Y1622" t="b">
        <v>0</v>
      </c>
    </row>
    <row r="1623" spans="1:25" x14ac:dyDescent="0.55000000000000004">
      <c r="A1623" t="s">
        <v>94</v>
      </c>
      <c r="B1623" t="s">
        <v>381</v>
      </c>
      <c r="C1623" t="s">
        <v>348</v>
      </c>
      <c r="D1623" t="s">
        <v>174</v>
      </c>
      <c r="E1623" t="s">
        <v>222</v>
      </c>
      <c r="F1623" t="s">
        <v>390</v>
      </c>
      <c r="H1623" t="s">
        <v>99</v>
      </c>
      <c r="I1623">
        <v>1</v>
      </c>
      <c r="J1623" t="s">
        <v>103</v>
      </c>
      <c r="K1623" s="19">
        <v>0.60416666666666663</v>
      </c>
      <c r="L1623" s="19">
        <v>0.95833333333333337</v>
      </c>
      <c r="M1623">
        <v>8.5</v>
      </c>
      <c r="N1623">
        <v>300.14999999999998</v>
      </c>
      <c r="O1623">
        <v>0</v>
      </c>
      <c r="P1623">
        <v>0</v>
      </c>
      <c r="Q1623" t="s">
        <v>99</v>
      </c>
      <c r="R1623">
        <v>30</v>
      </c>
      <c r="S1623" s="19">
        <v>0.8125</v>
      </c>
      <c r="T1623">
        <v>0</v>
      </c>
      <c r="U1623" s="19"/>
      <c r="V1623" t="s">
        <v>99</v>
      </c>
      <c r="W1623">
        <v>8</v>
      </c>
      <c r="X1623" t="s">
        <v>102</v>
      </c>
      <c r="Y1623" t="b">
        <v>0</v>
      </c>
    </row>
    <row r="1624" spans="1:25" x14ac:dyDescent="0.55000000000000004">
      <c r="A1624" t="s">
        <v>94</v>
      </c>
      <c r="B1624" t="s">
        <v>381</v>
      </c>
      <c r="C1624" t="s">
        <v>348</v>
      </c>
      <c r="D1624" t="s">
        <v>174</v>
      </c>
      <c r="E1624" t="s">
        <v>222</v>
      </c>
      <c r="F1624" t="s">
        <v>390</v>
      </c>
      <c r="H1624" t="s">
        <v>99</v>
      </c>
      <c r="I1624">
        <v>2</v>
      </c>
      <c r="J1624" t="s">
        <v>115</v>
      </c>
      <c r="K1624" s="19">
        <v>0.60416666666666663</v>
      </c>
      <c r="L1624" s="19">
        <v>0.95833333333333337</v>
      </c>
      <c r="M1624">
        <v>8.5</v>
      </c>
      <c r="N1624">
        <v>400.2</v>
      </c>
      <c r="O1624">
        <v>0</v>
      </c>
      <c r="P1624">
        <v>0</v>
      </c>
      <c r="Q1624" t="s">
        <v>99</v>
      </c>
      <c r="R1624">
        <v>30</v>
      </c>
      <c r="S1624" s="19">
        <v>0.8125</v>
      </c>
      <c r="T1624">
        <v>0</v>
      </c>
      <c r="U1624" s="19"/>
      <c r="V1624" t="s">
        <v>99</v>
      </c>
      <c r="W1624">
        <v>8</v>
      </c>
      <c r="X1624" t="s">
        <v>102</v>
      </c>
      <c r="Y1624" t="b">
        <v>0</v>
      </c>
    </row>
    <row r="1625" spans="1:25" x14ac:dyDescent="0.55000000000000004">
      <c r="A1625" t="s">
        <v>94</v>
      </c>
      <c r="B1625" t="s">
        <v>381</v>
      </c>
      <c r="C1625" t="s">
        <v>348</v>
      </c>
      <c r="D1625" t="s">
        <v>174</v>
      </c>
      <c r="E1625" t="s">
        <v>222</v>
      </c>
      <c r="F1625" t="s">
        <v>390</v>
      </c>
      <c r="H1625" t="s">
        <v>99</v>
      </c>
      <c r="I1625">
        <v>2</v>
      </c>
      <c r="J1625" t="s">
        <v>116</v>
      </c>
      <c r="K1625" s="19">
        <v>0.60416666666666663</v>
      </c>
      <c r="L1625" s="19">
        <v>0.95833333333333337</v>
      </c>
      <c r="M1625">
        <v>8.5</v>
      </c>
      <c r="N1625">
        <v>466.9</v>
      </c>
      <c r="O1625">
        <v>0</v>
      </c>
      <c r="P1625">
        <v>0</v>
      </c>
      <c r="Q1625" t="s">
        <v>99</v>
      </c>
      <c r="R1625">
        <v>30</v>
      </c>
      <c r="S1625" s="19">
        <v>0.8125</v>
      </c>
      <c r="T1625">
        <v>0</v>
      </c>
      <c r="U1625" s="19"/>
      <c r="V1625" t="s">
        <v>99</v>
      </c>
      <c r="W1625">
        <v>8</v>
      </c>
      <c r="X1625" t="s">
        <v>102</v>
      </c>
      <c r="Y1625" t="b">
        <v>0</v>
      </c>
    </row>
    <row r="1626" spans="1:25" x14ac:dyDescent="0.55000000000000004">
      <c r="A1626" t="s">
        <v>94</v>
      </c>
      <c r="B1626" t="s">
        <v>381</v>
      </c>
      <c r="C1626" t="s">
        <v>348</v>
      </c>
      <c r="D1626" t="s">
        <v>174</v>
      </c>
      <c r="E1626" t="s">
        <v>222</v>
      </c>
      <c r="F1626" t="s">
        <v>390</v>
      </c>
      <c r="H1626" t="s">
        <v>99</v>
      </c>
      <c r="I1626">
        <v>2</v>
      </c>
      <c r="J1626" t="s">
        <v>104</v>
      </c>
      <c r="K1626" s="19">
        <v>0.60416666666666663</v>
      </c>
      <c r="L1626" s="19">
        <v>0.9375</v>
      </c>
      <c r="M1626">
        <v>8</v>
      </c>
      <c r="N1626">
        <v>281.39</v>
      </c>
      <c r="O1626">
        <v>0</v>
      </c>
      <c r="P1626">
        <v>0</v>
      </c>
      <c r="Q1626" t="s">
        <v>99</v>
      </c>
      <c r="R1626">
        <v>30</v>
      </c>
      <c r="S1626" s="19">
        <v>0.8125</v>
      </c>
      <c r="T1626">
        <v>0</v>
      </c>
      <c r="U1626" s="19"/>
      <c r="V1626" t="s">
        <v>99</v>
      </c>
      <c r="W1626">
        <v>7.5</v>
      </c>
      <c r="X1626" t="s">
        <v>102</v>
      </c>
      <c r="Y1626" t="b">
        <v>0</v>
      </c>
    </row>
    <row r="1627" spans="1:25" x14ac:dyDescent="0.55000000000000004">
      <c r="A1627" t="s">
        <v>94</v>
      </c>
      <c r="B1627" t="s">
        <v>381</v>
      </c>
      <c r="C1627" t="s">
        <v>348</v>
      </c>
      <c r="D1627" t="s">
        <v>174</v>
      </c>
      <c r="E1627" t="s">
        <v>222</v>
      </c>
      <c r="F1627" t="s">
        <v>390</v>
      </c>
      <c r="G1627">
        <v>23873</v>
      </c>
      <c r="H1627" t="s">
        <v>405</v>
      </c>
      <c r="I1627">
        <v>1</v>
      </c>
      <c r="J1627" t="s">
        <v>116</v>
      </c>
      <c r="K1627" s="19">
        <v>0.60416666666666663</v>
      </c>
      <c r="L1627" s="19">
        <v>0.95833333333333337</v>
      </c>
      <c r="M1627">
        <v>8.5</v>
      </c>
      <c r="N1627">
        <v>491.54</v>
      </c>
      <c r="O1627">
        <v>76</v>
      </c>
      <c r="P1627">
        <v>76</v>
      </c>
      <c r="Q1627" t="s">
        <v>99</v>
      </c>
      <c r="R1627">
        <v>30</v>
      </c>
      <c r="S1627" s="19">
        <v>0.8125</v>
      </c>
      <c r="T1627">
        <v>0</v>
      </c>
      <c r="U1627" s="19"/>
      <c r="V1627" t="s">
        <v>99</v>
      </c>
      <c r="W1627">
        <v>8</v>
      </c>
      <c r="X1627" t="s">
        <v>102</v>
      </c>
      <c r="Y1627" t="b">
        <v>0</v>
      </c>
    </row>
    <row r="1628" spans="1:25" x14ac:dyDescent="0.55000000000000004">
      <c r="A1628" t="s">
        <v>94</v>
      </c>
      <c r="B1628" t="s">
        <v>381</v>
      </c>
      <c r="C1628" t="s">
        <v>348</v>
      </c>
      <c r="D1628" t="s">
        <v>174</v>
      </c>
      <c r="E1628" t="s">
        <v>222</v>
      </c>
      <c r="F1628" t="s">
        <v>390</v>
      </c>
      <c r="G1628">
        <v>23873</v>
      </c>
      <c r="H1628" t="s">
        <v>405</v>
      </c>
      <c r="I1628">
        <v>2</v>
      </c>
      <c r="J1628" t="s">
        <v>101</v>
      </c>
      <c r="K1628" s="19">
        <v>0.60416666666666663</v>
      </c>
      <c r="L1628" s="19">
        <v>0.95833333333333337</v>
      </c>
      <c r="M1628">
        <v>8.5</v>
      </c>
      <c r="N1628">
        <v>315.99</v>
      </c>
      <c r="O1628">
        <v>76</v>
      </c>
      <c r="P1628">
        <v>76</v>
      </c>
      <c r="Q1628" t="s">
        <v>99</v>
      </c>
      <c r="R1628">
        <v>30</v>
      </c>
      <c r="S1628" s="19">
        <v>0.8125</v>
      </c>
      <c r="T1628">
        <v>0</v>
      </c>
      <c r="U1628" s="19"/>
      <c r="V1628" t="s">
        <v>99</v>
      </c>
      <c r="W1628">
        <v>8</v>
      </c>
      <c r="X1628" t="s">
        <v>102</v>
      </c>
      <c r="Y1628" t="b">
        <v>0</v>
      </c>
    </row>
    <row r="1629" spans="1:25" x14ac:dyDescent="0.55000000000000004">
      <c r="A1629" t="s">
        <v>94</v>
      </c>
      <c r="B1629" t="s">
        <v>381</v>
      </c>
      <c r="C1629" t="s">
        <v>348</v>
      </c>
      <c r="D1629" t="s">
        <v>174</v>
      </c>
      <c r="E1629" t="s">
        <v>222</v>
      </c>
      <c r="F1629" t="s">
        <v>390</v>
      </c>
      <c r="G1629">
        <v>23877</v>
      </c>
      <c r="H1629" t="s">
        <v>399</v>
      </c>
      <c r="I1629">
        <v>2</v>
      </c>
      <c r="J1629" t="s">
        <v>105</v>
      </c>
      <c r="K1629" s="19">
        <v>0.60416666666666663</v>
      </c>
      <c r="L1629" s="19">
        <v>0.95833333333333337</v>
      </c>
      <c r="M1629">
        <v>8.5</v>
      </c>
      <c r="N1629">
        <v>315.99</v>
      </c>
      <c r="O1629">
        <v>76</v>
      </c>
      <c r="P1629">
        <v>76</v>
      </c>
      <c r="Q1629" t="s">
        <v>99</v>
      </c>
      <c r="R1629">
        <v>30</v>
      </c>
      <c r="S1629" s="19">
        <v>0.8125</v>
      </c>
      <c r="T1629">
        <v>0</v>
      </c>
      <c r="U1629" s="19"/>
      <c r="V1629" t="s">
        <v>99</v>
      </c>
      <c r="W1629">
        <v>8</v>
      </c>
      <c r="X1629" t="s">
        <v>102</v>
      </c>
      <c r="Y1629" t="b">
        <v>0</v>
      </c>
    </row>
    <row r="1630" spans="1:25" x14ac:dyDescent="0.55000000000000004">
      <c r="A1630" t="s">
        <v>94</v>
      </c>
      <c r="B1630" t="s">
        <v>381</v>
      </c>
      <c r="C1630" t="s">
        <v>348</v>
      </c>
      <c r="D1630" t="s">
        <v>174</v>
      </c>
      <c r="E1630" t="s">
        <v>222</v>
      </c>
      <c r="F1630" t="s">
        <v>390</v>
      </c>
      <c r="G1630">
        <v>23884</v>
      </c>
      <c r="H1630" t="s">
        <v>406</v>
      </c>
      <c r="I1630">
        <v>1</v>
      </c>
      <c r="J1630" t="s">
        <v>101</v>
      </c>
      <c r="K1630" s="19">
        <v>0.60416666666666663</v>
      </c>
      <c r="L1630" s="19">
        <v>0.95833333333333337</v>
      </c>
      <c r="M1630">
        <v>8.5</v>
      </c>
      <c r="N1630">
        <v>315.99</v>
      </c>
      <c r="O1630">
        <v>76</v>
      </c>
      <c r="P1630">
        <v>76</v>
      </c>
      <c r="Q1630" t="s">
        <v>99</v>
      </c>
      <c r="R1630">
        <v>30</v>
      </c>
      <c r="S1630" s="19">
        <v>0.8125</v>
      </c>
      <c r="T1630">
        <v>0</v>
      </c>
      <c r="U1630" s="19"/>
      <c r="V1630" t="s">
        <v>99</v>
      </c>
      <c r="W1630">
        <v>8</v>
      </c>
      <c r="X1630" t="s">
        <v>102</v>
      </c>
      <c r="Y1630" t="b">
        <v>0</v>
      </c>
    </row>
    <row r="1631" spans="1:25" x14ac:dyDescent="0.55000000000000004">
      <c r="A1631" t="s">
        <v>94</v>
      </c>
      <c r="B1631" t="s">
        <v>381</v>
      </c>
      <c r="C1631" t="s">
        <v>348</v>
      </c>
      <c r="D1631" t="s">
        <v>174</v>
      </c>
      <c r="E1631" t="s">
        <v>222</v>
      </c>
      <c r="F1631" t="s">
        <v>390</v>
      </c>
      <c r="G1631">
        <v>23884</v>
      </c>
      <c r="H1631" t="s">
        <v>406</v>
      </c>
      <c r="I1631">
        <v>2</v>
      </c>
      <c r="J1631" t="s">
        <v>103</v>
      </c>
      <c r="K1631" s="19">
        <v>0.60416666666666663</v>
      </c>
      <c r="L1631" s="19">
        <v>0.95833333333333337</v>
      </c>
      <c r="M1631">
        <v>8.5</v>
      </c>
      <c r="N1631">
        <v>315.99</v>
      </c>
      <c r="O1631">
        <v>76</v>
      </c>
      <c r="P1631">
        <v>76</v>
      </c>
      <c r="Q1631" t="s">
        <v>99</v>
      </c>
      <c r="R1631">
        <v>30</v>
      </c>
      <c r="S1631" s="19">
        <v>0.8125</v>
      </c>
      <c r="T1631">
        <v>0</v>
      </c>
      <c r="U1631" s="19"/>
      <c r="V1631" t="s">
        <v>99</v>
      </c>
      <c r="W1631">
        <v>8</v>
      </c>
      <c r="X1631" t="s">
        <v>102</v>
      </c>
      <c r="Y1631" t="b">
        <v>0</v>
      </c>
    </row>
    <row r="1632" spans="1:25" x14ac:dyDescent="0.55000000000000004">
      <c r="A1632" t="s">
        <v>94</v>
      </c>
      <c r="B1632" t="s">
        <v>381</v>
      </c>
      <c r="C1632" t="s">
        <v>348</v>
      </c>
      <c r="D1632" t="s">
        <v>174</v>
      </c>
      <c r="E1632" t="s">
        <v>222</v>
      </c>
      <c r="F1632" t="s">
        <v>390</v>
      </c>
      <c r="G1632">
        <v>25187</v>
      </c>
      <c r="H1632" t="s">
        <v>386</v>
      </c>
      <c r="I1632">
        <v>1</v>
      </c>
      <c r="J1632" t="s">
        <v>104</v>
      </c>
      <c r="K1632" s="19">
        <v>0.60416666666666663</v>
      </c>
      <c r="L1632" s="19">
        <v>0.95833333333333337</v>
      </c>
      <c r="M1632">
        <v>8.5</v>
      </c>
      <c r="N1632">
        <v>315.99</v>
      </c>
      <c r="O1632">
        <v>76</v>
      </c>
      <c r="P1632">
        <v>76</v>
      </c>
      <c r="Q1632" t="s">
        <v>99</v>
      </c>
      <c r="R1632">
        <v>30</v>
      </c>
      <c r="S1632" s="19">
        <v>0.8125</v>
      </c>
      <c r="T1632">
        <v>0</v>
      </c>
      <c r="U1632" s="19"/>
      <c r="V1632" t="s">
        <v>99</v>
      </c>
      <c r="W1632">
        <v>8</v>
      </c>
      <c r="X1632" t="s">
        <v>102</v>
      </c>
      <c r="Y1632" t="b">
        <v>0</v>
      </c>
    </row>
    <row r="1633" spans="1:25" x14ac:dyDescent="0.55000000000000004">
      <c r="A1633" t="s">
        <v>94</v>
      </c>
      <c r="B1633" t="s">
        <v>381</v>
      </c>
      <c r="C1633" t="s">
        <v>348</v>
      </c>
      <c r="D1633" t="s">
        <v>174</v>
      </c>
      <c r="E1633" t="s">
        <v>222</v>
      </c>
      <c r="F1633" t="s">
        <v>390</v>
      </c>
      <c r="G1633">
        <v>25187</v>
      </c>
      <c r="H1633" t="s">
        <v>386</v>
      </c>
      <c r="I1633">
        <v>1</v>
      </c>
      <c r="J1633" t="s">
        <v>105</v>
      </c>
      <c r="K1633" s="19">
        <v>0.60416666666666663</v>
      </c>
      <c r="L1633" s="19">
        <v>0.95833333333333337</v>
      </c>
      <c r="M1633">
        <v>8.5</v>
      </c>
      <c r="N1633">
        <v>315.99</v>
      </c>
      <c r="O1633">
        <v>76</v>
      </c>
      <c r="P1633">
        <v>76</v>
      </c>
      <c r="Q1633" t="s">
        <v>99</v>
      </c>
      <c r="R1633">
        <v>30</v>
      </c>
      <c r="S1633" s="19">
        <v>0.8125</v>
      </c>
      <c r="T1633">
        <v>0</v>
      </c>
      <c r="U1633" s="19"/>
      <c r="V1633" t="s">
        <v>99</v>
      </c>
      <c r="W1633">
        <v>8</v>
      </c>
      <c r="X1633" t="s">
        <v>102</v>
      </c>
      <c r="Y1633" t="b">
        <v>0</v>
      </c>
    </row>
    <row r="1634" spans="1:25" x14ac:dyDescent="0.55000000000000004">
      <c r="A1634" t="s">
        <v>94</v>
      </c>
      <c r="B1634" t="s">
        <v>381</v>
      </c>
      <c r="C1634" t="s">
        <v>348</v>
      </c>
      <c r="D1634" t="s">
        <v>174</v>
      </c>
      <c r="E1634" t="s">
        <v>222</v>
      </c>
      <c r="F1634" t="s">
        <v>390</v>
      </c>
      <c r="G1634">
        <v>25588</v>
      </c>
      <c r="H1634" t="s">
        <v>389</v>
      </c>
      <c r="I1634">
        <v>2</v>
      </c>
      <c r="J1634" t="s">
        <v>107</v>
      </c>
      <c r="K1634" s="19">
        <v>0.60416666666666663</v>
      </c>
      <c r="L1634" s="19">
        <v>0.95833333333333337</v>
      </c>
      <c r="M1634">
        <v>8.5</v>
      </c>
      <c r="N1634">
        <v>300.14999999999998</v>
      </c>
      <c r="O1634">
        <v>40</v>
      </c>
      <c r="P1634">
        <v>76</v>
      </c>
      <c r="Q1634" t="s">
        <v>99</v>
      </c>
      <c r="R1634">
        <v>30</v>
      </c>
      <c r="S1634" s="19">
        <v>0.8125</v>
      </c>
      <c r="T1634">
        <v>0</v>
      </c>
      <c r="U1634" s="19"/>
      <c r="V1634" t="s">
        <v>99</v>
      </c>
      <c r="W1634">
        <v>8</v>
      </c>
      <c r="X1634" t="s">
        <v>102</v>
      </c>
      <c r="Y1634" t="b">
        <v>0</v>
      </c>
    </row>
    <row r="1635" spans="1:25" x14ac:dyDescent="0.55000000000000004">
      <c r="A1635" t="s">
        <v>94</v>
      </c>
      <c r="B1635" t="s">
        <v>381</v>
      </c>
      <c r="C1635" t="s">
        <v>348</v>
      </c>
      <c r="D1635" t="s">
        <v>174</v>
      </c>
      <c r="E1635" t="s">
        <v>222</v>
      </c>
      <c r="F1635" t="s">
        <v>392</v>
      </c>
      <c r="H1635" t="s">
        <v>99</v>
      </c>
      <c r="I1635">
        <v>1</v>
      </c>
      <c r="J1635" t="s">
        <v>116</v>
      </c>
      <c r="K1635" s="19">
        <v>0.60416666666666663</v>
      </c>
      <c r="L1635" s="19">
        <v>0.95833333333333337</v>
      </c>
      <c r="M1635">
        <v>8.5</v>
      </c>
      <c r="N1635">
        <v>466.9</v>
      </c>
      <c r="O1635">
        <v>0</v>
      </c>
      <c r="P1635">
        <v>0</v>
      </c>
      <c r="Q1635" t="s">
        <v>99</v>
      </c>
      <c r="R1635">
        <v>30</v>
      </c>
      <c r="S1635" s="19">
        <v>0.8125</v>
      </c>
      <c r="T1635">
        <v>0</v>
      </c>
      <c r="U1635" s="19"/>
      <c r="V1635" t="s">
        <v>99</v>
      </c>
      <c r="W1635">
        <v>8</v>
      </c>
      <c r="X1635" t="s">
        <v>102</v>
      </c>
      <c r="Y1635" t="b">
        <v>0</v>
      </c>
    </row>
    <row r="1636" spans="1:25" x14ac:dyDescent="0.55000000000000004">
      <c r="A1636" t="s">
        <v>94</v>
      </c>
      <c r="B1636" t="s">
        <v>381</v>
      </c>
      <c r="C1636" t="s">
        <v>348</v>
      </c>
      <c r="D1636" t="s">
        <v>174</v>
      </c>
      <c r="E1636" t="s">
        <v>222</v>
      </c>
      <c r="F1636" t="s">
        <v>392</v>
      </c>
      <c r="H1636" t="s">
        <v>99</v>
      </c>
      <c r="I1636">
        <v>1</v>
      </c>
      <c r="J1636" t="s">
        <v>104</v>
      </c>
      <c r="K1636" s="19">
        <v>0.60416666666666663</v>
      </c>
      <c r="L1636" s="19">
        <v>0.95833333333333337</v>
      </c>
      <c r="M1636">
        <v>8.5</v>
      </c>
      <c r="N1636">
        <v>300.14999999999998</v>
      </c>
      <c r="O1636">
        <v>0</v>
      </c>
      <c r="P1636">
        <v>0</v>
      </c>
      <c r="Q1636" t="s">
        <v>99</v>
      </c>
      <c r="R1636">
        <v>30</v>
      </c>
      <c r="S1636" s="19">
        <v>0.8125</v>
      </c>
      <c r="T1636">
        <v>0</v>
      </c>
      <c r="U1636" s="19"/>
      <c r="V1636" t="s">
        <v>99</v>
      </c>
      <c r="W1636">
        <v>8</v>
      </c>
      <c r="X1636" t="s">
        <v>102</v>
      </c>
      <c r="Y1636" t="b">
        <v>0</v>
      </c>
    </row>
    <row r="1637" spans="1:25" x14ac:dyDescent="0.55000000000000004">
      <c r="A1637" t="s">
        <v>94</v>
      </c>
      <c r="B1637" t="s">
        <v>381</v>
      </c>
      <c r="C1637" t="s">
        <v>348</v>
      </c>
      <c r="D1637" t="s">
        <v>174</v>
      </c>
      <c r="E1637" t="s">
        <v>222</v>
      </c>
      <c r="F1637" t="s">
        <v>392</v>
      </c>
      <c r="H1637" t="s">
        <v>99</v>
      </c>
      <c r="I1637">
        <v>2</v>
      </c>
      <c r="J1637" t="s">
        <v>107</v>
      </c>
      <c r="K1637" s="19">
        <v>0.60416666666666663</v>
      </c>
      <c r="L1637" s="19">
        <v>0.95833333333333337</v>
      </c>
      <c r="M1637">
        <v>8.5</v>
      </c>
      <c r="N1637">
        <v>300.14999999999998</v>
      </c>
      <c r="O1637">
        <v>0</v>
      </c>
      <c r="P1637">
        <v>0</v>
      </c>
      <c r="Q1637" t="s">
        <v>99</v>
      </c>
      <c r="R1637">
        <v>30</v>
      </c>
      <c r="S1637" s="19">
        <v>0.8125</v>
      </c>
      <c r="T1637">
        <v>0</v>
      </c>
      <c r="U1637" s="19"/>
      <c r="V1637" t="s">
        <v>99</v>
      </c>
      <c r="W1637">
        <v>8</v>
      </c>
      <c r="X1637" t="s">
        <v>102</v>
      </c>
      <c r="Y1637" t="b">
        <v>0</v>
      </c>
    </row>
    <row r="1638" spans="1:25" x14ac:dyDescent="0.55000000000000004">
      <c r="A1638" t="s">
        <v>94</v>
      </c>
      <c r="B1638" t="s">
        <v>381</v>
      </c>
      <c r="C1638" t="s">
        <v>348</v>
      </c>
      <c r="D1638" t="s">
        <v>174</v>
      </c>
      <c r="E1638" t="s">
        <v>222</v>
      </c>
      <c r="F1638" t="s">
        <v>392</v>
      </c>
      <c r="H1638" t="s">
        <v>99</v>
      </c>
      <c r="I1638">
        <v>2</v>
      </c>
      <c r="J1638" t="s">
        <v>101</v>
      </c>
      <c r="K1638" s="19">
        <v>0.60416666666666663</v>
      </c>
      <c r="L1638" s="19">
        <v>0.95833333333333337</v>
      </c>
      <c r="M1638">
        <v>8.5</v>
      </c>
      <c r="N1638">
        <v>300.14999999999998</v>
      </c>
      <c r="O1638">
        <v>0</v>
      </c>
      <c r="P1638">
        <v>0</v>
      </c>
      <c r="Q1638" t="s">
        <v>99</v>
      </c>
      <c r="R1638">
        <v>30</v>
      </c>
      <c r="S1638" s="19">
        <v>0.8125</v>
      </c>
      <c r="T1638">
        <v>0</v>
      </c>
      <c r="U1638" s="19"/>
      <c r="V1638" t="s">
        <v>99</v>
      </c>
      <c r="W1638">
        <v>8</v>
      </c>
      <c r="X1638" t="s">
        <v>102</v>
      </c>
      <c r="Y1638" t="b">
        <v>0</v>
      </c>
    </row>
    <row r="1639" spans="1:25" x14ac:dyDescent="0.55000000000000004">
      <c r="A1639" t="s">
        <v>94</v>
      </c>
      <c r="B1639" t="s">
        <v>381</v>
      </c>
      <c r="C1639" t="s">
        <v>348</v>
      </c>
      <c r="D1639" t="s">
        <v>174</v>
      </c>
      <c r="E1639" t="s">
        <v>222</v>
      </c>
      <c r="F1639" t="s">
        <v>392</v>
      </c>
      <c r="H1639" t="s">
        <v>99</v>
      </c>
      <c r="I1639">
        <v>2</v>
      </c>
      <c r="J1639" t="s">
        <v>103</v>
      </c>
      <c r="K1639" s="19">
        <v>0.60416666666666663</v>
      </c>
      <c r="L1639" s="19">
        <v>0.95833333333333337</v>
      </c>
      <c r="M1639">
        <v>8.5</v>
      </c>
      <c r="N1639">
        <v>300.14999999999998</v>
      </c>
      <c r="O1639">
        <v>0</v>
      </c>
      <c r="P1639">
        <v>0</v>
      </c>
      <c r="Q1639" t="s">
        <v>99</v>
      </c>
      <c r="R1639">
        <v>30</v>
      </c>
      <c r="S1639" s="19">
        <v>0.8125</v>
      </c>
      <c r="T1639">
        <v>0</v>
      </c>
      <c r="U1639" s="19"/>
      <c r="V1639" t="s">
        <v>99</v>
      </c>
      <c r="W1639">
        <v>8</v>
      </c>
      <c r="X1639" t="s">
        <v>102</v>
      </c>
      <c r="Y1639" t="b">
        <v>0</v>
      </c>
    </row>
    <row r="1640" spans="1:25" x14ac:dyDescent="0.55000000000000004">
      <c r="A1640" t="s">
        <v>94</v>
      </c>
      <c r="B1640" t="s">
        <v>381</v>
      </c>
      <c r="C1640" t="s">
        <v>348</v>
      </c>
      <c r="D1640" t="s">
        <v>174</v>
      </c>
      <c r="E1640" t="s">
        <v>222</v>
      </c>
      <c r="F1640" t="s">
        <v>392</v>
      </c>
      <c r="H1640" t="s">
        <v>99</v>
      </c>
      <c r="I1640">
        <v>2</v>
      </c>
      <c r="J1640" t="s">
        <v>104</v>
      </c>
      <c r="K1640" s="19">
        <v>0.60416666666666663</v>
      </c>
      <c r="L1640" s="19">
        <v>0.95833333333333337</v>
      </c>
      <c r="M1640">
        <v>8.5</v>
      </c>
      <c r="N1640">
        <v>300.14999999999998</v>
      </c>
      <c r="O1640">
        <v>0</v>
      </c>
      <c r="P1640">
        <v>0</v>
      </c>
      <c r="Q1640" t="s">
        <v>99</v>
      </c>
      <c r="R1640">
        <v>30</v>
      </c>
      <c r="S1640" s="19">
        <v>0.8125</v>
      </c>
      <c r="T1640">
        <v>0</v>
      </c>
      <c r="U1640" s="19"/>
      <c r="V1640" t="s">
        <v>99</v>
      </c>
      <c r="W1640">
        <v>8</v>
      </c>
      <c r="X1640" t="s">
        <v>102</v>
      </c>
      <c r="Y1640" t="b">
        <v>0</v>
      </c>
    </row>
    <row r="1641" spans="1:25" x14ac:dyDescent="0.55000000000000004">
      <c r="A1641" t="s">
        <v>94</v>
      </c>
      <c r="B1641" t="s">
        <v>381</v>
      </c>
      <c r="C1641" t="s">
        <v>348</v>
      </c>
      <c r="D1641" t="s">
        <v>174</v>
      </c>
      <c r="E1641" t="s">
        <v>222</v>
      </c>
      <c r="F1641" t="s">
        <v>392</v>
      </c>
      <c r="G1641">
        <v>22436</v>
      </c>
      <c r="H1641" t="s">
        <v>404</v>
      </c>
      <c r="I1641">
        <v>1</v>
      </c>
      <c r="J1641" t="s">
        <v>101</v>
      </c>
      <c r="K1641" s="19">
        <v>0.60416666666666663</v>
      </c>
      <c r="L1641" s="19">
        <v>0.95833333333333337</v>
      </c>
      <c r="M1641">
        <v>8.5</v>
      </c>
      <c r="N1641">
        <v>319.68</v>
      </c>
      <c r="O1641">
        <v>56</v>
      </c>
      <c r="P1641">
        <v>76</v>
      </c>
      <c r="Q1641" t="s">
        <v>99</v>
      </c>
      <c r="R1641">
        <v>30</v>
      </c>
      <c r="S1641" s="19">
        <v>0.8125</v>
      </c>
      <c r="T1641">
        <v>0</v>
      </c>
      <c r="U1641" s="19"/>
      <c r="V1641" t="s">
        <v>99</v>
      </c>
      <c r="W1641">
        <v>8</v>
      </c>
      <c r="X1641" t="s">
        <v>102</v>
      </c>
      <c r="Y1641" t="b">
        <v>0</v>
      </c>
    </row>
    <row r="1642" spans="1:25" x14ac:dyDescent="0.55000000000000004">
      <c r="A1642" t="s">
        <v>94</v>
      </c>
      <c r="B1642" t="s">
        <v>381</v>
      </c>
      <c r="C1642" t="s">
        <v>348</v>
      </c>
      <c r="D1642" t="s">
        <v>174</v>
      </c>
      <c r="E1642" t="s">
        <v>222</v>
      </c>
      <c r="F1642" t="s">
        <v>392</v>
      </c>
      <c r="G1642">
        <v>22436</v>
      </c>
      <c r="H1642" t="s">
        <v>404</v>
      </c>
      <c r="I1642">
        <v>1</v>
      </c>
      <c r="J1642" t="s">
        <v>103</v>
      </c>
      <c r="K1642" s="19">
        <v>0.60416666666666663</v>
      </c>
      <c r="L1642" s="19">
        <v>0.95833333333333337</v>
      </c>
      <c r="M1642">
        <v>8.5</v>
      </c>
      <c r="N1642">
        <v>319.68</v>
      </c>
      <c r="O1642">
        <v>56</v>
      </c>
      <c r="P1642">
        <v>76</v>
      </c>
      <c r="Q1642" t="s">
        <v>99</v>
      </c>
      <c r="R1642">
        <v>30</v>
      </c>
      <c r="S1642" s="19">
        <v>0.8125</v>
      </c>
      <c r="T1642">
        <v>0</v>
      </c>
      <c r="U1642" s="19"/>
      <c r="V1642" t="s">
        <v>99</v>
      </c>
      <c r="W1642">
        <v>8</v>
      </c>
      <c r="X1642" t="s">
        <v>102</v>
      </c>
      <c r="Y1642" t="b">
        <v>0</v>
      </c>
    </row>
    <row r="1643" spans="1:25" x14ac:dyDescent="0.55000000000000004">
      <c r="A1643" t="s">
        <v>94</v>
      </c>
      <c r="B1643" t="s">
        <v>381</v>
      </c>
      <c r="C1643" t="s">
        <v>348</v>
      </c>
      <c r="D1643" t="s">
        <v>174</v>
      </c>
      <c r="E1643" t="s">
        <v>222</v>
      </c>
      <c r="F1643" t="s">
        <v>392</v>
      </c>
      <c r="G1643">
        <v>22436</v>
      </c>
      <c r="H1643" t="s">
        <v>404</v>
      </c>
      <c r="I1643">
        <v>1</v>
      </c>
      <c r="J1643" t="s">
        <v>105</v>
      </c>
      <c r="K1643" s="19">
        <v>0.60416666666666663</v>
      </c>
      <c r="L1643" s="19">
        <v>0.95833333333333337</v>
      </c>
      <c r="M1643">
        <v>8.5</v>
      </c>
      <c r="N1643">
        <v>319.68</v>
      </c>
      <c r="O1643">
        <v>56</v>
      </c>
      <c r="P1643">
        <v>76</v>
      </c>
      <c r="Q1643" t="s">
        <v>99</v>
      </c>
      <c r="R1643">
        <v>30</v>
      </c>
      <c r="S1643" s="19">
        <v>0.8125</v>
      </c>
      <c r="T1643">
        <v>0</v>
      </c>
      <c r="U1643" s="19"/>
      <c r="V1643" t="s">
        <v>99</v>
      </c>
      <c r="W1643">
        <v>8</v>
      </c>
      <c r="X1643" t="s">
        <v>102</v>
      </c>
      <c r="Y1643" t="b">
        <v>0</v>
      </c>
    </row>
    <row r="1644" spans="1:25" x14ac:dyDescent="0.55000000000000004">
      <c r="A1644" t="s">
        <v>94</v>
      </c>
      <c r="B1644" t="s">
        <v>381</v>
      </c>
      <c r="C1644" t="s">
        <v>348</v>
      </c>
      <c r="D1644" t="s">
        <v>174</v>
      </c>
      <c r="E1644" t="s">
        <v>222</v>
      </c>
      <c r="F1644" t="s">
        <v>392</v>
      </c>
      <c r="G1644">
        <v>23873</v>
      </c>
      <c r="H1644" t="s">
        <v>405</v>
      </c>
      <c r="I1644">
        <v>2</v>
      </c>
      <c r="J1644" t="s">
        <v>115</v>
      </c>
      <c r="K1644" s="19">
        <v>0.60416666666666663</v>
      </c>
      <c r="L1644" s="19">
        <v>0.95833333333333337</v>
      </c>
      <c r="M1644">
        <v>8.5</v>
      </c>
      <c r="N1644">
        <v>421.32</v>
      </c>
      <c r="O1644">
        <v>76</v>
      </c>
      <c r="P1644">
        <v>76</v>
      </c>
      <c r="Q1644" t="s">
        <v>99</v>
      </c>
      <c r="R1644">
        <v>30</v>
      </c>
      <c r="S1644" s="19">
        <v>0.8125</v>
      </c>
      <c r="T1644">
        <v>0</v>
      </c>
      <c r="U1644" s="19"/>
      <c r="V1644" t="s">
        <v>99</v>
      </c>
      <c r="W1644">
        <v>8</v>
      </c>
      <c r="X1644" t="s">
        <v>102</v>
      </c>
      <c r="Y1644" t="b">
        <v>0</v>
      </c>
    </row>
    <row r="1645" spans="1:25" x14ac:dyDescent="0.55000000000000004">
      <c r="A1645" t="s">
        <v>94</v>
      </c>
      <c r="B1645" t="s">
        <v>381</v>
      </c>
      <c r="C1645" t="s">
        <v>348</v>
      </c>
      <c r="D1645" t="s">
        <v>174</v>
      </c>
      <c r="E1645" t="s">
        <v>222</v>
      </c>
      <c r="F1645" t="s">
        <v>392</v>
      </c>
      <c r="G1645">
        <v>23873</v>
      </c>
      <c r="H1645" t="s">
        <v>405</v>
      </c>
      <c r="I1645">
        <v>2</v>
      </c>
      <c r="J1645" t="s">
        <v>116</v>
      </c>
      <c r="K1645" s="19">
        <v>0.60416666666666663</v>
      </c>
      <c r="L1645" s="19">
        <v>0.95833333333333337</v>
      </c>
      <c r="M1645">
        <v>8.5</v>
      </c>
      <c r="N1645">
        <v>491.54</v>
      </c>
      <c r="O1645">
        <v>76</v>
      </c>
      <c r="P1645">
        <v>76</v>
      </c>
      <c r="Q1645" t="s">
        <v>99</v>
      </c>
      <c r="R1645">
        <v>30</v>
      </c>
      <c r="S1645" s="19">
        <v>0.8125</v>
      </c>
      <c r="T1645">
        <v>0</v>
      </c>
      <c r="U1645" s="19"/>
      <c r="V1645" t="s">
        <v>99</v>
      </c>
      <c r="W1645">
        <v>8</v>
      </c>
      <c r="X1645" t="s">
        <v>102</v>
      </c>
      <c r="Y1645" t="b">
        <v>0</v>
      </c>
    </row>
    <row r="1646" spans="1:25" x14ac:dyDescent="0.55000000000000004">
      <c r="A1646" t="s">
        <v>94</v>
      </c>
      <c r="B1646" t="s">
        <v>381</v>
      </c>
      <c r="C1646" t="s">
        <v>348</v>
      </c>
      <c r="D1646" t="s">
        <v>174</v>
      </c>
      <c r="E1646" t="s">
        <v>222</v>
      </c>
      <c r="F1646" t="s">
        <v>392</v>
      </c>
      <c r="G1646">
        <v>23873</v>
      </c>
      <c r="H1646" t="s">
        <v>405</v>
      </c>
      <c r="I1646">
        <v>2</v>
      </c>
      <c r="J1646" t="s">
        <v>105</v>
      </c>
      <c r="K1646" s="19">
        <v>0.60416666666666663</v>
      </c>
      <c r="L1646" s="19">
        <v>0.95833333333333337</v>
      </c>
      <c r="M1646">
        <v>8.5</v>
      </c>
      <c r="N1646">
        <v>315.99</v>
      </c>
      <c r="O1646">
        <v>76</v>
      </c>
      <c r="P1646">
        <v>76</v>
      </c>
      <c r="Q1646" t="s">
        <v>99</v>
      </c>
      <c r="R1646">
        <v>30</v>
      </c>
      <c r="S1646" s="19">
        <v>0.8125</v>
      </c>
      <c r="T1646">
        <v>0</v>
      </c>
      <c r="U1646" s="19"/>
      <c r="V1646" t="s">
        <v>99</v>
      </c>
      <c r="W1646">
        <v>8</v>
      </c>
      <c r="X1646" t="s">
        <v>102</v>
      </c>
      <c r="Y1646" t="b">
        <v>0</v>
      </c>
    </row>
    <row r="1647" spans="1:25" x14ac:dyDescent="0.55000000000000004">
      <c r="A1647" t="s">
        <v>94</v>
      </c>
      <c r="B1647" t="s">
        <v>381</v>
      </c>
      <c r="C1647" t="s">
        <v>348</v>
      </c>
      <c r="D1647" t="s">
        <v>174</v>
      </c>
      <c r="E1647" t="s">
        <v>222</v>
      </c>
      <c r="F1647" t="s">
        <v>392</v>
      </c>
      <c r="G1647">
        <v>23884</v>
      </c>
      <c r="H1647" t="s">
        <v>406</v>
      </c>
      <c r="I1647">
        <v>1</v>
      </c>
      <c r="J1647" t="s">
        <v>107</v>
      </c>
      <c r="K1647" s="19">
        <v>0.60416666666666663</v>
      </c>
      <c r="L1647" s="19">
        <v>0.95833333333333337</v>
      </c>
      <c r="M1647">
        <v>8.5</v>
      </c>
      <c r="N1647">
        <v>315.99</v>
      </c>
      <c r="O1647">
        <v>76</v>
      </c>
      <c r="P1647">
        <v>76</v>
      </c>
      <c r="Q1647" t="s">
        <v>99</v>
      </c>
      <c r="R1647">
        <v>30</v>
      </c>
      <c r="S1647" s="19">
        <v>0.8125</v>
      </c>
      <c r="T1647">
        <v>0</v>
      </c>
      <c r="U1647" s="19"/>
      <c r="V1647" t="s">
        <v>99</v>
      </c>
      <c r="W1647">
        <v>8</v>
      </c>
      <c r="X1647" t="s">
        <v>102</v>
      </c>
      <c r="Y1647" t="b">
        <v>0</v>
      </c>
    </row>
    <row r="1648" spans="1:25" x14ac:dyDescent="0.55000000000000004">
      <c r="A1648" t="s">
        <v>94</v>
      </c>
      <c r="B1648" t="s">
        <v>381</v>
      </c>
      <c r="C1648" t="s">
        <v>348</v>
      </c>
      <c r="D1648" t="s">
        <v>174</v>
      </c>
      <c r="E1648" t="s">
        <v>222</v>
      </c>
      <c r="F1648" t="s">
        <v>392</v>
      </c>
      <c r="G1648">
        <v>25588</v>
      </c>
      <c r="H1648" t="s">
        <v>389</v>
      </c>
      <c r="I1648">
        <v>1</v>
      </c>
      <c r="J1648" t="s">
        <v>115</v>
      </c>
      <c r="K1648" s="19">
        <v>0.60416666666666663</v>
      </c>
      <c r="L1648" s="19">
        <v>0.95833333333333337</v>
      </c>
      <c r="M1648">
        <v>8.5</v>
      </c>
      <c r="N1648">
        <v>400.2</v>
      </c>
      <c r="O1648">
        <v>40</v>
      </c>
      <c r="P1648">
        <v>76</v>
      </c>
      <c r="Q1648" t="s">
        <v>99</v>
      </c>
      <c r="R1648">
        <v>30</v>
      </c>
      <c r="S1648" s="19">
        <v>0.8125</v>
      </c>
      <c r="T1648">
        <v>0</v>
      </c>
      <c r="U1648" s="19"/>
      <c r="V1648" t="s">
        <v>99</v>
      </c>
      <c r="W1648">
        <v>8</v>
      </c>
      <c r="X1648" t="s">
        <v>102</v>
      </c>
      <c r="Y1648" t="b">
        <v>0</v>
      </c>
    </row>
    <row r="1649" spans="1:25" x14ac:dyDescent="0.55000000000000004">
      <c r="A1649" t="s">
        <v>94</v>
      </c>
      <c r="B1649" t="s">
        <v>381</v>
      </c>
      <c r="C1649" t="s">
        <v>348</v>
      </c>
      <c r="D1649" t="s">
        <v>174</v>
      </c>
      <c r="E1649" t="s">
        <v>222</v>
      </c>
      <c r="F1649" t="s">
        <v>376</v>
      </c>
      <c r="H1649" t="s">
        <v>99</v>
      </c>
      <c r="I1649">
        <v>1</v>
      </c>
      <c r="J1649" t="s">
        <v>104</v>
      </c>
      <c r="K1649" s="19">
        <v>0.625</v>
      </c>
      <c r="L1649" s="19">
        <v>0.89583333333333337</v>
      </c>
      <c r="M1649">
        <v>6.5</v>
      </c>
      <c r="N1649">
        <v>225.11</v>
      </c>
      <c r="O1649">
        <v>0</v>
      </c>
      <c r="P1649">
        <v>0</v>
      </c>
      <c r="Q1649" t="s">
        <v>99</v>
      </c>
      <c r="R1649">
        <v>30</v>
      </c>
      <c r="S1649" s="19">
        <v>0.83333333333333337</v>
      </c>
      <c r="T1649">
        <v>0</v>
      </c>
      <c r="U1649" s="19"/>
      <c r="V1649" t="s">
        <v>99</v>
      </c>
      <c r="W1649">
        <v>6</v>
      </c>
      <c r="X1649" t="s">
        <v>102</v>
      </c>
      <c r="Y1649" t="b">
        <v>0</v>
      </c>
    </row>
    <row r="1650" spans="1:25" x14ac:dyDescent="0.55000000000000004">
      <c r="A1650" t="s">
        <v>94</v>
      </c>
      <c r="B1650" t="s">
        <v>381</v>
      </c>
      <c r="C1650" t="s">
        <v>348</v>
      </c>
      <c r="D1650" t="s">
        <v>174</v>
      </c>
      <c r="E1650" t="s">
        <v>222</v>
      </c>
      <c r="F1650" t="s">
        <v>376</v>
      </c>
      <c r="G1650">
        <v>19645</v>
      </c>
      <c r="H1650" t="s">
        <v>407</v>
      </c>
      <c r="I1650">
        <v>1</v>
      </c>
      <c r="J1650" t="s">
        <v>107</v>
      </c>
      <c r="K1650" s="19">
        <v>0.58333333333333337</v>
      </c>
      <c r="L1650" s="19">
        <v>0.9375</v>
      </c>
      <c r="M1650">
        <v>8.5</v>
      </c>
      <c r="N1650">
        <v>315.99</v>
      </c>
      <c r="O1650">
        <v>24</v>
      </c>
      <c r="P1650">
        <v>76</v>
      </c>
      <c r="Q1650" t="s">
        <v>99</v>
      </c>
      <c r="R1650">
        <v>30</v>
      </c>
      <c r="S1650" s="19">
        <v>0.79166666666666663</v>
      </c>
      <c r="T1650">
        <v>0</v>
      </c>
      <c r="U1650" s="19"/>
      <c r="V1650" t="s">
        <v>99</v>
      </c>
      <c r="W1650">
        <v>8</v>
      </c>
      <c r="X1650" t="s">
        <v>102</v>
      </c>
      <c r="Y1650" t="b">
        <v>0</v>
      </c>
    </row>
    <row r="1651" spans="1:25" x14ac:dyDescent="0.55000000000000004">
      <c r="A1651" t="s">
        <v>94</v>
      </c>
      <c r="B1651" t="s">
        <v>381</v>
      </c>
      <c r="C1651" t="s">
        <v>348</v>
      </c>
      <c r="D1651" t="s">
        <v>174</v>
      </c>
      <c r="E1651" t="s">
        <v>222</v>
      </c>
      <c r="F1651" t="s">
        <v>376</v>
      </c>
      <c r="G1651">
        <v>19645</v>
      </c>
      <c r="H1651" t="s">
        <v>407</v>
      </c>
      <c r="I1651">
        <v>1</v>
      </c>
      <c r="J1651" t="s">
        <v>115</v>
      </c>
      <c r="K1651" s="19">
        <v>0.58333333333333337</v>
      </c>
      <c r="L1651" s="19">
        <v>0.9375</v>
      </c>
      <c r="M1651">
        <v>8.5</v>
      </c>
      <c r="N1651">
        <v>421.32</v>
      </c>
      <c r="O1651">
        <v>24</v>
      </c>
      <c r="P1651">
        <v>76</v>
      </c>
      <c r="Q1651" t="s">
        <v>99</v>
      </c>
      <c r="R1651">
        <v>30</v>
      </c>
      <c r="S1651" s="19">
        <v>0.79166666666666663</v>
      </c>
      <c r="T1651">
        <v>0</v>
      </c>
      <c r="U1651" s="19"/>
      <c r="V1651" t="s">
        <v>99</v>
      </c>
      <c r="W1651">
        <v>8</v>
      </c>
      <c r="X1651" t="s">
        <v>102</v>
      </c>
      <c r="Y1651" t="b">
        <v>0</v>
      </c>
    </row>
    <row r="1652" spans="1:25" x14ac:dyDescent="0.55000000000000004">
      <c r="A1652" t="s">
        <v>94</v>
      </c>
      <c r="B1652" t="s">
        <v>381</v>
      </c>
      <c r="C1652" t="s">
        <v>348</v>
      </c>
      <c r="D1652" t="s">
        <v>174</v>
      </c>
      <c r="E1652" t="s">
        <v>222</v>
      </c>
      <c r="F1652" t="s">
        <v>376</v>
      </c>
      <c r="G1652">
        <v>19645</v>
      </c>
      <c r="H1652" t="s">
        <v>407</v>
      </c>
      <c r="I1652">
        <v>1</v>
      </c>
      <c r="J1652" t="s">
        <v>116</v>
      </c>
      <c r="K1652" s="19">
        <v>0.58333333333333337</v>
      </c>
      <c r="L1652" s="19">
        <v>0.9375</v>
      </c>
      <c r="M1652">
        <v>8.5</v>
      </c>
      <c r="N1652">
        <v>491.54</v>
      </c>
      <c r="O1652">
        <v>24</v>
      </c>
      <c r="P1652">
        <v>76</v>
      </c>
      <c r="Q1652" t="s">
        <v>99</v>
      </c>
      <c r="R1652">
        <v>30</v>
      </c>
      <c r="S1652" s="19">
        <v>0.79166666666666663</v>
      </c>
      <c r="T1652">
        <v>0</v>
      </c>
      <c r="U1652" s="19"/>
      <c r="V1652" t="s">
        <v>99</v>
      </c>
      <c r="W1652">
        <v>8</v>
      </c>
      <c r="X1652" t="s">
        <v>102</v>
      </c>
      <c r="Y1652" t="b">
        <v>0</v>
      </c>
    </row>
    <row r="1653" spans="1:25" x14ac:dyDescent="0.55000000000000004">
      <c r="A1653" t="s">
        <v>94</v>
      </c>
      <c r="B1653" t="s">
        <v>381</v>
      </c>
      <c r="C1653" t="s">
        <v>348</v>
      </c>
      <c r="D1653" t="s">
        <v>174</v>
      </c>
      <c r="E1653" t="s">
        <v>222</v>
      </c>
      <c r="F1653" t="s">
        <v>376</v>
      </c>
      <c r="G1653">
        <v>19645</v>
      </c>
      <c r="H1653" t="s">
        <v>407</v>
      </c>
      <c r="I1653">
        <v>2</v>
      </c>
      <c r="J1653" t="s">
        <v>101</v>
      </c>
      <c r="K1653" s="19">
        <v>0.625</v>
      </c>
      <c r="L1653" s="19">
        <v>0.89583333333333337</v>
      </c>
      <c r="M1653">
        <v>6.5</v>
      </c>
      <c r="N1653">
        <v>236.99</v>
      </c>
      <c r="O1653">
        <v>24</v>
      </c>
      <c r="P1653">
        <v>76</v>
      </c>
      <c r="Q1653" t="s">
        <v>99</v>
      </c>
      <c r="R1653">
        <v>30</v>
      </c>
      <c r="S1653" s="19">
        <v>0.83333333333333337</v>
      </c>
      <c r="T1653">
        <v>0</v>
      </c>
      <c r="U1653" s="19"/>
      <c r="V1653" t="s">
        <v>99</v>
      </c>
      <c r="W1653">
        <v>6</v>
      </c>
      <c r="X1653" t="s">
        <v>102</v>
      </c>
      <c r="Y1653" t="b">
        <v>0</v>
      </c>
    </row>
    <row r="1654" spans="1:25" x14ac:dyDescent="0.55000000000000004">
      <c r="A1654" t="s">
        <v>94</v>
      </c>
      <c r="B1654" t="s">
        <v>381</v>
      </c>
      <c r="C1654" t="s">
        <v>348</v>
      </c>
      <c r="D1654" t="s">
        <v>174</v>
      </c>
      <c r="E1654" t="s">
        <v>222</v>
      </c>
      <c r="F1654" t="s">
        <v>376</v>
      </c>
      <c r="G1654">
        <v>21092</v>
      </c>
      <c r="H1654" t="s">
        <v>408</v>
      </c>
      <c r="I1654">
        <v>1</v>
      </c>
      <c r="J1654" t="s">
        <v>101</v>
      </c>
      <c r="K1654" s="19">
        <v>0.58333333333333337</v>
      </c>
      <c r="L1654" s="19">
        <v>0.9375</v>
      </c>
      <c r="M1654">
        <v>8.5</v>
      </c>
      <c r="N1654">
        <v>315.99</v>
      </c>
      <c r="O1654">
        <v>60</v>
      </c>
      <c r="P1654">
        <v>76</v>
      </c>
      <c r="Q1654" t="s">
        <v>99</v>
      </c>
      <c r="R1654">
        <v>30</v>
      </c>
      <c r="S1654" s="19">
        <v>0.70833333333333337</v>
      </c>
      <c r="T1654">
        <v>0</v>
      </c>
      <c r="U1654" s="19"/>
      <c r="V1654" t="s">
        <v>409</v>
      </c>
      <c r="W1654">
        <v>8</v>
      </c>
      <c r="X1654" t="s">
        <v>102</v>
      </c>
      <c r="Y1654" t="b">
        <v>0</v>
      </c>
    </row>
    <row r="1655" spans="1:25" x14ac:dyDescent="0.55000000000000004">
      <c r="A1655" t="s">
        <v>94</v>
      </c>
      <c r="B1655" t="s">
        <v>381</v>
      </c>
      <c r="C1655" t="s">
        <v>348</v>
      </c>
      <c r="D1655" t="s">
        <v>174</v>
      </c>
      <c r="E1655" t="s">
        <v>222</v>
      </c>
      <c r="F1655" t="s">
        <v>376</v>
      </c>
      <c r="G1655">
        <v>21092</v>
      </c>
      <c r="H1655" t="s">
        <v>408</v>
      </c>
      <c r="I1655">
        <v>1</v>
      </c>
      <c r="J1655" t="s">
        <v>103</v>
      </c>
      <c r="K1655" s="19">
        <v>0.58333333333333337</v>
      </c>
      <c r="L1655" s="19">
        <v>0.9375</v>
      </c>
      <c r="M1655">
        <v>8.5</v>
      </c>
      <c r="N1655">
        <v>315.99</v>
      </c>
      <c r="O1655">
        <v>60</v>
      </c>
      <c r="P1655">
        <v>76</v>
      </c>
      <c r="Q1655" t="s">
        <v>99</v>
      </c>
      <c r="R1655">
        <v>30</v>
      </c>
      <c r="S1655" s="19">
        <v>0.79166666666666663</v>
      </c>
      <c r="T1655">
        <v>0</v>
      </c>
      <c r="U1655" s="19"/>
      <c r="V1655" t="s">
        <v>99</v>
      </c>
      <c r="W1655">
        <v>8</v>
      </c>
      <c r="X1655" t="s">
        <v>102</v>
      </c>
      <c r="Y1655" t="b">
        <v>0</v>
      </c>
    </row>
    <row r="1656" spans="1:25" x14ac:dyDescent="0.55000000000000004">
      <c r="A1656" t="s">
        <v>94</v>
      </c>
      <c r="B1656" t="s">
        <v>381</v>
      </c>
      <c r="C1656" t="s">
        <v>348</v>
      </c>
      <c r="D1656" t="s">
        <v>174</v>
      </c>
      <c r="E1656" t="s">
        <v>222</v>
      </c>
      <c r="F1656" t="s">
        <v>376</v>
      </c>
      <c r="G1656">
        <v>21092</v>
      </c>
      <c r="H1656" t="s">
        <v>408</v>
      </c>
      <c r="I1656">
        <v>1</v>
      </c>
      <c r="J1656" t="s">
        <v>104</v>
      </c>
      <c r="K1656" s="19">
        <v>0.58333333333333337</v>
      </c>
      <c r="L1656" s="19">
        <v>0.9375</v>
      </c>
      <c r="M1656">
        <v>8.5</v>
      </c>
      <c r="N1656">
        <v>315.99</v>
      </c>
      <c r="O1656">
        <v>60</v>
      </c>
      <c r="P1656">
        <v>76</v>
      </c>
      <c r="Q1656" t="s">
        <v>99</v>
      </c>
      <c r="R1656">
        <v>30</v>
      </c>
      <c r="S1656" s="19">
        <v>0.79166666666666663</v>
      </c>
      <c r="T1656">
        <v>0</v>
      </c>
      <c r="U1656" s="19"/>
      <c r="V1656" t="s">
        <v>99</v>
      </c>
      <c r="W1656">
        <v>8</v>
      </c>
      <c r="X1656" t="s">
        <v>102</v>
      </c>
      <c r="Y1656" t="b">
        <v>0</v>
      </c>
    </row>
    <row r="1657" spans="1:25" x14ac:dyDescent="0.55000000000000004">
      <c r="A1657" t="s">
        <v>94</v>
      </c>
      <c r="B1657" t="s">
        <v>381</v>
      </c>
      <c r="C1657" t="s">
        <v>348</v>
      </c>
      <c r="D1657" t="s">
        <v>174</v>
      </c>
      <c r="E1657" t="s">
        <v>222</v>
      </c>
      <c r="F1657" t="s">
        <v>376</v>
      </c>
      <c r="G1657">
        <v>21092</v>
      </c>
      <c r="H1657" t="s">
        <v>408</v>
      </c>
      <c r="I1657">
        <v>1</v>
      </c>
      <c r="J1657" t="s">
        <v>105</v>
      </c>
      <c r="K1657" s="19">
        <v>0.58333333333333337</v>
      </c>
      <c r="L1657" s="19">
        <v>0.9375</v>
      </c>
      <c r="M1657">
        <v>8.5</v>
      </c>
      <c r="N1657">
        <v>315.99</v>
      </c>
      <c r="O1657">
        <v>60</v>
      </c>
      <c r="P1657">
        <v>76</v>
      </c>
      <c r="Q1657" t="s">
        <v>99</v>
      </c>
      <c r="R1657">
        <v>30</v>
      </c>
      <c r="S1657" s="19">
        <v>0.79166666666666663</v>
      </c>
      <c r="T1657">
        <v>0</v>
      </c>
      <c r="U1657" s="19"/>
      <c r="V1657" t="s">
        <v>99</v>
      </c>
      <c r="W1657">
        <v>8</v>
      </c>
      <c r="X1657" t="s">
        <v>102</v>
      </c>
      <c r="Y1657" t="b">
        <v>0</v>
      </c>
    </row>
    <row r="1658" spans="1:25" x14ac:dyDescent="0.55000000000000004">
      <c r="A1658" t="s">
        <v>94</v>
      </c>
      <c r="B1658" t="s">
        <v>381</v>
      </c>
      <c r="C1658" t="s">
        <v>348</v>
      </c>
      <c r="D1658" t="s">
        <v>174</v>
      </c>
      <c r="E1658" t="s">
        <v>222</v>
      </c>
      <c r="F1658" t="s">
        <v>376</v>
      </c>
      <c r="G1658">
        <v>21092</v>
      </c>
      <c r="H1658" t="s">
        <v>408</v>
      </c>
      <c r="I1658">
        <v>2</v>
      </c>
      <c r="J1658" t="s">
        <v>107</v>
      </c>
      <c r="K1658" s="19">
        <v>0.58333333333333337</v>
      </c>
      <c r="L1658" s="19">
        <v>0.9375</v>
      </c>
      <c r="M1658">
        <v>8.5</v>
      </c>
      <c r="N1658">
        <v>315.99</v>
      </c>
      <c r="O1658">
        <v>60</v>
      </c>
      <c r="P1658">
        <v>76</v>
      </c>
      <c r="Q1658" t="s">
        <v>99</v>
      </c>
      <c r="R1658">
        <v>30</v>
      </c>
      <c r="S1658" s="19">
        <v>0.79166666666666663</v>
      </c>
      <c r="T1658">
        <v>0</v>
      </c>
      <c r="U1658" s="19"/>
      <c r="V1658" t="s">
        <v>99</v>
      </c>
      <c r="W1658">
        <v>8</v>
      </c>
      <c r="X1658" t="s">
        <v>102</v>
      </c>
      <c r="Y1658" t="b">
        <v>0</v>
      </c>
    </row>
    <row r="1659" spans="1:25" x14ac:dyDescent="0.55000000000000004">
      <c r="A1659" t="s">
        <v>94</v>
      </c>
      <c r="B1659" t="s">
        <v>381</v>
      </c>
      <c r="C1659" t="s">
        <v>348</v>
      </c>
      <c r="D1659" t="s">
        <v>174</v>
      </c>
      <c r="E1659" t="s">
        <v>222</v>
      </c>
      <c r="F1659" t="s">
        <v>376</v>
      </c>
      <c r="G1659">
        <v>21092</v>
      </c>
      <c r="H1659" t="s">
        <v>408</v>
      </c>
      <c r="I1659">
        <v>2</v>
      </c>
      <c r="J1659" t="s">
        <v>115</v>
      </c>
      <c r="K1659" s="19">
        <v>0.58333333333333337</v>
      </c>
      <c r="L1659" s="19">
        <v>0.9375</v>
      </c>
      <c r="M1659">
        <v>8.5</v>
      </c>
      <c r="N1659">
        <v>421.32</v>
      </c>
      <c r="O1659">
        <v>60</v>
      </c>
      <c r="P1659">
        <v>76</v>
      </c>
      <c r="Q1659" t="s">
        <v>99</v>
      </c>
      <c r="R1659">
        <v>30</v>
      </c>
      <c r="S1659" s="19">
        <v>0.79166666666666663</v>
      </c>
      <c r="T1659">
        <v>0</v>
      </c>
      <c r="U1659" s="19"/>
      <c r="V1659" t="s">
        <v>99</v>
      </c>
      <c r="W1659">
        <v>8</v>
      </c>
      <c r="X1659" t="s">
        <v>102</v>
      </c>
      <c r="Y1659" t="b">
        <v>0</v>
      </c>
    </row>
    <row r="1660" spans="1:25" x14ac:dyDescent="0.55000000000000004">
      <c r="A1660" t="s">
        <v>94</v>
      </c>
      <c r="B1660" t="s">
        <v>381</v>
      </c>
      <c r="C1660" t="s">
        <v>348</v>
      </c>
      <c r="D1660" t="s">
        <v>174</v>
      </c>
      <c r="E1660" t="s">
        <v>222</v>
      </c>
      <c r="F1660" t="s">
        <v>376</v>
      </c>
      <c r="G1660">
        <v>21092</v>
      </c>
      <c r="H1660" t="s">
        <v>408</v>
      </c>
      <c r="I1660">
        <v>2</v>
      </c>
      <c r="J1660" t="s">
        <v>116</v>
      </c>
      <c r="K1660" s="19">
        <v>0.58333333333333337</v>
      </c>
      <c r="L1660" s="19">
        <v>0.9375</v>
      </c>
      <c r="M1660">
        <v>8.5</v>
      </c>
      <c r="N1660">
        <v>491.54</v>
      </c>
      <c r="O1660">
        <v>60</v>
      </c>
      <c r="P1660">
        <v>76</v>
      </c>
      <c r="Q1660" t="s">
        <v>99</v>
      </c>
      <c r="R1660">
        <v>30</v>
      </c>
      <c r="S1660" s="19">
        <v>0.79166666666666663</v>
      </c>
      <c r="T1660">
        <v>0</v>
      </c>
      <c r="U1660" s="19"/>
      <c r="V1660" t="s">
        <v>99</v>
      </c>
      <c r="W1660">
        <v>8</v>
      </c>
      <c r="X1660" t="s">
        <v>102</v>
      </c>
      <c r="Y1660" t="b">
        <v>0</v>
      </c>
    </row>
    <row r="1661" spans="1:25" x14ac:dyDescent="0.55000000000000004">
      <c r="A1661" t="s">
        <v>94</v>
      </c>
      <c r="B1661" t="s">
        <v>381</v>
      </c>
      <c r="C1661" t="s">
        <v>348</v>
      </c>
      <c r="D1661" t="s">
        <v>174</v>
      </c>
      <c r="E1661" t="s">
        <v>222</v>
      </c>
      <c r="F1661" t="s">
        <v>376</v>
      </c>
      <c r="G1661">
        <v>21092</v>
      </c>
      <c r="H1661" t="s">
        <v>408</v>
      </c>
      <c r="I1661">
        <v>2</v>
      </c>
      <c r="J1661" t="s">
        <v>104</v>
      </c>
      <c r="K1661" s="19">
        <v>0.625</v>
      </c>
      <c r="L1661" s="19">
        <v>0.89583333333333337</v>
      </c>
      <c r="M1661">
        <v>6.5</v>
      </c>
      <c r="N1661">
        <v>236.99</v>
      </c>
      <c r="O1661">
        <v>60</v>
      </c>
      <c r="P1661">
        <v>76</v>
      </c>
      <c r="Q1661" t="s">
        <v>99</v>
      </c>
      <c r="R1661">
        <v>30</v>
      </c>
      <c r="S1661" s="19">
        <v>0.83333333333333337</v>
      </c>
      <c r="T1661">
        <v>0</v>
      </c>
      <c r="U1661" s="19"/>
      <c r="V1661" t="s">
        <v>99</v>
      </c>
      <c r="W1661">
        <v>6</v>
      </c>
      <c r="X1661" t="s">
        <v>102</v>
      </c>
      <c r="Y1661" t="b">
        <v>0</v>
      </c>
    </row>
    <row r="1662" spans="1:25" x14ac:dyDescent="0.55000000000000004">
      <c r="A1662" t="s">
        <v>94</v>
      </c>
      <c r="B1662" t="s">
        <v>381</v>
      </c>
      <c r="C1662" t="s">
        <v>348</v>
      </c>
      <c r="D1662" t="s">
        <v>174</v>
      </c>
      <c r="E1662" t="s">
        <v>222</v>
      </c>
      <c r="F1662" t="s">
        <v>376</v>
      </c>
      <c r="G1662">
        <v>22436</v>
      </c>
      <c r="H1662" t="s">
        <v>404</v>
      </c>
      <c r="I1662">
        <v>1</v>
      </c>
      <c r="J1662" t="s">
        <v>107</v>
      </c>
      <c r="K1662" s="19">
        <v>0.625</v>
      </c>
      <c r="L1662" s="19">
        <v>0.89583333333333337</v>
      </c>
      <c r="M1662">
        <v>6.5</v>
      </c>
      <c r="N1662">
        <v>239.76</v>
      </c>
      <c r="O1662">
        <v>56</v>
      </c>
      <c r="P1662">
        <v>76</v>
      </c>
      <c r="Q1662" t="s">
        <v>99</v>
      </c>
      <c r="R1662">
        <v>30</v>
      </c>
      <c r="S1662" s="19">
        <v>0.83333333333333337</v>
      </c>
      <c r="T1662">
        <v>0</v>
      </c>
      <c r="U1662" s="19"/>
      <c r="V1662" t="s">
        <v>99</v>
      </c>
      <c r="W1662">
        <v>6</v>
      </c>
      <c r="X1662" t="s">
        <v>102</v>
      </c>
      <c r="Y1662" t="b">
        <v>0</v>
      </c>
    </row>
    <row r="1663" spans="1:25" x14ac:dyDescent="0.55000000000000004">
      <c r="A1663" t="s">
        <v>94</v>
      </c>
      <c r="B1663" t="s">
        <v>381</v>
      </c>
      <c r="C1663" t="s">
        <v>348</v>
      </c>
      <c r="D1663" t="s">
        <v>174</v>
      </c>
      <c r="E1663" t="s">
        <v>222</v>
      </c>
      <c r="F1663" t="s">
        <v>376</v>
      </c>
      <c r="G1663">
        <v>22436</v>
      </c>
      <c r="H1663" t="s">
        <v>404</v>
      </c>
      <c r="I1663">
        <v>2</v>
      </c>
      <c r="J1663" t="s">
        <v>107</v>
      </c>
      <c r="K1663" s="19">
        <v>0.625</v>
      </c>
      <c r="L1663" s="19">
        <v>0.89583333333333337</v>
      </c>
      <c r="M1663">
        <v>6.5</v>
      </c>
      <c r="N1663">
        <v>239.76</v>
      </c>
      <c r="O1663">
        <v>56</v>
      </c>
      <c r="P1663">
        <v>76</v>
      </c>
      <c r="Q1663" t="s">
        <v>99</v>
      </c>
      <c r="R1663">
        <v>30</v>
      </c>
      <c r="S1663" s="19">
        <v>0.83333333333333337</v>
      </c>
      <c r="T1663">
        <v>0</v>
      </c>
      <c r="U1663" s="19"/>
      <c r="V1663" t="s">
        <v>99</v>
      </c>
      <c r="W1663">
        <v>6</v>
      </c>
      <c r="X1663" t="s">
        <v>102</v>
      </c>
      <c r="Y1663" t="b">
        <v>0</v>
      </c>
    </row>
    <row r="1664" spans="1:25" x14ac:dyDescent="0.55000000000000004">
      <c r="A1664" t="s">
        <v>94</v>
      </c>
      <c r="B1664" t="s">
        <v>381</v>
      </c>
      <c r="C1664" t="s">
        <v>348</v>
      </c>
      <c r="D1664" t="s">
        <v>174</v>
      </c>
      <c r="E1664" t="s">
        <v>222</v>
      </c>
      <c r="F1664" t="s">
        <v>376</v>
      </c>
      <c r="G1664">
        <v>22436</v>
      </c>
      <c r="H1664" t="s">
        <v>404</v>
      </c>
      <c r="I1664">
        <v>2</v>
      </c>
      <c r="J1664" t="s">
        <v>101</v>
      </c>
      <c r="K1664" s="19">
        <v>0.58333333333333337</v>
      </c>
      <c r="L1664" s="19">
        <v>0.9375</v>
      </c>
      <c r="M1664">
        <v>8.5</v>
      </c>
      <c r="N1664">
        <v>319.68</v>
      </c>
      <c r="O1664">
        <v>56</v>
      </c>
      <c r="P1664">
        <v>76</v>
      </c>
      <c r="Q1664" t="s">
        <v>99</v>
      </c>
      <c r="R1664">
        <v>30</v>
      </c>
      <c r="S1664" s="19">
        <v>0.79166666666666663</v>
      </c>
      <c r="T1664">
        <v>0</v>
      </c>
      <c r="U1664" s="19"/>
      <c r="V1664" t="s">
        <v>99</v>
      </c>
      <c r="W1664">
        <v>8</v>
      </c>
      <c r="X1664" t="s">
        <v>102</v>
      </c>
      <c r="Y1664" t="b">
        <v>0</v>
      </c>
    </row>
    <row r="1665" spans="1:25" x14ac:dyDescent="0.55000000000000004">
      <c r="A1665" t="s">
        <v>94</v>
      </c>
      <c r="B1665" t="s">
        <v>381</v>
      </c>
      <c r="C1665" t="s">
        <v>348</v>
      </c>
      <c r="D1665" t="s">
        <v>174</v>
      </c>
      <c r="E1665" t="s">
        <v>222</v>
      </c>
      <c r="F1665" t="s">
        <v>376</v>
      </c>
      <c r="G1665">
        <v>22436</v>
      </c>
      <c r="H1665" t="s">
        <v>404</v>
      </c>
      <c r="I1665">
        <v>2</v>
      </c>
      <c r="J1665" t="s">
        <v>115</v>
      </c>
      <c r="K1665" s="19">
        <v>0.625</v>
      </c>
      <c r="L1665" s="19">
        <v>0.89583333333333337</v>
      </c>
      <c r="M1665">
        <v>6.5</v>
      </c>
      <c r="N1665">
        <v>319.68</v>
      </c>
      <c r="O1665">
        <v>56</v>
      </c>
      <c r="P1665">
        <v>76</v>
      </c>
      <c r="Q1665" t="s">
        <v>99</v>
      </c>
      <c r="R1665">
        <v>30</v>
      </c>
      <c r="S1665" s="19">
        <v>0.83333333333333337</v>
      </c>
      <c r="T1665">
        <v>0</v>
      </c>
      <c r="U1665" s="19"/>
      <c r="V1665" t="s">
        <v>99</v>
      </c>
      <c r="W1665">
        <v>6</v>
      </c>
      <c r="X1665" t="s">
        <v>102</v>
      </c>
      <c r="Y1665" t="b">
        <v>0</v>
      </c>
    </row>
    <row r="1666" spans="1:25" x14ac:dyDescent="0.55000000000000004">
      <c r="A1666" t="s">
        <v>94</v>
      </c>
      <c r="B1666" t="s">
        <v>381</v>
      </c>
      <c r="C1666" t="s">
        <v>348</v>
      </c>
      <c r="D1666" t="s">
        <v>174</v>
      </c>
      <c r="E1666" t="s">
        <v>222</v>
      </c>
      <c r="F1666" t="s">
        <v>376</v>
      </c>
      <c r="G1666">
        <v>22436</v>
      </c>
      <c r="H1666" t="s">
        <v>404</v>
      </c>
      <c r="I1666">
        <v>2</v>
      </c>
      <c r="J1666" t="s">
        <v>104</v>
      </c>
      <c r="K1666" s="19">
        <v>0.58333333333333337</v>
      </c>
      <c r="L1666" s="19">
        <v>0.9375</v>
      </c>
      <c r="M1666">
        <v>8.5</v>
      </c>
      <c r="N1666">
        <v>319.68</v>
      </c>
      <c r="O1666">
        <v>56</v>
      </c>
      <c r="P1666">
        <v>76</v>
      </c>
      <c r="Q1666" t="s">
        <v>99</v>
      </c>
      <c r="R1666">
        <v>30</v>
      </c>
      <c r="S1666" s="19">
        <v>0.79166666666666663</v>
      </c>
      <c r="T1666">
        <v>0</v>
      </c>
      <c r="U1666" s="19"/>
      <c r="V1666" t="s">
        <v>99</v>
      </c>
      <c r="W1666">
        <v>8</v>
      </c>
      <c r="X1666" t="s">
        <v>102</v>
      </c>
      <c r="Y1666" t="b">
        <v>0</v>
      </c>
    </row>
    <row r="1667" spans="1:25" x14ac:dyDescent="0.55000000000000004">
      <c r="A1667" t="s">
        <v>94</v>
      </c>
      <c r="B1667" t="s">
        <v>381</v>
      </c>
      <c r="C1667" t="s">
        <v>348</v>
      </c>
      <c r="D1667" t="s">
        <v>174</v>
      </c>
      <c r="E1667" t="s">
        <v>222</v>
      </c>
      <c r="F1667" t="s">
        <v>376</v>
      </c>
      <c r="G1667">
        <v>22436</v>
      </c>
      <c r="H1667" t="s">
        <v>404</v>
      </c>
      <c r="I1667">
        <v>2</v>
      </c>
      <c r="J1667" t="s">
        <v>105</v>
      </c>
      <c r="K1667" s="19">
        <v>0.58333333333333337</v>
      </c>
      <c r="L1667" s="19">
        <v>0.9375</v>
      </c>
      <c r="M1667">
        <v>8.5</v>
      </c>
      <c r="N1667">
        <v>319.68</v>
      </c>
      <c r="O1667">
        <v>56</v>
      </c>
      <c r="P1667">
        <v>76</v>
      </c>
      <c r="Q1667" t="s">
        <v>99</v>
      </c>
      <c r="R1667">
        <v>30</v>
      </c>
      <c r="S1667" s="19">
        <v>0.79166666666666663</v>
      </c>
      <c r="T1667">
        <v>0</v>
      </c>
      <c r="U1667" s="19"/>
      <c r="V1667" t="s">
        <v>99</v>
      </c>
      <c r="W1667">
        <v>8</v>
      </c>
      <c r="X1667" t="s">
        <v>102</v>
      </c>
      <c r="Y1667" t="b">
        <v>0</v>
      </c>
    </row>
    <row r="1668" spans="1:25" x14ac:dyDescent="0.55000000000000004">
      <c r="A1668" t="s">
        <v>94</v>
      </c>
      <c r="B1668" t="s">
        <v>381</v>
      </c>
      <c r="C1668" t="s">
        <v>348</v>
      </c>
      <c r="D1668" t="s">
        <v>174</v>
      </c>
      <c r="E1668" t="s">
        <v>222</v>
      </c>
      <c r="F1668" t="s">
        <v>376</v>
      </c>
      <c r="G1668">
        <v>23873</v>
      </c>
      <c r="H1668" t="s">
        <v>405</v>
      </c>
      <c r="I1668">
        <v>1</v>
      </c>
      <c r="J1668" t="s">
        <v>101</v>
      </c>
      <c r="K1668" s="19">
        <v>0.625</v>
      </c>
      <c r="L1668" s="19">
        <v>0.89583333333333337</v>
      </c>
      <c r="M1668">
        <v>6.5</v>
      </c>
      <c r="N1668">
        <v>236.99</v>
      </c>
      <c r="O1668">
        <v>76</v>
      </c>
      <c r="P1668">
        <v>76</v>
      </c>
      <c r="Q1668" t="s">
        <v>99</v>
      </c>
      <c r="R1668">
        <v>30</v>
      </c>
      <c r="S1668" s="19">
        <v>0.83333333333333337</v>
      </c>
      <c r="T1668">
        <v>0</v>
      </c>
      <c r="U1668" s="19"/>
      <c r="V1668" t="s">
        <v>99</v>
      </c>
      <c r="W1668">
        <v>6</v>
      </c>
      <c r="X1668" t="s">
        <v>102</v>
      </c>
      <c r="Y1668" t="b">
        <v>0</v>
      </c>
    </row>
    <row r="1669" spans="1:25" x14ac:dyDescent="0.55000000000000004">
      <c r="A1669" t="s">
        <v>94</v>
      </c>
      <c r="B1669" t="s">
        <v>381</v>
      </c>
      <c r="C1669" t="s">
        <v>348</v>
      </c>
      <c r="D1669" t="s">
        <v>174</v>
      </c>
      <c r="E1669" t="s">
        <v>222</v>
      </c>
      <c r="F1669" t="s">
        <v>376</v>
      </c>
      <c r="G1669">
        <v>23873</v>
      </c>
      <c r="H1669" t="s">
        <v>405</v>
      </c>
      <c r="I1669">
        <v>1</v>
      </c>
      <c r="J1669" t="s">
        <v>115</v>
      </c>
      <c r="K1669" s="19">
        <v>0.625</v>
      </c>
      <c r="L1669" s="19">
        <v>0.89583333333333337</v>
      </c>
      <c r="M1669">
        <v>6.5</v>
      </c>
      <c r="N1669">
        <v>315.99</v>
      </c>
      <c r="O1669">
        <v>76</v>
      </c>
      <c r="P1669">
        <v>76</v>
      </c>
      <c r="Q1669" t="s">
        <v>99</v>
      </c>
      <c r="R1669">
        <v>30</v>
      </c>
      <c r="S1669" s="19">
        <v>0.83333333333333337</v>
      </c>
      <c r="T1669">
        <v>0</v>
      </c>
      <c r="U1669" s="19"/>
      <c r="V1669" t="s">
        <v>99</v>
      </c>
      <c r="W1669">
        <v>6</v>
      </c>
      <c r="X1669" t="s">
        <v>102</v>
      </c>
      <c r="Y1669" t="b">
        <v>0</v>
      </c>
    </row>
    <row r="1670" spans="1:25" x14ac:dyDescent="0.55000000000000004">
      <c r="A1670" t="s">
        <v>94</v>
      </c>
      <c r="B1670" t="s">
        <v>381</v>
      </c>
      <c r="C1670" t="s">
        <v>348</v>
      </c>
      <c r="D1670" t="s">
        <v>174</v>
      </c>
      <c r="E1670" t="s">
        <v>222</v>
      </c>
      <c r="F1670" t="s">
        <v>376</v>
      </c>
      <c r="G1670">
        <v>23874</v>
      </c>
      <c r="H1670" t="s">
        <v>403</v>
      </c>
      <c r="I1670">
        <v>1</v>
      </c>
      <c r="J1670" t="s">
        <v>103</v>
      </c>
      <c r="K1670" s="19">
        <v>0.625</v>
      </c>
      <c r="L1670" s="19">
        <v>0.89583333333333337</v>
      </c>
      <c r="M1670">
        <v>6.5</v>
      </c>
      <c r="N1670">
        <v>236.99</v>
      </c>
      <c r="O1670">
        <v>76</v>
      </c>
      <c r="P1670">
        <v>76</v>
      </c>
      <c r="Q1670" t="s">
        <v>99</v>
      </c>
      <c r="R1670">
        <v>30</v>
      </c>
      <c r="S1670" s="19">
        <v>0.83333333333333337</v>
      </c>
      <c r="T1670">
        <v>0</v>
      </c>
      <c r="U1670" s="19"/>
      <c r="V1670" t="s">
        <v>99</v>
      </c>
      <c r="W1670">
        <v>6</v>
      </c>
      <c r="X1670" t="s">
        <v>102</v>
      </c>
      <c r="Y1670" t="b">
        <v>0</v>
      </c>
    </row>
    <row r="1671" spans="1:25" x14ac:dyDescent="0.55000000000000004">
      <c r="A1671" t="s">
        <v>94</v>
      </c>
      <c r="B1671" t="s">
        <v>381</v>
      </c>
      <c r="C1671" t="s">
        <v>348</v>
      </c>
      <c r="D1671" t="s">
        <v>174</v>
      </c>
      <c r="E1671" t="s">
        <v>222</v>
      </c>
      <c r="F1671" t="s">
        <v>376</v>
      </c>
      <c r="G1671">
        <v>23874</v>
      </c>
      <c r="H1671" t="s">
        <v>403</v>
      </c>
      <c r="I1671">
        <v>2</v>
      </c>
      <c r="J1671" t="s">
        <v>103</v>
      </c>
      <c r="K1671" s="19">
        <v>0.625</v>
      </c>
      <c r="L1671" s="19">
        <v>0.89583333333333337</v>
      </c>
      <c r="M1671">
        <v>6.5</v>
      </c>
      <c r="N1671">
        <v>236.99</v>
      </c>
      <c r="O1671">
        <v>76</v>
      </c>
      <c r="P1671">
        <v>76</v>
      </c>
      <c r="Q1671" t="s">
        <v>99</v>
      </c>
      <c r="R1671">
        <v>30</v>
      </c>
      <c r="S1671" s="19">
        <v>0.83333333333333337</v>
      </c>
      <c r="T1671">
        <v>0</v>
      </c>
      <c r="U1671" s="19"/>
      <c r="V1671" t="s">
        <v>99</v>
      </c>
      <c r="W1671">
        <v>6</v>
      </c>
      <c r="X1671" t="s">
        <v>102</v>
      </c>
      <c r="Y1671" t="b">
        <v>0</v>
      </c>
    </row>
    <row r="1672" spans="1:25" x14ac:dyDescent="0.55000000000000004">
      <c r="A1672" t="s">
        <v>94</v>
      </c>
      <c r="B1672" t="s">
        <v>381</v>
      </c>
      <c r="C1672" t="s">
        <v>348</v>
      </c>
      <c r="D1672" t="s">
        <v>174</v>
      </c>
      <c r="E1672" t="s">
        <v>222</v>
      </c>
      <c r="F1672" t="s">
        <v>376</v>
      </c>
      <c r="G1672">
        <v>23884</v>
      </c>
      <c r="H1672" t="s">
        <v>406</v>
      </c>
      <c r="I1672">
        <v>1</v>
      </c>
      <c r="J1672" t="s">
        <v>116</v>
      </c>
      <c r="K1672" s="19">
        <v>0.625</v>
      </c>
      <c r="L1672" s="19">
        <v>0.89583333333333337</v>
      </c>
      <c r="M1672">
        <v>6.5</v>
      </c>
      <c r="N1672">
        <v>368.65</v>
      </c>
      <c r="O1672">
        <v>76</v>
      </c>
      <c r="P1672">
        <v>76</v>
      </c>
      <c r="Q1672" t="s">
        <v>99</v>
      </c>
      <c r="R1672">
        <v>30</v>
      </c>
      <c r="S1672" s="19">
        <v>0.83333333333333337</v>
      </c>
      <c r="T1672">
        <v>0</v>
      </c>
      <c r="U1672" s="19"/>
      <c r="V1672" t="s">
        <v>99</v>
      </c>
      <c r="W1672">
        <v>6</v>
      </c>
      <c r="X1672" t="s">
        <v>102</v>
      </c>
      <c r="Y1672" t="b">
        <v>0</v>
      </c>
    </row>
    <row r="1673" spans="1:25" x14ac:dyDescent="0.55000000000000004">
      <c r="A1673" t="s">
        <v>94</v>
      </c>
      <c r="B1673" t="s">
        <v>381</v>
      </c>
      <c r="C1673" t="s">
        <v>348</v>
      </c>
      <c r="D1673" t="s">
        <v>174</v>
      </c>
      <c r="E1673" t="s">
        <v>222</v>
      </c>
      <c r="F1673" t="s">
        <v>376</v>
      </c>
      <c r="G1673">
        <v>23884</v>
      </c>
      <c r="H1673" t="s">
        <v>406</v>
      </c>
      <c r="I1673">
        <v>2</v>
      </c>
      <c r="J1673" t="s">
        <v>116</v>
      </c>
      <c r="K1673" s="19">
        <v>0.625</v>
      </c>
      <c r="L1673" s="19">
        <v>0.89583333333333337</v>
      </c>
      <c r="M1673">
        <v>6.5</v>
      </c>
      <c r="N1673">
        <v>368.65</v>
      </c>
      <c r="O1673">
        <v>76</v>
      </c>
      <c r="P1673">
        <v>76</v>
      </c>
      <c r="Q1673" t="s">
        <v>99</v>
      </c>
      <c r="R1673">
        <v>30</v>
      </c>
      <c r="S1673" s="19">
        <v>0.83333333333333337</v>
      </c>
      <c r="T1673">
        <v>0</v>
      </c>
      <c r="U1673" s="19"/>
      <c r="V1673" t="s">
        <v>99</v>
      </c>
      <c r="W1673">
        <v>6</v>
      </c>
      <c r="X1673" t="s">
        <v>102</v>
      </c>
      <c r="Y1673" t="b">
        <v>0</v>
      </c>
    </row>
    <row r="1674" spans="1:25" x14ac:dyDescent="0.55000000000000004">
      <c r="A1674" t="s">
        <v>94</v>
      </c>
      <c r="B1674" t="s">
        <v>381</v>
      </c>
      <c r="C1674" t="s">
        <v>348</v>
      </c>
      <c r="D1674" t="s">
        <v>174</v>
      </c>
      <c r="E1674" t="s">
        <v>222</v>
      </c>
      <c r="F1674" t="s">
        <v>376</v>
      </c>
      <c r="G1674">
        <v>25588</v>
      </c>
      <c r="H1674" t="s">
        <v>389</v>
      </c>
      <c r="I1674">
        <v>2</v>
      </c>
      <c r="J1674" t="s">
        <v>103</v>
      </c>
      <c r="K1674" s="19">
        <v>0.58333333333333337</v>
      </c>
      <c r="L1674" s="19">
        <v>0.9375</v>
      </c>
      <c r="M1674">
        <v>8.5</v>
      </c>
      <c r="N1674">
        <v>300.14999999999998</v>
      </c>
      <c r="O1674">
        <v>40</v>
      </c>
      <c r="P1674">
        <v>76</v>
      </c>
      <c r="Q1674" t="s">
        <v>99</v>
      </c>
      <c r="R1674">
        <v>30</v>
      </c>
      <c r="S1674" s="19">
        <v>0.79166666666666663</v>
      </c>
      <c r="T1674">
        <v>0</v>
      </c>
      <c r="U1674" s="19"/>
      <c r="V1674" t="s">
        <v>99</v>
      </c>
      <c r="W1674">
        <v>8</v>
      </c>
      <c r="X1674" t="s">
        <v>102</v>
      </c>
      <c r="Y1674" t="b">
        <v>0</v>
      </c>
    </row>
    <row r="1675" spans="1:25" x14ac:dyDescent="0.55000000000000004">
      <c r="A1675" t="s">
        <v>94</v>
      </c>
      <c r="B1675" t="s">
        <v>381</v>
      </c>
      <c r="C1675" t="s">
        <v>348</v>
      </c>
      <c r="D1675" t="s">
        <v>174</v>
      </c>
      <c r="E1675" t="s">
        <v>241</v>
      </c>
      <c r="F1675" t="s">
        <v>99</v>
      </c>
      <c r="G1675">
        <v>24688</v>
      </c>
      <c r="H1675" t="s">
        <v>410</v>
      </c>
      <c r="I1675">
        <v>1</v>
      </c>
      <c r="J1675" t="s">
        <v>107</v>
      </c>
      <c r="K1675" s="19">
        <v>0.47916666666666669</v>
      </c>
      <c r="L1675" s="19">
        <v>0.58333333333333337</v>
      </c>
      <c r="M1675">
        <v>2.5</v>
      </c>
      <c r="N1675">
        <v>125.4</v>
      </c>
      <c r="O1675">
        <v>76</v>
      </c>
      <c r="P1675">
        <v>76</v>
      </c>
      <c r="Q1675" t="s">
        <v>99</v>
      </c>
      <c r="R1675">
        <v>30</v>
      </c>
      <c r="S1675" s="19">
        <v>0.54166666666666663</v>
      </c>
      <c r="U1675" s="19">
        <v>0.41666666666666669</v>
      </c>
      <c r="V1675" t="s">
        <v>99</v>
      </c>
      <c r="W1675">
        <v>2</v>
      </c>
      <c r="X1675" t="s">
        <v>102</v>
      </c>
      <c r="Y1675" t="b">
        <v>0</v>
      </c>
    </row>
    <row r="1676" spans="1:25" x14ac:dyDescent="0.55000000000000004">
      <c r="A1676" t="s">
        <v>94</v>
      </c>
      <c r="B1676" t="s">
        <v>381</v>
      </c>
      <c r="C1676" t="s">
        <v>348</v>
      </c>
      <c r="D1676" t="s">
        <v>174</v>
      </c>
      <c r="E1676" t="s">
        <v>241</v>
      </c>
      <c r="F1676" t="s">
        <v>99</v>
      </c>
      <c r="G1676">
        <v>24688</v>
      </c>
      <c r="H1676" t="s">
        <v>410</v>
      </c>
      <c r="I1676">
        <v>1</v>
      </c>
      <c r="J1676" t="s">
        <v>101</v>
      </c>
      <c r="K1676" s="19">
        <v>0.47916666666666669</v>
      </c>
      <c r="L1676" s="19">
        <v>0.66666666666666663</v>
      </c>
      <c r="M1676">
        <v>4.5</v>
      </c>
      <c r="N1676">
        <v>250.8</v>
      </c>
      <c r="O1676">
        <v>76</v>
      </c>
      <c r="P1676">
        <v>76</v>
      </c>
      <c r="Q1676" t="s">
        <v>99</v>
      </c>
      <c r="R1676">
        <v>30</v>
      </c>
      <c r="S1676" s="19">
        <v>0.64583333333333337</v>
      </c>
      <c r="T1676">
        <v>0</v>
      </c>
      <c r="U1676" s="19"/>
      <c r="V1676" t="s">
        <v>99</v>
      </c>
      <c r="W1676">
        <v>4</v>
      </c>
      <c r="X1676" t="s">
        <v>102</v>
      </c>
      <c r="Y1676" t="b">
        <v>0</v>
      </c>
    </row>
    <row r="1677" spans="1:25" x14ac:dyDescent="0.55000000000000004">
      <c r="A1677" t="s">
        <v>94</v>
      </c>
      <c r="B1677" t="s">
        <v>381</v>
      </c>
      <c r="C1677" t="s">
        <v>348</v>
      </c>
      <c r="D1677" t="s">
        <v>174</v>
      </c>
      <c r="E1677" t="s">
        <v>241</v>
      </c>
      <c r="F1677" t="s">
        <v>99</v>
      </c>
      <c r="G1677">
        <v>24688</v>
      </c>
      <c r="H1677" t="s">
        <v>410</v>
      </c>
      <c r="I1677">
        <v>1</v>
      </c>
      <c r="J1677" t="s">
        <v>103</v>
      </c>
      <c r="K1677" s="19">
        <v>0.47916666666666669</v>
      </c>
      <c r="L1677" s="19">
        <v>0.66666666666666663</v>
      </c>
      <c r="M1677">
        <v>4.5</v>
      </c>
      <c r="N1677">
        <v>250.8</v>
      </c>
      <c r="O1677">
        <v>76</v>
      </c>
      <c r="P1677">
        <v>76</v>
      </c>
      <c r="Q1677" t="s">
        <v>99</v>
      </c>
      <c r="R1677">
        <v>30</v>
      </c>
      <c r="S1677" s="19">
        <v>0.64583333333333337</v>
      </c>
      <c r="T1677">
        <v>0</v>
      </c>
      <c r="U1677" s="19"/>
      <c r="V1677" t="s">
        <v>99</v>
      </c>
      <c r="W1677">
        <v>4</v>
      </c>
      <c r="X1677" t="s">
        <v>102</v>
      </c>
      <c r="Y1677" t="b">
        <v>0</v>
      </c>
    </row>
    <row r="1678" spans="1:25" x14ac:dyDescent="0.55000000000000004">
      <c r="A1678" t="s">
        <v>94</v>
      </c>
      <c r="B1678" t="s">
        <v>381</v>
      </c>
      <c r="C1678" t="s">
        <v>348</v>
      </c>
      <c r="D1678" t="s">
        <v>174</v>
      </c>
      <c r="E1678" t="s">
        <v>241</v>
      </c>
      <c r="F1678" t="s">
        <v>99</v>
      </c>
      <c r="G1678">
        <v>24688</v>
      </c>
      <c r="H1678" t="s">
        <v>410</v>
      </c>
      <c r="I1678">
        <v>1</v>
      </c>
      <c r="J1678" t="s">
        <v>104</v>
      </c>
      <c r="K1678" s="19">
        <v>0.47916666666666669</v>
      </c>
      <c r="L1678" s="19">
        <v>0.66666666666666663</v>
      </c>
      <c r="M1678">
        <v>4.5</v>
      </c>
      <c r="N1678">
        <v>250.8</v>
      </c>
      <c r="O1678">
        <v>76</v>
      </c>
      <c r="P1678">
        <v>76</v>
      </c>
      <c r="Q1678" t="s">
        <v>99</v>
      </c>
      <c r="R1678">
        <v>30</v>
      </c>
      <c r="S1678" s="19">
        <v>0.64583333333333337</v>
      </c>
      <c r="T1678">
        <v>0</v>
      </c>
      <c r="U1678" s="19"/>
      <c r="V1678" t="s">
        <v>99</v>
      </c>
      <c r="W1678">
        <v>4</v>
      </c>
      <c r="X1678" t="s">
        <v>102</v>
      </c>
      <c r="Y1678" t="b">
        <v>0</v>
      </c>
    </row>
    <row r="1679" spans="1:25" x14ac:dyDescent="0.55000000000000004">
      <c r="A1679" t="s">
        <v>94</v>
      </c>
      <c r="B1679" t="s">
        <v>381</v>
      </c>
      <c r="C1679" t="s">
        <v>348</v>
      </c>
      <c r="D1679" t="s">
        <v>174</v>
      </c>
      <c r="E1679" t="s">
        <v>241</v>
      </c>
      <c r="F1679" t="s">
        <v>99</v>
      </c>
      <c r="G1679">
        <v>24688</v>
      </c>
      <c r="H1679" t="s">
        <v>410</v>
      </c>
      <c r="I1679">
        <v>1</v>
      </c>
      <c r="J1679" t="s">
        <v>105</v>
      </c>
      <c r="K1679" s="19">
        <v>0.47916666666666669</v>
      </c>
      <c r="L1679" s="19">
        <v>0.66666666666666663</v>
      </c>
      <c r="M1679">
        <v>4.5</v>
      </c>
      <c r="N1679">
        <v>250.8</v>
      </c>
      <c r="O1679">
        <v>76</v>
      </c>
      <c r="P1679">
        <v>76</v>
      </c>
      <c r="Q1679" t="s">
        <v>99</v>
      </c>
      <c r="R1679">
        <v>30</v>
      </c>
      <c r="S1679" s="19">
        <v>0.64583333333333337</v>
      </c>
      <c r="T1679">
        <v>0</v>
      </c>
      <c r="U1679" s="19"/>
      <c r="V1679" t="s">
        <v>99</v>
      </c>
      <c r="W1679">
        <v>4</v>
      </c>
      <c r="X1679" t="s">
        <v>102</v>
      </c>
      <c r="Y1679" t="b">
        <v>0</v>
      </c>
    </row>
    <row r="1680" spans="1:25" x14ac:dyDescent="0.55000000000000004">
      <c r="A1680" t="s">
        <v>94</v>
      </c>
      <c r="B1680" t="s">
        <v>381</v>
      </c>
      <c r="C1680" t="s">
        <v>348</v>
      </c>
      <c r="D1680" t="s">
        <v>174</v>
      </c>
      <c r="E1680" t="s">
        <v>241</v>
      </c>
      <c r="F1680" t="s">
        <v>99</v>
      </c>
      <c r="G1680">
        <v>24688</v>
      </c>
      <c r="H1680" t="s">
        <v>410</v>
      </c>
      <c r="I1680">
        <v>2</v>
      </c>
      <c r="J1680" t="s">
        <v>107</v>
      </c>
      <c r="K1680" s="19">
        <v>0.47916666666666669</v>
      </c>
      <c r="L1680" s="19">
        <v>0.58333333333333337</v>
      </c>
      <c r="M1680">
        <v>2.5</v>
      </c>
      <c r="N1680">
        <v>125.4</v>
      </c>
      <c r="O1680">
        <v>76</v>
      </c>
      <c r="P1680">
        <v>76</v>
      </c>
      <c r="Q1680" t="s">
        <v>99</v>
      </c>
      <c r="R1680">
        <v>30</v>
      </c>
      <c r="S1680" s="19">
        <v>0.54166666666666663</v>
      </c>
      <c r="U1680" s="19">
        <v>0.41666666666666669</v>
      </c>
      <c r="V1680" t="s">
        <v>99</v>
      </c>
      <c r="W1680">
        <v>2</v>
      </c>
      <c r="X1680" t="s">
        <v>102</v>
      </c>
      <c r="Y1680" t="b">
        <v>0</v>
      </c>
    </row>
    <row r="1681" spans="1:25" x14ac:dyDescent="0.55000000000000004">
      <c r="A1681" t="s">
        <v>94</v>
      </c>
      <c r="B1681" t="s">
        <v>381</v>
      </c>
      <c r="C1681" t="s">
        <v>348</v>
      </c>
      <c r="D1681" t="s">
        <v>174</v>
      </c>
      <c r="E1681" t="s">
        <v>241</v>
      </c>
      <c r="F1681" t="s">
        <v>99</v>
      </c>
      <c r="G1681">
        <v>24688</v>
      </c>
      <c r="H1681" t="s">
        <v>410</v>
      </c>
      <c r="I1681">
        <v>2</v>
      </c>
      <c r="J1681" t="s">
        <v>101</v>
      </c>
      <c r="K1681" s="19">
        <v>0.47916666666666669</v>
      </c>
      <c r="L1681" s="19">
        <v>0.66666666666666663</v>
      </c>
      <c r="M1681">
        <v>4.5</v>
      </c>
      <c r="N1681">
        <v>250.8</v>
      </c>
      <c r="O1681">
        <v>76</v>
      </c>
      <c r="P1681">
        <v>76</v>
      </c>
      <c r="Q1681" t="s">
        <v>99</v>
      </c>
      <c r="R1681">
        <v>30</v>
      </c>
      <c r="S1681" s="19">
        <v>0.64583333333333337</v>
      </c>
      <c r="U1681" s="19">
        <v>0.41666666666666669</v>
      </c>
      <c r="V1681" t="s">
        <v>99</v>
      </c>
      <c r="W1681">
        <v>4</v>
      </c>
      <c r="X1681" t="s">
        <v>102</v>
      </c>
      <c r="Y1681" t="b">
        <v>0</v>
      </c>
    </row>
    <row r="1682" spans="1:25" x14ac:dyDescent="0.55000000000000004">
      <c r="A1682" t="s">
        <v>94</v>
      </c>
      <c r="B1682" t="s">
        <v>381</v>
      </c>
      <c r="C1682" t="s">
        <v>348</v>
      </c>
      <c r="D1682" t="s">
        <v>174</v>
      </c>
      <c r="E1682" t="s">
        <v>241</v>
      </c>
      <c r="F1682" t="s">
        <v>99</v>
      </c>
      <c r="G1682">
        <v>24688</v>
      </c>
      <c r="H1682" t="s">
        <v>410</v>
      </c>
      <c r="I1682">
        <v>2</v>
      </c>
      <c r="J1682" t="s">
        <v>103</v>
      </c>
      <c r="K1682" s="19">
        <v>0.47916666666666669</v>
      </c>
      <c r="L1682" s="19">
        <v>0.66666666666666663</v>
      </c>
      <c r="M1682">
        <v>4.5</v>
      </c>
      <c r="N1682">
        <v>250.8</v>
      </c>
      <c r="O1682">
        <v>76</v>
      </c>
      <c r="P1682">
        <v>76</v>
      </c>
      <c r="Q1682" t="s">
        <v>99</v>
      </c>
      <c r="R1682">
        <v>30</v>
      </c>
      <c r="S1682" s="19">
        <v>0.64583333333333337</v>
      </c>
      <c r="T1682">
        <v>0</v>
      </c>
      <c r="U1682" s="19"/>
      <c r="V1682" t="s">
        <v>99</v>
      </c>
      <c r="W1682">
        <v>4</v>
      </c>
      <c r="X1682" t="s">
        <v>102</v>
      </c>
      <c r="Y1682" t="b">
        <v>0</v>
      </c>
    </row>
    <row r="1683" spans="1:25" x14ac:dyDescent="0.55000000000000004">
      <c r="A1683" t="s">
        <v>94</v>
      </c>
      <c r="B1683" t="s">
        <v>381</v>
      </c>
      <c r="C1683" t="s">
        <v>348</v>
      </c>
      <c r="D1683" t="s">
        <v>174</v>
      </c>
      <c r="E1683" t="s">
        <v>241</v>
      </c>
      <c r="F1683" t="s">
        <v>99</v>
      </c>
      <c r="G1683">
        <v>24688</v>
      </c>
      <c r="H1683" t="s">
        <v>410</v>
      </c>
      <c r="I1683">
        <v>2</v>
      </c>
      <c r="J1683" t="s">
        <v>104</v>
      </c>
      <c r="K1683" s="19">
        <v>0.47916666666666669</v>
      </c>
      <c r="L1683" s="19">
        <v>0.66666666666666663</v>
      </c>
      <c r="M1683">
        <v>4.5</v>
      </c>
      <c r="N1683">
        <v>250.8</v>
      </c>
      <c r="O1683">
        <v>76</v>
      </c>
      <c r="P1683">
        <v>76</v>
      </c>
      <c r="Q1683" t="s">
        <v>99</v>
      </c>
      <c r="R1683">
        <v>30</v>
      </c>
      <c r="S1683" s="19">
        <v>0.64583333333333337</v>
      </c>
      <c r="U1683" s="19">
        <v>0.41666666666666669</v>
      </c>
      <c r="V1683" t="s">
        <v>99</v>
      </c>
      <c r="W1683">
        <v>4</v>
      </c>
      <c r="X1683" t="s">
        <v>102</v>
      </c>
      <c r="Y1683" t="b">
        <v>0</v>
      </c>
    </row>
    <row r="1684" spans="1:25" x14ac:dyDescent="0.55000000000000004">
      <c r="A1684" t="s">
        <v>94</v>
      </c>
      <c r="B1684" t="s">
        <v>381</v>
      </c>
      <c r="C1684" t="s">
        <v>348</v>
      </c>
      <c r="D1684" t="s">
        <v>174</v>
      </c>
      <c r="E1684" t="s">
        <v>241</v>
      </c>
      <c r="F1684" t="s">
        <v>99</v>
      </c>
      <c r="G1684">
        <v>24688</v>
      </c>
      <c r="H1684" t="s">
        <v>410</v>
      </c>
      <c r="I1684">
        <v>2</v>
      </c>
      <c r="J1684" t="s">
        <v>105</v>
      </c>
      <c r="K1684" s="19">
        <v>0.47916666666666669</v>
      </c>
      <c r="L1684" s="19">
        <v>0.66666666666666663</v>
      </c>
      <c r="M1684">
        <v>4.5</v>
      </c>
      <c r="N1684">
        <v>250.8</v>
      </c>
      <c r="O1684">
        <v>76</v>
      </c>
      <c r="P1684">
        <v>76</v>
      </c>
      <c r="Q1684" t="s">
        <v>99</v>
      </c>
      <c r="R1684">
        <v>30</v>
      </c>
      <c r="S1684" s="19">
        <v>0.64583333333333337</v>
      </c>
      <c r="T1684">
        <v>0</v>
      </c>
      <c r="U1684" s="19"/>
      <c r="V1684" t="s">
        <v>99</v>
      </c>
      <c r="W1684">
        <v>4</v>
      </c>
      <c r="X1684" t="s">
        <v>102</v>
      </c>
      <c r="Y1684" t="b">
        <v>0</v>
      </c>
    </row>
    <row r="1685" spans="1:25" x14ac:dyDescent="0.55000000000000004">
      <c r="A1685" t="s">
        <v>94</v>
      </c>
      <c r="B1685" t="s">
        <v>381</v>
      </c>
      <c r="C1685" t="s">
        <v>348</v>
      </c>
      <c r="D1685" t="s">
        <v>174</v>
      </c>
      <c r="E1685" t="s">
        <v>245</v>
      </c>
      <c r="F1685" t="s">
        <v>99</v>
      </c>
      <c r="G1685">
        <v>10953</v>
      </c>
      <c r="H1685" t="s">
        <v>411</v>
      </c>
      <c r="I1685">
        <v>1</v>
      </c>
      <c r="J1685" t="s">
        <v>107</v>
      </c>
      <c r="K1685" s="19">
        <v>0.29166666666666669</v>
      </c>
      <c r="L1685" s="19">
        <v>0.64583333333333337</v>
      </c>
      <c r="M1685">
        <v>8.5</v>
      </c>
      <c r="N1685">
        <v>309.60000000000002</v>
      </c>
      <c r="O1685">
        <v>72</v>
      </c>
      <c r="P1685">
        <v>76</v>
      </c>
      <c r="Q1685" t="s">
        <v>99</v>
      </c>
      <c r="R1685">
        <v>30</v>
      </c>
      <c r="S1685" s="19">
        <v>0.5</v>
      </c>
      <c r="U1685" s="19">
        <v>0.41666666666666669</v>
      </c>
      <c r="V1685" t="s">
        <v>99</v>
      </c>
      <c r="W1685">
        <v>8</v>
      </c>
      <c r="X1685" t="s">
        <v>412</v>
      </c>
      <c r="Y1685" t="b">
        <v>0</v>
      </c>
    </row>
    <row r="1686" spans="1:25" x14ac:dyDescent="0.55000000000000004">
      <c r="A1686" t="s">
        <v>94</v>
      </c>
      <c r="B1686" t="s">
        <v>381</v>
      </c>
      <c r="C1686" t="s">
        <v>348</v>
      </c>
      <c r="D1686" t="s">
        <v>174</v>
      </c>
      <c r="E1686" t="s">
        <v>245</v>
      </c>
      <c r="F1686" t="s">
        <v>99</v>
      </c>
      <c r="G1686">
        <v>10953</v>
      </c>
      <c r="H1686" t="s">
        <v>411</v>
      </c>
      <c r="I1686">
        <v>2</v>
      </c>
      <c r="J1686" t="s">
        <v>104</v>
      </c>
      <c r="K1686" s="19">
        <v>0.29166666666666669</v>
      </c>
      <c r="L1686" s="19">
        <v>0.64583333333333337</v>
      </c>
      <c r="M1686">
        <v>8.5</v>
      </c>
      <c r="N1686">
        <v>309.60000000000002</v>
      </c>
      <c r="O1686">
        <v>72</v>
      </c>
      <c r="P1686">
        <v>76</v>
      </c>
      <c r="Q1686" t="s">
        <v>99</v>
      </c>
      <c r="R1686">
        <v>30</v>
      </c>
      <c r="S1686" s="19">
        <v>0.5</v>
      </c>
      <c r="U1686" s="19">
        <v>0.41666666666666669</v>
      </c>
      <c r="V1686" t="s">
        <v>99</v>
      </c>
      <c r="W1686">
        <v>8</v>
      </c>
      <c r="X1686" t="s">
        <v>412</v>
      </c>
      <c r="Y1686" t="b">
        <v>0</v>
      </c>
    </row>
    <row r="1687" spans="1:25" x14ac:dyDescent="0.55000000000000004">
      <c r="A1687" t="s">
        <v>94</v>
      </c>
      <c r="B1687" t="s">
        <v>381</v>
      </c>
      <c r="C1687" t="s">
        <v>348</v>
      </c>
      <c r="D1687" t="s">
        <v>174</v>
      </c>
      <c r="E1687" t="s">
        <v>245</v>
      </c>
      <c r="F1687" t="s">
        <v>99</v>
      </c>
      <c r="G1687">
        <v>10953</v>
      </c>
      <c r="H1687" t="s">
        <v>411</v>
      </c>
      <c r="I1687">
        <v>2</v>
      </c>
      <c r="J1687" t="s">
        <v>105</v>
      </c>
      <c r="K1687" s="19">
        <v>0.29166666666666669</v>
      </c>
      <c r="L1687" s="19">
        <v>0.64583333333333337</v>
      </c>
      <c r="M1687">
        <v>8.5</v>
      </c>
      <c r="N1687">
        <v>309.60000000000002</v>
      </c>
      <c r="O1687">
        <v>72</v>
      </c>
      <c r="P1687">
        <v>76</v>
      </c>
      <c r="Q1687" t="s">
        <v>99</v>
      </c>
      <c r="R1687">
        <v>30</v>
      </c>
      <c r="S1687" s="19">
        <v>0.5</v>
      </c>
      <c r="U1687" s="19">
        <v>0.41666666666666669</v>
      </c>
      <c r="V1687" t="s">
        <v>99</v>
      </c>
      <c r="W1687">
        <v>8</v>
      </c>
      <c r="X1687" t="s">
        <v>412</v>
      </c>
      <c r="Y1687" t="b">
        <v>0</v>
      </c>
    </row>
    <row r="1688" spans="1:25" x14ac:dyDescent="0.55000000000000004">
      <c r="A1688" t="s">
        <v>94</v>
      </c>
      <c r="B1688" t="s">
        <v>381</v>
      </c>
      <c r="C1688" t="s">
        <v>348</v>
      </c>
      <c r="D1688" t="s">
        <v>174</v>
      </c>
      <c r="E1688" t="s">
        <v>245</v>
      </c>
      <c r="F1688" t="s">
        <v>99</v>
      </c>
      <c r="G1688">
        <v>12388</v>
      </c>
      <c r="H1688" t="s">
        <v>413</v>
      </c>
      <c r="I1688">
        <v>1</v>
      </c>
      <c r="J1688" t="s">
        <v>116</v>
      </c>
      <c r="K1688" s="19">
        <v>0.29166666666666669</v>
      </c>
      <c r="L1688" s="19">
        <v>0.64583333333333337</v>
      </c>
      <c r="M1688">
        <v>8.5</v>
      </c>
      <c r="N1688">
        <v>564.34</v>
      </c>
      <c r="O1688">
        <v>76</v>
      </c>
      <c r="P1688">
        <v>76</v>
      </c>
      <c r="Q1688" t="s">
        <v>99</v>
      </c>
      <c r="R1688">
        <v>30</v>
      </c>
      <c r="S1688" s="19">
        <v>0.5</v>
      </c>
      <c r="T1688">
        <v>0</v>
      </c>
      <c r="U1688" s="19"/>
      <c r="V1688" t="s">
        <v>99</v>
      </c>
      <c r="W1688">
        <v>8</v>
      </c>
      <c r="X1688" t="s">
        <v>102</v>
      </c>
      <c r="Y1688" t="b">
        <v>0</v>
      </c>
    </row>
    <row r="1689" spans="1:25" x14ac:dyDescent="0.55000000000000004">
      <c r="A1689" t="s">
        <v>94</v>
      </c>
      <c r="B1689" t="s">
        <v>381</v>
      </c>
      <c r="C1689" t="s">
        <v>348</v>
      </c>
      <c r="D1689" t="s">
        <v>174</v>
      </c>
      <c r="E1689" t="s">
        <v>245</v>
      </c>
      <c r="F1689" t="s">
        <v>99</v>
      </c>
      <c r="G1689">
        <v>12388</v>
      </c>
      <c r="H1689" t="s">
        <v>413</v>
      </c>
      <c r="I1689">
        <v>1</v>
      </c>
      <c r="J1689" t="s">
        <v>103</v>
      </c>
      <c r="K1689" s="19">
        <v>0.29166666666666669</v>
      </c>
      <c r="L1689" s="19">
        <v>0.64583333333333337</v>
      </c>
      <c r="M1689">
        <v>8.5</v>
      </c>
      <c r="N1689">
        <v>322.48</v>
      </c>
      <c r="O1689">
        <v>76</v>
      </c>
      <c r="P1689">
        <v>76</v>
      </c>
      <c r="Q1689" t="s">
        <v>99</v>
      </c>
      <c r="R1689">
        <v>30</v>
      </c>
      <c r="S1689" s="19">
        <v>0.5</v>
      </c>
      <c r="T1689">
        <v>0</v>
      </c>
      <c r="U1689" s="19">
        <v>0.41666666666666669</v>
      </c>
      <c r="V1689" t="s">
        <v>99</v>
      </c>
      <c r="W1689">
        <v>8</v>
      </c>
      <c r="X1689" t="s">
        <v>102</v>
      </c>
      <c r="Y1689" t="b">
        <v>0</v>
      </c>
    </row>
    <row r="1690" spans="1:25" x14ac:dyDescent="0.55000000000000004">
      <c r="A1690" t="s">
        <v>94</v>
      </c>
      <c r="B1690" t="s">
        <v>381</v>
      </c>
      <c r="C1690" t="s">
        <v>348</v>
      </c>
      <c r="D1690" t="s">
        <v>174</v>
      </c>
      <c r="E1690" t="s">
        <v>245</v>
      </c>
      <c r="F1690" t="s">
        <v>99</v>
      </c>
      <c r="G1690">
        <v>12388</v>
      </c>
      <c r="H1690" t="s">
        <v>413</v>
      </c>
      <c r="I1690">
        <v>2</v>
      </c>
      <c r="J1690" t="s">
        <v>116</v>
      </c>
      <c r="K1690" s="19">
        <v>0.29166666666666669</v>
      </c>
      <c r="L1690" s="19">
        <v>0.45833333333333331</v>
      </c>
      <c r="M1690">
        <v>4</v>
      </c>
      <c r="N1690">
        <v>282.17</v>
      </c>
      <c r="O1690">
        <v>76</v>
      </c>
      <c r="P1690">
        <v>76</v>
      </c>
      <c r="Q1690" t="s">
        <v>99</v>
      </c>
      <c r="R1690">
        <v>0</v>
      </c>
      <c r="S1690" s="19">
        <v>0.5</v>
      </c>
      <c r="U1690" s="19"/>
      <c r="V1690" t="s">
        <v>8</v>
      </c>
      <c r="W1690">
        <v>4</v>
      </c>
      <c r="X1690" t="s">
        <v>102</v>
      </c>
      <c r="Y1690" t="b">
        <v>0</v>
      </c>
    </row>
    <row r="1691" spans="1:25" x14ac:dyDescent="0.55000000000000004">
      <c r="A1691" t="s">
        <v>94</v>
      </c>
      <c r="B1691" t="s">
        <v>381</v>
      </c>
      <c r="C1691" t="s">
        <v>348</v>
      </c>
      <c r="D1691" t="s">
        <v>174</v>
      </c>
      <c r="E1691" t="s">
        <v>245</v>
      </c>
      <c r="F1691" t="s">
        <v>99</v>
      </c>
      <c r="G1691">
        <v>15900</v>
      </c>
      <c r="H1691" t="s">
        <v>414</v>
      </c>
      <c r="I1691">
        <v>1</v>
      </c>
      <c r="J1691" t="s">
        <v>107</v>
      </c>
      <c r="K1691" s="19">
        <v>0.29166666666666669</v>
      </c>
      <c r="L1691" s="19">
        <v>0.64583333333333337</v>
      </c>
      <c r="M1691">
        <v>8.5</v>
      </c>
      <c r="N1691">
        <v>319.36</v>
      </c>
      <c r="O1691">
        <v>56</v>
      </c>
      <c r="P1691">
        <v>76</v>
      </c>
      <c r="Q1691" t="s">
        <v>99</v>
      </c>
      <c r="R1691">
        <v>30</v>
      </c>
      <c r="S1691" s="19">
        <v>0.5</v>
      </c>
      <c r="T1691">
        <v>0</v>
      </c>
      <c r="U1691" s="19"/>
      <c r="V1691" t="s">
        <v>99</v>
      </c>
      <c r="W1691">
        <v>8</v>
      </c>
      <c r="X1691" t="s">
        <v>102</v>
      </c>
      <c r="Y1691" t="b">
        <v>0</v>
      </c>
    </row>
    <row r="1692" spans="1:25" x14ac:dyDescent="0.55000000000000004">
      <c r="A1692" t="s">
        <v>94</v>
      </c>
      <c r="B1692" t="s">
        <v>381</v>
      </c>
      <c r="C1692" t="s">
        <v>348</v>
      </c>
      <c r="D1692" t="s">
        <v>174</v>
      </c>
      <c r="E1692" t="s">
        <v>245</v>
      </c>
      <c r="F1692" t="s">
        <v>99</v>
      </c>
      <c r="G1692">
        <v>15900</v>
      </c>
      <c r="H1692" t="s">
        <v>414</v>
      </c>
      <c r="I1692">
        <v>1</v>
      </c>
      <c r="J1692" t="s">
        <v>115</v>
      </c>
      <c r="K1692" s="19">
        <v>0.29166666666666669</v>
      </c>
      <c r="L1692" s="19">
        <v>0.64583333333333337</v>
      </c>
      <c r="M1692">
        <v>8.5</v>
      </c>
      <c r="N1692">
        <v>479.04</v>
      </c>
      <c r="O1692">
        <v>56</v>
      </c>
      <c r="P1692">
        <v>76</v>
      </c>
      <c r="Q1692" t="s">
        <v>99</v>
      </c>
      <c r="R1692">
        <v>30</v>
      </c>
      <c r="S1692" s="19">
        <v>0.5</v>
      </c>
      <c r="T1692">
        <v>0</v>
      </c>
      <c r="U1692" s="19"/>
      <c r="V1692" t="s">
        <v>99</v>
      </c>
      <c r="W1692">
        <v>8</v>
      </c>
      <c r="X1692" t="s">
        <v>102</v>
      </c>
      <c r="Y1692" t="b">
        <v>0</v>
      </c>
    </row>
    <row r="1693" spans="1:25" x14ac:dyDescent="0.55000000000000004">
      <c r="A1693" t="s">
        <v>94</v>
      </c>
      <c r="B1693" t="s">
        <v>381</v>
      </c>
      <c r="C1693" t="s">
        <v>348</v>
      </c>
      <c r="D1693" t="s">
        <v>174</v>
      </c>
      <c r="E1693" t="s">
        <v>245</v>
      </c>
      <c r="F1693" t="s">
        <v>99</v>
      </c>
      <c r="G1693">
        <v>15900</v>
      </c>
      <c r="H1693" t="s">
        <v>414</v>
      </c>
      <c r="I1693">
        <v>1</v>
      </c>
      <c r="J1693" t="s">
        <v>103</v>
      </c>
      <c r="K1693" s="19">
        <v>0.29166666666666669</v>
      </c>
      <c r="L1693" s="19">
        <v>0.64583333333333337</v>
      </c>
      <c r="M1693">
        <v>8.5</v>
      </c>
      <c r="N1693">
        <v>319.36</v>
      </c>
      <c r="O1693">
        <v>56</v>
      </c>
      <c r="P1693">
        <v>76</v>
      </c>
      <c r="Q1693" t="s">
        <v>99</v>
      </c>
      <c r="R1693">
        <v>30</v>
      </c>
      <c r="S1693" s="19">
        <v>0.5</v>
      </c>
      <c r="T1693">
        <v>0</v>
      </c>
      <c r="U1693" s="19"/>
      <c r="V1693" t="s">
        <v>99</v>
      </c>
      <c r="W1693">
        <v>8</v>
      </c>
      <c r="X1693" t="s">
        <v>102</v>
      </c>
      <c r="Y1693" t="b">
        <v>0</v>
      </c>
    </row>
    <row r="1694" spans="1:25" x14ac:dyDescent="0.55000000000000004">
      <c r="A1694" t="s">
        <v>94</v>
      </c>
      <c r="B1694" t="s">
        <v>381</v>
      </c>
      <c r="C1694" t="s">
        <v>348</v>
      </c>
      <c r="D1694" t="s">
        <v>174</v>
      </c>
      <c r="E1694" t="s">
        <v>245</v>
      </c>
      <c r="F1694" t="s">
        <v>99</v>
      </c>
      <c r="G1694">
        <v>15900</v>
      </c>
      <c r="H1694" t="s">
        <v>414</v>
      </c>
      <c r="I1694">
        <v>1</v>
      </c>
      <c r="J1694" t="s">
        <v>105</v>
      </c>
      <c r="K1694" s="19">
        <v>0.29166666666666669</v>
      </c>
      <c r="L1694" s="19">
        <v>0.64583333333333337</v>
      </c>
      <c r="M1694">
        <v>8.5</v>
      </c>
      <c r="N1694">
        <v>319.36</v>
      </c>
      <c r="O1694">
        <v>56</v>
      </c>
      <c r="P1694">
        <v>76</v>
      </c>
      <c r="Q1694" t="s">
        <v>99</v>
      </c>
      <c r="R1694">
        <v>30</v>
      </c>
      <c r="S1694" s="19">
        <v>0.5</v>
      </c>
      <c r="T1694">
        <v>0</v>
      </c>
      <c r="U1694" s="19"/>
      <c r="V1694" t="s">
        <v>99</v>
      </c>
      <c r="W1694">
        <v>8</v>
      </c>
      <c r="X1694" t="s">
        <v>102</v>
      </c>
      <c r="Y1694" t="b">
        <v>0</v>
      </c>
    </row>
    <row r="1695" spans="1:25" x14ac:dyDescent="0.55000000000000004">
      <c r="A1695" t="s">
        <v>94</v>
      </c>
      <c r="B1695" t="s">
        <v>381</v>
      </c>
      <c r="C1695" t="s">
        <v>348</v>
      </c>
      <c r="D1695" t="s">
        <v>174</v>
      </c>
      <c r="E1695" t="s">
        <v>245</v>
      </c>
      <c r="F1695" t="s">
        <v>99</v>
      </c>
      <c r="G1695">
        <v>15900</v>
      </c>
      <c r="H1695" t="s">
        <v>414</v>
      </c>
      <c r="I1695">
        <v>2</v>
      </c>
      <c r="J1695" t="s">
        <v>107</v>
      </c>
      <c r="K1695" s="19">
        <v>0.29166666666666669</v>
      </c>
      <c r="L1695" s="19">
        <v>0.64583333333333337</v>
      </c>
      <c r="M1695">
        <v>8.5</v>
      </c>
      <c r="N1695">
        <v>319.36</v>
      </c>
      <c r="O1695">
        <v>56</v>
      </c>
      <c r="P1695">
        <v>76</v>
      </c>
      <c r="Q1695" t="s">
        <v>99</v>
      </c>
      <c r="R1695">
        <v>30</v>
      </c>
      <c r="S1695" s="19">
        <v>0.5</v>
      </c>
      <c r="T1695">
        <v>0</v>
      </c>
      <c r="U1695" s="19"/>
      <c r="V1695" t="s">
        <v>99</v>
      </c>
      <c r="W1695">
        <v>8</v>
      </c>
      <c r="X1695" t="s">
        <v>102</v>
      </c>
      <c r="Y1695" t="b">
        <v>0</v>
      </c>
    </row>
    <row r="1696" spans="1:25" x14ac:dyDescent="0.55000000000000004">
      <c r="A1696" t="s">
        <v>94</v>
      </c>
      <c r="B1696" t="s">
        <v>381</v>
      </c>
      <c r="C1696" t="s">
        <v>348</v>
      </c>
      <c r="D1696" t="s">
        <v>174</v>
      </c>
      <c r="E1696" t="s">
        <v>245</v>
      </c>
      <c r="F1696" t="s">
        <v>99</v>
      </c>
      <c r="G1696">
        <v>15900</v>
      </c>
      <c r="H1696" t="s">
        <v>414</v>
      </c>
      <c r="I1696">
        <v>2</v>
      </c>
      <c r="J1696" t="s">
        <v>103</v>
      </c>
      <c r="K1696" s="19">
        <v>0.29166666666666669</v>
      </c>
      <c r="L1696" s="19">
        <v>0.64583333333333337</v>
      </c>
      <c r="M1696">
        <v>8.5</v>
      </c>
      <c r="N1696">
        <v>319.36</v>
      </c>
      <c r="O1696">
        <v>56</v>
      </c>
      <c r="P1696">
        <v>76</v>
      </c>
      <c r="Q1696" t="s">
        <v>99</v>
      </c>
      <c r="R1696">
        <v>30</v>
      </c>
      <c r="S1696" s="19">
        <v>0.5</v>
      </c>
      <c r="T1696">
        <v>0</v>
      </c>
      <c r="U1696" s="19"/>
      <c r="V1696" t="s">
        <v>99</v>
      </c>
      <c r="W1696">
        <v>8</v>
      </c>
      <c r="X1696" t="s">
        <v>102</v>
      </c>
      <c r="Y1696" t="b">
        <v>0</v>
      </c>
    </row>
    <row r="1697" spans="1:25" x14ac:dyDescent="0.55000000000000004">
      <c r="A1697" t="s">
        <v>94</v>
      </c>
      <c r="B1697" t="s">
        <v>381</v>
      </c>
      <c r="C1697" t="s">
        <v>348</v>
      </c>
      <c r="D1697" t="s">
        <v>174</v>
      </c>
      <c r="E1697" t="s">
        <v>245</v>
      </c>
      <c r="F1697" t="s">
        <v>99</v>
      </c>
      <c r="G1697">
        <v>15900</v>
      </c>
      <c r="H1697" t="s">
        <v>414</v>
      </c>
      <c r="I1697">
        <v>2</v>
      </c>
      <c r="J1697" t="s">
        <v>104</v>
      </c>
      <c r="K1697" s="19">
        <v>0.29166666666666669</v>
      </c>
      <c r="L1697" s="19">
        <v>0.64583333333333337</v>
      </c>
      <c r="M1697">
        <v>8.5</v>
      </c>
      <c r="N1697">
        <v>319.36</v>
      </c>
      <c r="O1697">
        <v>56</v>
      </c>
      <c r="P1697">
        <v>76</v>
      </c>
      <c r="Q1697" t="s">
        <v>99</v>
      </c>
      <c r="R1697">
        <v>30</v>
      </c>
      <c r="S1697" s="19">
        <v>0.5</v>
      </c>
      <c r="T1697">
        <v>0</v>
      </c>
      <c r="U1697" s="19"/>
      <c r="V1697" t="s">
        <v>99</v>
      </c>
      <c r="W1697">
        <v>8</v>
      </c>
      <c r="X1697" t="s">
        <v>102</v>
      </c>
      <c r="Y1697" t="b">
        <v>0</v>
      </c>
    </row>
    <row r="1698" spans="1:25" x14ac:dyDescent="0.55000000000000004">
      <c r="A1698" t="s">
        <v>94</v>
      </c>
      <c r="B1698" t="s">
        <v>381</v>
      </c>
      <c r="C1698" t="s">
        <v>348</v>
      </c>
      <c r="D1698" t="s">
        <v>174</v>
      </c>
      <c r="E1698" t="s">
        <v>245</v>
      </c>
      <c r="F1698" t="s">
        <v>99</v>
      </c>
      <c r="G1698">
        <v>15900</v>
      </c>
      <c r="H1698" t="s">
        <v>414</v>
      </c>
      <c r="I1698">
        <v>2</v>
      </c>
      <c r="J1698" t="s">
        <v>105</v>
      </c>
      <c r="K1698" s="19">
        <v>0.29166666666666669</v>
      </c>
      <c r="L1698" s="19">
        <v>0.64583333333333337</v>
      </c>
      <c r="M1698">
        <v>8.5</v>
      </c>
      <c r="N1698">
        <v>319.36</v>
      </c>
      <c r="O1698">
        <v>56</v>
      </c>
      <c r="P1698">
        <v>76</v>
      </c>
      <c r="Q1698" t="s">
        <v>99</v>
      </c>
      <c r="R1698">
        <v>30</v>
      </c>
      <c r="S1698" s="19">
        <v>0.5</v>
      </c>
      <c r="T1698">
        <v>0</v>
      </c>
      <c r="U1698" s="19"/>
      <c r="V1698" t="s">
        <v>99</v>
      </c>
      <c r="W1698">
        <v>8</v>
      </c>
      <c r="X1698" t="s">
        <v>102</v>
      </c>
      <c r="Y1698" t="b">
        <v>0</v>
      </c>
    </row>
    <row r="1699" spans="1:25" x14ac:dyDescent="0.55000000000000004">
      <c r="A1699" t="s">
        <v>94</v>
      </c>
      <c r="B1699" t="s">
        <v>381</v>
      </c>
      <c r="C1699" t="s">
        <v>348</v>
      </c>
      <c r="D1699" t="s">
        <v>174</v>
      </c>
      <c r="E1699" t="s">
        <v>245</v>
      </c>
      <c r="F1699" t="s">
        <v>353</v>
      </c>
      <c r="G1699">
        <v>12388</v>
      </c>
      <c r="H1699" t="s">
        <v>413</v>
      </c>
      <c r="I1699">
        <v>2</v>
      </c>
      <c r="J1699" t="s">
        <v>103</v>
      </c>
      <c r="K1699" s="19">
        <v>0.29166666666666669</v>
      </c>
      <c r="L1699" s="19">
        <v>0.64583333333333337</v>
      </c>
      <c r="M1699">
        <v>8.5</v>
      </c>
      <c r="N1699">
        <v>322.48</v>
      </c>
      <c r="O1699">
        <v>76</v>
      </c>
      <c r="P1699">
        <v>76</v>
      </c>
      <c r="Q1699" t="s">
        <v>99</v>
      </c>
      <c r="R1699">
        <v>30</v>
      </c>
      <c r="S1699" s="19">
        <v>0.54166666666666663</v>
      </c>
      <c r="T1699">
        <v>0</v>
      </c>
      <c r="U1699" s="19">
        <v>0.41666666666666669</v>
      </c>
      <c r="V1699" t="s">
        <v>415</v>
      </c>
      <c r="W1699">
        <v>8</v>
      </c>
      <c r="X1699" t="s">
        <v>102</v>
      </c>
      <c r="Y1699" t="b">
        <v>0</v>
      </c>
    </row>
    <row r="1700" spans="1:25" x14ac:dyDescent="0.55000000000000004">
      <c r="A1700" t="s">
        <v>94</v>
      </c>
      <c r="B1700" t="s">
        <v>381</v>
      </c>
      <c r="C1700" t="s">
        <v>348</v>
      </c>
      <c r="D1700" t="s">
        <v>174</v>
      </c>
      <c r="E1700" t="s">
        <v>258</v>
      </c>
      <c r="F1700" t="s">
        <v>376</v>
      </c>
      <c r="H1700" t="s">
        <v>99</v>
      </c>
      <c r="I1700">
        <v>1</v>
      </c>
      <c r="J1700" t="s">
        <v>105</v>
      </c>
      <c r="K1700" s="19">
        <v>0.625</v>
      </c>
      <c r="L1700" s="19">
        <v>0.89583333333333337</v>
      </c>
      <c r="M1700">
        <v>6.5</v>
      </c>
      <c r="N1700">
        <v>254.14</v>
      </c>
      <c r="O1700">
        <v>0</v>
      </c>
      <c r="P1700">
        <v>0</v>
      </c>
      <c r="Q1700" t="s">
        <v>99</v>
      </c>
      <c r="R1700">
        <v>30</v>
      </c>
      <c r="S1700" s="19">
        <v>0.83333333333333337</v>
      </c>
      <c r="T1700">
        <v>0</v>
      </c>
      <c r="U1700" s="19"/>
      <c r="V1700" t="s">
        <v>99</v>
      </c>
      <c r="W1700">
        <v>6</v>
      </c>
      <c r="X1700" t="s">
        <v>102</v>
      </c>
      <c r="Y1700" t="b">
        <v>0</v>
      </c>
    </row>
    <row r="1701" spans="1:25" x14ac:dyDescent="0.55000000000000004">
      <c r="A1701" t="s">
        <v>94</v>
      </c>
      <c r="B1701" t="s">
        <v>381</v>
      </c>
      <c r="C1701" t="s">
        <v>348</v>
      </c>
      <c r="D1701" t="s">
        <v>174</v>
      </c>
      <c r="E1701" t="s">
        <v>258</v>
      </c>
      <c r="F1701" t="s">
        <v>376</v>
      </c>
      <c r="H1701" t="s">
        <v>99</v>
      </c>
      <c r="I1701">
        <v>2</v>
      </c>
      <c r="J1701" t="s">
        <v>105</v>
      </c>
      <c r="K1701" s="19">
        <v>0.625</v>
      </c>
      <c r="L1701" s="19">
        <v>0.89583333333333337</v>
      </c>
      <c r="M1701">
        <v>6.5</v>
      </c>
      <c r="N1701">
        <v>254.14</v>
      </c>
      <c r="O1701">
        <v>0</v>
      </c>
      <c r="P1701">
        <v>0</v>
      </c>
      <c r="Q1701" t="s">
        <v>99</v>
      </c>
      <c r="R1701">
        <v>30</v>
      </c>
      <c r="S1701" s="19">
        <v>0.83333333333333337</v>
      </c>
      <c r="T1701">
        <v>0</v>
      </c>
      <c r="U1701" s="19"/>
      <c r="V1701" t="s">
        <v>99</v>
      </c>
      <c r="W1701">
        <v>6</v>
      </c>
      <c r="X1701" t="s">
        <v>102</v>
      </c>
      <c r="Y1701" t="b">
        <v>0</v>
      </c>
    </row>
    <row r="1702" spans="1:25" x14ac:dyDescent="0.55000000000000004">
      <c r="A1702" t="s">
        <v>94</v>
      </c>
      <c r="B1702" t="s">
        <v>381</v>
      </c>
      <c r="C1702" t="s">
        <v>348</v>
      </c>
      <c r="D1702" t="s">
        <v>174</v>
      </c>
      <c r="E1702" t="s">
        <v>416</v>
      </c>
      <c r="F1702" t="s">
        <v>99</v>
      </c>
      <c r="G1702">
        <v>12705</v>
      </c>
      <c r="H1702" t="s">
        <v>417</v>
      </c>
      <c r="I1702">
        <v>1</v>
      </c>
      <c r="J1702" t="s">
        <v>105</v>
      </c>
      <c r="K1702" s="19">
        <v>0.3125</v>
      </c>
      <c r="L1702" s="19">
        <v>0.66666666666666663</v>
      </c>
      <c r="M1702">
        <v>8.5</v>
      </c>
      <c r="N1702">
        <v>432.88</v>
      </c>
      <c r="O1702">
        <v>48</v>
      </c>
      <c r="P1702">
        <v>76</v>
      </c>
      <c r="Q1702" t="s">
        <v>99</v>
      </c>
      <c r="R1702">
        <v>30</v>
      </c>
      <c r="S1702" s="19">
        <v>0.52083333333333337</v>
      </c>
      <c r="T1702">
        <v>0</v>
      </c>
      <c r="U1702" s="19"/>
      <c r="V1702" t="s">
        <v>372</v>
      </c>
      <c r="W1702">
        <v>8</v>
      </c>
      <c r="X1702" t="s">
        <v>102</v>
      </c>
      <c r="Y1702" t="b">
        <v>0</v>
      </c>
    </row>
    <row r="1703" spans="1:25" x14ac:dyDescent="0.55000000000000004">
      <c r="A1703" t="s">
        <v>94</v>
      </c>
      <c r="B1703" t="s">
        <v>381</v>
      </c>
      <c r="C1703" t="s">
        <v>348</v>
      </c>
      <c r="D1703" t="s">
        <v>174</v>
      </c>
      <c r="E1703" t="s">
        <v>416</v>
      </c>
      <c r="F1703" t="s">
        <v>99</v>
      </c>
      <c r="G1703">
        <v>12705</v>
      </c>
      <c r="H1703" t="s">
        <v>417</v>
      </c>
      <c r="I1703">
        <v>2</v>
      </c>
      <c r="J1703" t="s">
        <v>105</v>
      </c>
      <c r="K1703" s="19">
        <v>0.3125</v>
      </c>
      <c r="L1703" s="19">
        <v>0.66666666666666663</v>
      </c>
      <c r="M1703">
        <v>8.5</v>
      </c>
      <c r="N1703">
        <v>432.88</v>
      </c>
      <c r="O1703">
        <v>48</v>
      </c>
      <c r="P1703">
        <v>76</v>
      </c>
      <c r="Q1703" t="s">
        <v>99</v>
      </c>
      <c r="R1703">
        <v>30</v>
      </c>
      <c r="S1703" s="19">
        <v>0.52083333333333337</v>
      </c>
      <c r="T1703">
        <v>0</v>
      </c>
      <c r="U1703" s="19"/>
      <c r="V1703" t="s">
        <v>372</v>
      </c>
      <c r="W1703">
        <v>8</v>
      </c>
      <c r="X1703" t="s">
        <v>102</v>
      </c>
      <c r="Y1703" t="b">
        <v>0</v>
      </c>
    </row>
    <row r="1704" spans="1:25" x14ac:dyDescent="0.55000000000000004">
      <c r="A1704" t="s">
        <v>94</v>
      </c>
      <c r="B1704" t="s">
        <v>381</v>
      </c>
      <c r="C1704" t="s">
        <v>348</v>
      </c>
      <c r="D1704" t="s">
        <v>174</v>
      </c>
      <c r="E1704" t="s">
        <v>265</v>
      </c>
      <c r="F1704" t="s">
        <v>99</v>
      </c>
      <c r="H1704" t="s">
        <v>99</v>
      </c>
      <c r="I1704">
        <v>1</v>
      </c>
      <c r="J1704" t="s">
        <v>115</v>
      </c>
      <c r="K1704" s="19">
        <v>0.29166666666666669</v>
      </c>
      <c r="L1704" s="19">
        <v>0.5625</v>
      </c>
      <c r="M1704">
        <v>6.5</v>
      </c>
      <c r="N1704">
        <v>492.63</v>
      </c>
      <c r="O1704">
        <v>0</v>
      </c>
      <c r="P1704">
        <v>0</v>
      </c>
      <c r="Q1704" t="s">
        <v>99</v>
      </c>
      <c r="R1704">
        <v>30</v>
      </c>
      <c r="S1704" s="19">
        <v>0.5</v>
      </c>
      <c r="T1704">
        <v>0</v>
      </c>
      <c r="U1704" s="19"/>
      <c r="V1704" t="s">
        <v>418</v>
      </c>
      <c r="W1704">
        <v>6</v>
      </c>
      <c r="X1704" t="s">
        <v>102</v>
      </c>
      <c r="Y1704" t="b">
        <v>0</v>
      </c>
    </row>
    <row r="1705" spans="1:25" x14ac:dyDescent="0.55000000000000004">
      <c r="A1705" t="s">
        <v>94</v>
      </c>
      <c r="B1705" t="s">
        <v>381</v>
      </c>
      <c r="C1705" t="s">
        <v>348</v>
      </c>
      <c r="D1705" t="s">
        <v>174</v>
      </c>
      <c r="E1705" t="s">
        <v>265</v>
      </c>
      <c r="F1705" t="s">
        <v>99</v>
      </c>
      <c r="H1705" t="s">
        <v>99</v>
      </c>
      <c r="I1705">
        <v>1</v>
      </c>
      <c r="J1705" t="s">
        <v>116</v>
      </c>
      <c r="K1705" s="19">
        <v>0.29166666666666669</v>
      </c>
      <c r="L1705" s="19">
        <v>0.64583333333333337</v>
      </c>
      <c r="M1705">
        <v>8.5</v>
      </c>
      <c r="N1705">
        <v>761.74</v>
      </c>
      <c r="O1705">
        <v>0</v>
      </c>
      <c r="P1705">
        <v>0</v>
      </c>
      <c r="Q1705" t="s">
        <v>99</v>
      </c>
      <c r="R1705">
        <v>30</v>
      </c>
      <c r="S1705" s="19">
        <v>0.5</v>
      </c>
      <c r="T1705">
        <v>0</v>
      </c>
      <c r="U1705" s="19"/>
      <c r="V1705" t="s">
        <v>99</v>
      </c>
      <c r="W1705">
        <v>8</v>
      </c>
      <c r="X1705" t="s">
        <v>102</v>
      </c>
      <c r="Y1705" t="b">
        <v>0</v>
      </c>
    </row>
    <row r="1706" spans="1:25" x14ac:dyDescent="0.55000000000000004">
      <c r="A1706" t="s">
        <v>94</v>
      </c>
      <c r="B1706" t="s">
        <v>381</v>
      </c>
      <c r="C1706" t="s">
        <v>348</v>
      </c>
      <c r="D1706" t="s">
        <v>174</v>
      </c>
      <c r="E1706" t="s">
        <v>265</v>
      </c>
      <c r="F1706" t="s">
        <v>99</v>
      </c>
      <c r="G1706">
        <v>24411</v>
      </c>
      <c r="H1706" t="s">
        <v>419</v>
      </c>
      <c r="I1706">
        <v>2</v>
      </c>
      <c r="J1706" t="s">
        <v>116</v>
      </c>
      <c r="K1706" s="19">
        <v>0.29166666666666669</v>
      </c>
      <c r="L1706" s="19">
        <v>0.64583333333333337</v>
      </c>
      <c r="M1706">
        <v>8.5</v>
      </c>
      <c r="N1706">
        <v>744.1</v>
      </c>
      <c r="O1706">
        <v>76</v>
      </c>
      <c r="P1706">
        <v>76</v>
      </c>
      <c r="Q1706" t="s">
        <v>99</v>
      </c>
      <c r="R1706">
        <v>30</v>
      </c>
      <c r="S1706" s="19">
        <v>0.5</v>
      </c>
      <c r="T1706">
        <v>0</v>
      </c>
      <c r="U1706" s="19"/>
      <c r="V1706" t="s">
        <v>99</v>
      </c>
      <c r="W1706">
        <v>8</v>
      </c>
      <c r="X1706" t="s">
        <v>102</v>
      </c>
      <c r="Y1706" t="b">
        <v>0</v>
      </c>
    </row>
    <row r="1707" spans="1:25" x14ac:dyDescent="0.55000000000000004">
      <c r="A1707" t="s">
        <v>94</v>
      </c>
      <c r="B1707" t="s">
        <v>381</v>
      </c>
      <c r="C1707" t="s">
        <v>348</v>
      </c>
      <c r="D1707" t="s">
        <v>174</v>
      </c>
      <c r="E1707" t="s">
        <v>265</v>
      </c>
      <c r="F1707" t="s">
        <v>99</v>
      </c>
      <c r="G1707">
        <v>24419</v>
      </c>
      <c r="H1707" t="s">
        <v>420</v>
      </c>
      <c r="I1707">
        <v>2</v>
      </c>
      <c r="J1707" t="s">
        <v>115</v>
      </c>
      <c r="K1707" s="19">
        <v>0.29166666666666669</v>
      </c>
      <c r="L1707" s="19">
        <v>0.64583333333333337</v>
      </c>
      <c r="M1707">
        <v>8.5</v>
      </c>
      <c r="N1707">
        <v>676.76</v>
      </c>
      <c r="O1707">
        <v>76</v>
      </c>
      <c r="P1707">
        <v>76</v>
      </c>
      <c r="Q1707" t="s">
        <v>99</v>
      </c>
      <c r="R1707">
        <v>30</v>
      </c>
      <c r="S1707" s="19">
        <v>0.5</v>
      </c>
      <c r="T1707">
        <v>0</v>
      </c>
      <c r="U1707" s="19"/>
      <c r="V1707" t="s">
        <v>99</v>
      </c>
      <c r="W1707">
        <v>8</v>
      </c>
      <c r="X1707" t="s">
        <v>102</v>
      </c>
      <c r="Y1707" t="b">
        <v>0</v>
      </c>
    </row>
    <row r="1708" spans="1:25" x14ac:dyDescent="0.55000000000000004">
      <c r="A1708" t="s">
        <v>94</v>
      </c>
      <c r="B1708" t="s">
        <v>381</v>
      </c>
      <c r="C1708" t="s">
        <v>348</v>
      </c>
      <c r="D1708" t="s">
        <v>174</v>
      </c>
      <c r="E1708" t="s">
        <v>267</v>
      </c>
      <c r="F1708" t="s">
        <v>99</v>
      </c>
      <c r="H1708" t="s">
        <v>99</v>
      </c>
      <c r="I1708">
        <v>1</v>
      </c>
      <c r="J1708" t="s">
        <v>105</v>
      </c>
      <c r="K1708" s="19">
        <v>0.54166666666666663</v>
      </c>
      <c r="L1708" s="19">
        <v>0.89583333333333337</v>
      </c>
      <c r="M1708">
        <v>8.5</v>
      </c>
      <c r="N1708">
        <v>435.04</v>
      </c>
      <c r="O1708">
        <v>0</v>
      </c>
      <c r="P1708">
        <v>0</v>
      </c>
      <c r="Q1708" t="s">
        <v>99</v>
      </c>
      <c r="R1708">
        <v>30</v>
      </c>
      <c r="S1708" s="19">
        <v>0.75</v>
      </c>
      <c r="T1708">
        <v>0</v>
      </c>
      <c r="U1708" s="19"/>
      <c r="V1708" t="s">
        <v>99</v>
      </c>
      <c r="W1708">
        <v>8</v>
      </c>
      <c r="X1708" t="s">
        <v>102</v>
      </c>
      <c r="Y1708" t="b">
        <v>0</v>
      </c>
    </row>
    <row r="1709" spans="1:25" x14ac:dyDescent="0.55000000000000004">
      <c r="A1709" t="s">
        <v>94</v>
      </c>
      <c r="B1709" t="s">
        <v>381</v>
      </c>
      <c r="C1709" t="s">
        <v>348</v>
      </c>
      <c r="D1709" t="s">
        <v>174</v>
      </c>
      <c r="E1709" t="s">
        <v>267</v>
      </c>
      <c r="F1709" t="s">
        <v>99</v>
      </c>
      <c r="H1709" t="s">
        <v>99</v>
      </c>
      <c r="I1709">
        <v>2</v>
      </c>
      <c r="J1709" t="s">
        <v>107</v>
      </c>
      <c r="K1709" s="19">
        <v>0.54166666666666663</v>
      </c>
      <c r="L1709" s="19">
        <v>0.89583333333333337</v>
      </c>
      <c r="M1709">
        <v>8.5</v>
      </c>
      <c r="N1709">
        <v>435.04</v>
      </c>
      <c r="O1709">
        <v>0</v>
      </c>
      <c r="P1709">
        <v>0</v>
      </c>
      <c r="Q1709" t="s">
        <v>99</v>
      </c>
      <c r="R1709">
        <v>30</v>
      </c>
      <c r="S1709" s="19">
        <v>0.75</v>
      </c>
      <c r="T1709">
        <v>0</v>
      </c>
      <c r="U1709" s="19">
        <v>0.41666666666666669</v>
      </c>
      <c r="V1709" t="s">
        <v>99</v>
      </c>
      <c r="W1709">
        <v>8</v>
      </c>
      <c r="X1709" t="s">
        <v>102</v>
      </c>
      <c r="Y1709" t="b">
        <v>0</v>
      </c>
    </row>
    <row r="1710" spans="1:25" x14ac:dyDescent="0.55000000000000004">
      <c r="A1710" t="s">
        <v>94</v>
      </c>
      <c r="B1710" t="s">
        <v>381</v>
      </c>
      <c r="C1710" t="s">
        <v>348</v>
      </c>
      <c r="D1710" t="s">
        <v>174</v>
      </c>
      <c r="E1710" t="s">
        <v>267</v>
      </c>
      <c r="F1710" t="s">
        <v>99</v>
      </c>
      <c r="H1710" t="s">
        <v>99</v>
      </c>
      <c r="I1710">
        <v>2</v>
      </c>
      <c r="J1710" t="s">
        <v>116</v>
      </c>
      <c r="K1710" s="19">
        <v>0.54166666666666663</v>
      </c>
      <c r="L1710" s="19">
        <v>0.89583333333333337</v>
      </c>
      <c r="M1710">
        <v>8.5</v>
      </c>
      <c r="N1710">
        <v>761.74</v>
      </c>
      <c r="O1710">
        <v>0</v>
      </c>
      <c r="P1710">
        <v>0</v>
      </c>
      <c r="Q1710" t="s">
        <v>99</v>
      </c>
      <c r="R1710">
        <v>30</v>
      </c>
      <c r="S1710" s="19">
        <v>0.75</v>
      </c>
      <c r="T1710">
        <v>0</v>
      </c>
      <c r="U1710" s="19"/>
      <c r="V1710" t="s">
        <v>99</v>
      </c>
      <c r="W1710">
        <v>8</v>
      </c>
      <c r="X1710" t="s">
        <v>102</v>
      </c>
      <c r="Y1710" t="b">
        <v>0</v>
      </c>
    </row>
    <row r="1711" spans="1:25" x14ac:dyDescent="0.55000000000000004">
      <c r="A1711" t="s">
        <v>94</v>
      </c>
      <c r="B1711" t="s">
        <v>381</v>
      </c>
      <c r="C1711" t="s">
        <v>348</v>
      </c>
      <c r="D1711" t="s">
        <v>174</v>
      </c>
      <c r="E1711" t="s">
        <v>267</v>
      </c>
      <c r="F1711" t="s">
        <v>99</v>
      </c>
      <c r="H1711" t="s">
        <v>99</v>
      </c>
      <c r="I1711">
        <v>2</v>
      </c>
      <c r="J1711" t="s">
        <v>105</v>
      </c>
      <c r="K1711" s="19">
        <v>0.625</v>
      </c>
      <c r="L1711" s="19">
        <v>0.89583333333333337</v>
      </c>
      <c r="M1711">
        <v>6.5</v>
      </c>
      <c r="N1711">
        <v>360.97</v>
      </c>
      <c r="O1711">
        <v>0</v>
      </c>
      <c r="P1711">
        <v>0</v>
      </c>
      <c r="Q1711" t="s">
        <v>99</v>
      </c>
      <c r="R1711">
        <v>30</v>
      </c>
      <c r="S1711" s="19">
        <v>0.83333333333333337</v>
      </c>
      <c r="T1711">
        <v>0</v>
      </c>
      <c r="U1711" s="19">
        <v>0.41666666666666669</v>
      </c>
      <c r="V1711" t="s">
        <v>421</v>
      </c>
      <c r="W1711">
        <v>6</v>
      </c>
      <c r="X1711" t="s">
        <v>102</v>
      </c>
      <c r="Y1711" t="b">
        <v>0</v>
      </c>
    </row>
    <row r="1712" spans="1:25" x14ac:dyDescent="0.55000000000000004">
      <c r="A1712" t="s">
        <v>94</v>
      </c>
      <c r="B1712" t="s">
        <v>381</v>
      </c>
      <c r="C1712" t="s">
        <v>348</v>
      </c>
      <c r="D1712" t="s">
        <v>174</v>
      </c>
      <c r="E1712" t="s">
        <v>267</v>
      </c>
      <c r="F1712" t="s">
        <v>99</v>
      </c>
      <c r="G1712">
        <v>20725</v>
      </c>
      <c r="H1712" t="s">
        <v>422</v>
      </c>
      <c r="I1712">
        <v>1</v>
      </c>
      <c r="J1712" t="s">
        <v>101</v>
      </c>
      <c r="K1712" s="19">
        <v>0.54166666666666663</v>
      </c>
      <c r="L1712" s="19">
        <v>0.89583333333333337</v>
      </c>
      <c r="M1712">
        <v>8.5</v>
      </c>
      <c r="N1712">
        <v>502.43</v>
      </c>
      <c r="O1712">
        <v>56</v>
      </c>
      <c r="P1712">
        <v>76</v>
      </c>
      <c r="Q1712" t="s">
        <v>99</v>
      </c>
      <c r="R1712">
        <v>30</v>
      </c>
      <c r="S1712" s="19">
        <v>0.75</v>
      </c>
      <c r="T1712">
        <v>0</v>
      </c>
      <c r="U1712" s="19"/>
      <c r="V1712" t="s">
        <v>99</v>
      </c>
      <c r="W1712">
        <v>8</v>
      </c>
      <c r="X1712" t="s">
        <v>102</v>
      </c>
      <c r="Y1712" t="b">
        <v>0</v>
      </c>
    </row>
    <row r="1713" spans="1:25" x14ac:dyDescent="0.55000000000000004">
      <c r="A1713" t="s">
        <v>94</v>
      </c>
      <c r="B1713" t="s">
        <v>381</v>
      </c>
      <c r="C1713" t="s">
        <v>348</v>
      </c>
      <c r="D1713" t="s">
        <v>174</v>
      </c>
      <c r="E1713" t="s">
        <v>267</v>
      </c>
      <c r="F1713" t="s">
        <v>99</v>
      </c>
      <c r="G1713">
        <v>20725</v>
      </c>
      <c r="H1713" t="s">
        <v>422</v>
      </c>
      <c r="I1713">
        <v>1</v>
      </c>
      <c r="J1713" t="s">
        <v>104</v>
      </c>
      <c r="K1713" s="19">
        <v>0.54166666666666663</v>
      </c>
      <c r="L1713" s="19">
        <v>0.89583333333333337</v>
      </c>
      <c r="M1713">
        <v>8.5</v>
      </c>
      <c r="N1713">
        <v>502.43</v>
      </c>
      <c r="O1713">
        <v>56</v>
      </c>
      <c r="P1713">
        <v>76</v>
      </c>
      <c r="Q1713" t="s">
        <v>99</v>
      </c>
      <c r="R1713">
        <v>30</v>
      </c>
      <c r="S1713" s="19">
        <v>0.75</v>
      </c>
      <c r="T1713">
        <v>0</v>
      </c>
      <c r="U1713" s="19">
        <v>0.41666666666666669</v>
      </c>
      <c r="V1713" t="s">
        <v>99</v>
      </c>
      <c r="W1713">
        <v>8</v>
      </c>
      <c r="X1713" t="s">
        <v>102</v>
      </c>
      <c r="Y1713" t="b">
        <v>0</v>
      </c>
    </row>
    <row r="1714" spans="1:25" x14ac:dyDescent="0.55000000000000004">
      <c r="A1714" t="s">
        <v>94</v>
      </c>
      <c r="B1714" t="s">
        <v>381</v>
      </c>
      <c r="C1714" t="s">
        <v>348</v>
      </c>
      <c r="D1714" t="s">
        <v>174</v>
      </c>
      <c r="E1714" t="s">
        <v>267</v>
      </c>
      <c r="F1714" t="s">
        <v>99</v>
      </c>
      <c r="G1714">
        <v>20725</v>
      </c>
      <c r="H1714" t="s">
        <v>422</v>
      </c>
      <c r="I1714">
        <v>2</v>
      </c>
      <c r="J1714" t="s">
        <v>101</v>
      </c>
      <c r="K1714" s="19">
        <v>0.54166666666666663</v>
      </c>
      <c r="L1714" s="19">
        <v>0.89583333333333337</v>
      </c>
      <c r="M1714">
        <v>8.5</v>
      </c>
      <c r="N1714">
        <v>502.43</v>
      </c>
      <c r="O1714">
        <v>56</v>
      </c>
      <c r="P1714">
        <v>76</v>
      </c>
      <c r="Q1714" t="s">
        <v>99</v>
      </c>
      <c r="R1714">
        <v>30</v>
      </c>
      <c r="S1714" s="19">
        <v>0.75</v>
      </c>
      <c r="T1714">
        <v>0</v>
      </c>
      <c r="U1714" s="19">
        <v>0.41666666666666669</v>
      </c>
      <c r="V1714" t="s">
        <v>99</v>
      </c>
      <c r="W1714">
        <v>8</v>
      </c>
      <c r="X1714" t="s">
        <v>102</v>
      </c>
      <c r="Y1714" t="b">
        <v>0</v>
      </c>
    </row>
    <row r="1715" spans="1:25" x14ac:dyDescent="0.55000000000000004">
      <c r="A1715" t="s">
        <v>94</v>
      </c>
      <c r="B1715" t="s">
        <v>381</v>
      </c>
      <c r="C1715" t="s">
        <v>348</v>
      </c>
      <c r="D1715" t="s">
        <v>174</v>
      </c>
      <c r="E1715" t="s">
        <v>267</v>
      </c>
      <c r="F1715" t="s">
        <v>99</v>
      </c>
      <c r="G1715">
        <v>20725</v>
      </c>
      <c r="H1715" t="s">
        <v>422</v>
      </c>
      <c r="I1715">
        <v>2</v>
      </c>
      <c r="J1715" t="s">
        <v>104</v>
      </c>
      <c r="K1715" s="19">
        <v>0.54166666666666663</v>
      </c>
      <c r="L1715" s="19">
        <v>0.89583333333333337</v>
      </c>
      <c r="M1715">
        <v>8.5</v>
      </c>
      <c r="N1715">
        <v>502.43</v>
      </c>
      <c r="O1715">
        <v>56</v>
      </c>
      <c r="P1715">
        <v>76</v>
      </c>
      <c r="Q1715" t="s">
        <v>99</v>
      </c>
      <c r="R1715">
        <v>30</v>
      </c>
      <c r="S1715" s="19">
        <v>0.75</v>
      </c>
      <c r="T1715">
        <v>0</v>
      </c>
      <c r="U1715" s="19">
        <v>0.41666666666666669</v>
      </c>
      <c r="V1715" t="s">
        <v>99</v>
      </c>
      <c r="W1715">
        <v>8</v>
      </c>
      <c r="X1715" t="s">
        <v>102</v>
      </c>
      <c r="Y1715" t="b">
        <v>0</v>
      </c>
    </row>
    <row r="1716" spans="1:25" x14ac:dyDescent="0.55000000000000004">
      <c r="A1716" t="s">
        <v>94</v>
      </c>
      <c r="B1716" t="s">
        <v>381</v>
      </c>
      <c r="C1716" t="s">
        <v>348</v>
      </c>
      <c r="D1716" t="s">
        <v>174</v>
      </c>
      <c r="E1716" t="s">
        <v>267</v>
      </c>
      <c r="F1716" t="s">
        <v>99</v>
      </c>
      <c r="G1716">
        <v>24411</v>
      </c>
      <c r="H1716" t="s">
        <v>419</v>
      </c>
      <c r="I1716">
        <v>2</v>
      </c>
      <c r="J1716" t="s">
        <v>103</v>
      </c>
      <c r="K1716" s="19">
        <v>0.625</v>
      </c>
      <c r="L1716" s="19">
        <v>0.89583333333333337</v>
      </c>
      <c r="M1716">
        <v>6.5</v>
      </c>
      <c r="N1716">
        <v>360.97</v>
      </c>
      <c r="O1716">
        <v>76</v>
      </c>
      <c r="P1716">
        <v>76</v>
      </c>
      <c r="Q1716" t="s">
        <v>99</v>
      </c>
      <c r="R1716">
        <v>30</v>
      </c>
      <c r="S1716" s="19">
        <v>0.83333333333333337</v>
      </c>
      <c r="T1716">
        <v>0</v>
      </c>
      <c r="U1716" s="19">
        <v>0.41666666666666669</v>
      </c>
      <c r="V1716" t="s">
        <v>421</v>
      </c>
      <c r="W1716">
        <v>6</v>
      </c>
      <c r="X1716" t="s">
        <v>102</v>
      </c>
      <c r="Y1716" t="b">
        <v>0</v>
      </c>
    </row>
    <row r="1717" spans="1:25" x14ac:dyDescent="0.55000000000000004">
      <c r="A1717" t="s">
        <v>94</v>
      </c>
      <c r="B1717" t="s">
        <v>381</v>
      </c>
      <c r="C1717" t="s">
        <v>348</v>
      </c>
      <c r="D1717" t="s">
        <v>174</v>
      </c>
      <c r="E1717" t="s">
        <v>267</v>
      </c>
      <c r="F1717" t="s">
        <v>99</v>
      </c>
      <c r="G1717">
        <v>24873</v>
      </c>
      <c r="H1717" t="s">
        <v>423</v>
      </c>
      <c r="I1717">
        <v>1</v>
      </c>
      <c r="J1717" t="s">
        <v>107</v>
      </c>
      <c r="K1717" s="19">
        <v>0.625</v>
      </c>
      <c r="L1717" s="19">
        <v>0.89583333333333337</v>
      </c>
      <c r="M1717">
        <v>6.5</v>
      </c>
      <c r="N1717">
        <v>380.68</v>
      </c>
      <c r="O1717">
        <v>76</v>
      </c>
      <c r="P1717">
        <v>76</v>
      </c>
      <c r="Q1717" t="s">
        <v>99</v>
      </c>
      <c r="R1717">
        <v>30</v>
      </c>
      <c r="S1717" s="19">
        <v>0.83333333333333337</v>
      </c>
      <c r="T1717">
        <v>0</v>
      </c>
      <c r="U1717" s="19">
        <v>0.41666666666666669</v>
      </c>
      <c r="V1717" t="s">
        <v>421</v>
      </c>
      <c r="W1717">
        <v>6</v>
      </c>
      <c r="X1717" t="s">
        <v>102</v>
      </c>
      <c r="Y1717" t="b">
        <v>0</v>
      </c>
    </row>
    <row r="1718" spans="1:25" x14ac:dyDescent="0.55000000000000004">
      <c r="A1718" t="s">
        <v>94</v>
      </c>
      <c r="B1718" t="s">
        <v>381</v>
      </c>
      <c r="C1718" t="s">
        <v>348</v>
      </c>
      <c r="D1718" t="s">
        <v>174</v>
      </c>
      <c r="E1718" t="s">
        <v>267</v>
      </c>
      <c r="F1718" t="s">
        <v>99</v>
      </c>
      <c r="G1718">
        <v>24873</v>
      </c>
      <c r="H1718" t="s">
        <v>423</v>
      </c>
      <c r="I1718">
        <v>1</v>
      </c>
      <c r="J1718" t="s">
        <v>115</v>
      </c>
      <c r="K1718" s="19">
        <v>0.54166666666666663</v>
      </c>
      <c r="L1718" s="19">
        <v>0.89583333333333337</v>
      </c>
      <c r="M1718">
        <v>8.5</v>
      </c>
      <c r="N1718">
        <v>676.76</v>
      </c>
      <c r="O1718">
        <v>76</v>
      </c>
      <c r="P1718">
        <v>76</v>
      </c>
      <c r="Q1718" t="s">
        <v>99</v>
      </c>
      <c r="R1718">
        <v>30</v>
      </c>
      <c r="S1718" s="19">
        <v>0.75</v>
      </c>
      <c r="T1718">
        <v>0</v>
      </c>
      <c r="U1718" s="19">
        <v>0.41666666666666669</v>
      </c>
      <c r="V1718" t="s">
        <v>99</v>
      </c>
      <c r="W1718">
        <v>8</v>
      </c>
      <c r="X1718" t="s">
        <v>102</v>
      </c>
      <c r="Y1718" t="b">
        <v>0</v>
      </c>
    </row>
    <row r="1719" spans="1:25" x14ac:dyDescent="0.55000000000000004">
      <c r="A1719" t="s">
        <v>94</v>
      </c>
      <c r="B1719" t="s">
        <v>381</v>
      </c>
      <c r="C1719" t="s">
        <v>348</v>
      </c>
      <c r="D1719" t="s">
        <v>174</v>
      </c>
      <c r="E1719" t="s">
        <v>267</v>
      </c>
      <c r="F1719" t="s">
        <v>99</v>
      </c>
      <c r="G1719">
        <v>24873</v>
      </c>
      <c r="H1719" t="s">
        <v>423</v>
      </c>
      <c r="I1719">
        <v>1</v>
      </c>
      <c r="J1719" t="s">
        <v>116</v>
      </c>
      <c r="K1719" s="19">
        <v>0.54166666666666663</v>
      </c>
      <c r="L1719" s="19">
        <v>0.89583333333333337</v>
      </c>
      <c r="M1719">
        <v>8.5</v>
      </c>
      <c r="N1719">
        <v>784.98</v>
      </c>
      <c r="O1719">
        <v>76</v>
      </c>
      <c r="P1719">
        <v>76</v>
      </c>
      <c r="Q1719" t="s">
        <v>99</v>
      </c>
      <c r="R1719">
        <v>30</v>
      </c>
      <c r="S1719" s="19">
        <v>0.75</v>
      </c>
      <c r="T1719">
        <v>0</v>
      </c>
      <c r="U1719" s="19">
        <v>0.41666666666666669</v>
      </c>
      <c r="V1719" t="s">
        <v>99</v>
      </c>
      <c r="W1719">
        <v>8</v>
      </c>
      <c r="X1719" t="s">
        <v>102</v>
      </c>
      <c r="Y1719" t="b">
        <v>0</v>
      </c>
    </row>
    <row r="1720" spans="1:25" x14ac:dyDescent="0.55000000000000004">
      <c r="A1720" t="s">
        <v>94</v>
      </c>
      <c r="B1720" t="s">
        <v>381</v>
      </c>
      <c r="C1720" t="s">
        <v>348</v>
      </c>
      <c r="D1720" t="s">
        <v>174</v>
      </c>
      <c r="E1720" t="s">
        <v>267</v>
      </c>
      <c r="F1720" t="s">
        <v>99</v>
      </c>
      <c r="G1720">
        <v>24873</v>
      </c>
      <c r="H1720" t="s">
        <v>423</v>
      </c>
      <c r="I1720">
        <v>1</v>
      </c>
      <c r="J1720" t="s">
        <v>103</v>
      </c>
      <c r="K1720" s="19">
        <v>0.625</v>
      </c>
      <c r="L1720" s="19">
        <v>0.89583333333333337</v>
      </c>
      <c r="M1720">
        <v>6.5</v>
      </c>
      <c r="N1720">
        <v>380.68</v>
      </c>
      <c r="O1720">
        <v>76</v>
      </c>
      <c r="P1720">
        <v>76</v>
      </c>
      <c r="Q1720" t="s">
        <v>99</v>
      </c>
      <c r="R1720">
        <v>30</v>
      </c>
      <c r="S1720" s="19">
        <v>0.83333333333333337</v>
      </c>
      <c r="T1720">
        <v>0</v>
      </c>
      <c r="U1720" s="19">
        <v>0.41666666666666669</v>
      </c>
      <c r="V1720" t="s">
        <v>421</v>
      </c>
      <c r="W1720">
        <v>6</v>
      </c>
      <c r="X1720" t="s">
        <v>102</v>
      </c>
      <c r="Y1720" t="b">
        <v>0</v>
      </c>
    </row>
    <row r="1721" spans="1:25" x14ac:dyDescent="0.55000000000000004">
      <c r="A1721" t="s">
        <v>94</v>
      </c>
      <c r="B1721" t="s">
        <v>381</v>
      </c>
      <c r="C1721" t="s">
        <v>348</v>
      </c>
      <c r="D1721" t="s">
        <v>174</v>
      </c>
      <c r="E1721" t="s">
        <v>267</v>
      </c>
      <c r="F1721" t="s">
        <v>99</v>
      </c>
      <c r="G1721">
        <v>25632</v>
      </c>
      <c r="H1721" t="s">
        <v>424</v>
      </c>
      <c r="I1721">
        <v>2</v>
      </c>
      <c r="J1721" t="s">
        <v>115</v>
      </c>
      <c r="K1721" s="19">
        <v>0.625</v>
      </c>
      <c r="L1721" s="19">
        <v>0.89583333333333337</v>
      </c>
      <c r="M1721">
        <v>6.5</v>
      </c>
      <c r="N1721">
        <v>507.57</v>
      </c>
      <c r="O1721">
        <v>76</v>
      </c>
      <c r="P1721">
        <v>76</v>
      </c>
      <c r="Q1721" t="s">
        <v>99</v>
      </c>
      <c r="R1721">
        <v>30</v>
      </c>
      <c r="S1721" s="19">
        <v>0.83333333333333337</v>
      </c>
      <c r="T1721">
        <v>0</v>
      </c>
      <c r="U1721" s="19">
        <v>0.41666666666666669</v>
      </c>
      <c r="V1721" t="s">
        <v>421</v>
      </c>
      <c r="W1721">
        <v>6</v>
      </c>
      <c r="X1721" t="s">
        <v>102</v>
      </c>
      <c r="Y1721" t="b">
        <v>0</v>
      </c>
    </row>
    <row r="1722" spans="1:25" x14ac:dyDescent="0.55000000000000004">
      <c r="A1722" t="s">
        <v>94</v>
      </c>
      <c r="B1722" t="s">
        <v>381</v>
      </c>
      <c r="C1722" t="s">
        <v>348</v>
      </c>
      <c r="D1722" t="s">
        <v>174</v>
      </c>
      <c r="E1722" t="s">
        <v>273</v>
      </c>
      <c r="F1722" t="s">
        <v>99</v>
      </c>
      <c r="H1722" t="s">
        <v>99</v>
      </c>
      <c r="I1722">
        <v>2</v>
      </c>
      <c r="J1722" t="s">
        <v>101</v>
      </c>
      <c r="K1722" s="19">
        <v>0.88541666666666663</v>
      </c>
      <c r="L1722" s="19">
        <v>0.30208333333333331</v>
      </c>
      <c r="M1722">
        <v>10</v>
      </c>
      <c r="N1722">
        <v>622.13</v>
      </c>
      <c r="O1722">
        <v>0</v>
      </c>
      <c r="P1722">
        <v>0</v>
      </c>
      <c r="Q1722" t="s">
        <v>99</v>
      </c>
      <c r="R1722">
        <v>0</v>
      </c>
      <c r="S1722" s="19">
        <v>0</v>
      </c>
      <c r="T1722">
        <v>0</v>
      </c>
      <c r="U1722" s="19">
        <v>0.41666666666666669</v>
      </c>
      <c r="V1722" t="s">
        <v>99</v>
      </c>
      <c r="W1722">
        <v>10</v>
      </c>
      <c r="X1722" t="s">
        <v>102</v>
      </c>
      <c r="Y1722" t="b">
        <v>0</v>
      </c>
    </row>
    <row r="1723" spans="1:25" x14ac:dyDescent="0.55000000000000004">
      <c r="A1723" t="s">
        <v>94</v>
      </c>
      <c r="B1723" t="s">
        <v>381</v>
      </c>
      <c r="C1723" t="s">
        <v>348</v>
      </c>
      <c r="D1723" t="s">
        <v>174</v>
      </c>
      <c r="E1723" t="s">
        <v>273</v>
      </c>
      <c r="F1723" t="s">
        <v>99</v>
      </c>
      <c r="G1723">
        <v>20725</v>
      </c>
      <c r="H1723" t="s">
        <v>422</v>
      </c>
      <c r="I1723">
        <v>1</v>
      </c>
      <c r="J1723" t="s">
        <v>105</v>
      </c>
      <c r="K1723" s="19">
        <v>0.88541666666666663</v>
      </c>
      <c r="L1723" s="19">
        <v>0.30208333333333331</v>
      </c>
      <c r="M1723">
        <v>10</v>
      </c>
      <c r="N1723">
        <v>655.71</v>
      </c>
      <c r="O1723">
        <v>56</v>
      </c>
      <c r="P1723">
        <v>76</v>
      </c>
      <c r="Q1723" t="s">
        <v>99</v>
      </c>
      <c r="R1723">
        <v>0</v>
      </c>
      <c r="S1723" s="19">
        <v>0</v>
      </c>
      <c r="T1723">
        <v>0</v>
      </c>
      <c r="U1723" s="19">
        <v>0.41666666666666669</v>
      </c>
      <c r="V1723" t="s">
        <v>99</v>
      </c>
      <c r="W1723">
        <v>10</v>
      </c>
      <c r="X1723" t="s">
        <v>102</v>
      </c>
      <c r="Y1723" t="b">
        <v>0</v>
      </c>
    </row>
    <row r="1724" spans="1:25" x14ac:dyDescent="0.55000000000000004">
      <c r="A1724" t="s">
        <v>94</v>
      </c>
      <c r="B1724" t="s">
        <v>381</v>
      </c>
      <c r="C1724" t="s">
        <v>348</v>
      </c>
      <c r="D1724" t="s">
        <v>174</v>
      </c>
      <c r="E1724" t="s">
        <v>273</v>
      </c>
      <c r="F1724" t="s">
        <v>99</v>
      </c>
      <c r="G1724">
        <v>20725</v>
      </c>
      <c r="H1724" t="s">
        <v>422</v>
      </c>
      <c r="I1724">
        <v>2</v>
      </c>
      <c r="J1724" t="s">
        <v>116</v>
      </c>
      <c r="K1724" s="19">
        <v>0.88541666666666663</v>
      </c>
      <c r="L1724" s="19">
        <v>0.30208333333333331</v>
      </c>
      <c r="M1724">
        <v>10</v>
      </c>
      <c r="N1724">
        <v>744.99</v>
      </c>
      <c r="O1724">
        <v>56</v>
      </c>
      <c r="P1724">
        <v>76</v>
      </c>
      <c r="Q1724" t="s">
        <v>99</v>
      </c>
      <c r="R1724">
        <v>0</v>
      </c>
      <c r="S1724" s="19">
        <v>0</v>
      </c>
      <c r="T1724">
        <v>0</v>
      </c>
      <c r="U1724" s="19"/>
      <c r="V1724" t="s">
        <v>99</v>
      </c>
      <c r="W1724">
        <v>10</v>
      </c>
      <c r="X1724" t="s">
        <v>102</v>
      </c>
      <c r="Y1724" t="b">
        <v>0</v>
      </c>
    </row>
    <row r="1725" spans="1:25" x14ac:dyDescent="0.55000000000000004">
      <c r="A1725" t="s">
        <v>94</v>
      </c>
      <c r="B1725" t="s">
        <v>381</v>
      </c>
      <c r="C1725" t="s">
        <v>348</v>
      </c>
      <c r="D1725" t="s">
        <v>174</v>
      </c>
      <c r="E1725" t="s">
        <v>273</v>
      </c>
      <c r="F1725" t="s">
        <v>99</v>
      </c>
      <c r="G1725">
        <v>24411</v>
      </c>
      <c r="H1725" t="s">
        <v>419</v>
      </c>
      <c r="I1725">
        <v>1</v>
      </c>
      <c r="J1725" t="s">
        <v>101</v>
      </c>
      <c r="K1725" s="19">
        <v>0.88541666666666663</v>
      </c>
      <c r="L1725" s="19">
        <v>0.30208333333333331</v>
      </c>
      <c r="M1725">
        <v>10</v>
      </c>
      <c r="N1725">
        <v>622.13</v>
      </c>
      <c r="O1725">
        <v>76</v>
      </c>
      <c r="P1725">
        <v>76</v>
      </c>
      <c r="Q1725" t="s">
        <v>99</v>
      </c>
      <c r="R1725">
        <v>0</v>
      </c>
      <c r="S1725" s="19">
        <v>0</v>
      </c>
      <c r="T1725">
        <v>0</v>
      </c>
      <c r="U1725" s="19"/>
      <c r="V1725" t="s">
        <v>99</v>
      </c>
      <c r="W1725">
        <v>10</v>
      </c>
      <c r="X1725" t="s">
        <v>102</v>
      </c>
      <c r="Y1725" t="b">
        <v>0</v>
      </c>
    </row>
    <row r="1726" spans="1:25" x14ac:dyDescent="0.55000000000000004">
      <c r="A1726" t="s">
        <v>94</v>
      </c>
      <c r="B1726" t="s">
        <v>381</v>
      </c>
      <c r="C1726" t="s">
        <v>348</v>
      </c>
      <c r="D1726" t="s">
        <v>174</v>
      </c>
      <c r="E1726" t="s">
        <v>273</v>
      </c>
      <c r="F1726" t="s">
        <v>99</v>
      </c>
      <c r="G1726">
        <v>24411</v>
      </c>
      <c r="H1726" t="s">
        <v>419</v>
      </c>
      <c r="I1726">
        <v>1</v>
      </c>
      <c r="J1726" t="s">
        <v>104</v>
      </c>
      <c r="K1726" s="19">
        <v>0.88541666666666663</v>
      </c>
      <c r="L1726" s="19">
        <v>0.30208333333333331</v>
      </c>
      <c r="M1726">
        <v>10</v>
      </c>
      <c r="N1726">
        <v>622.13</v>
      </c>
      <c r="O1726">
        <v>76</v>
      </c>
      <c r="P1726">
        <v>76</v>
      </c>
      <c r="Q1726" t="s">
        <v>99</v>
      </c>
      <c r="R1726">
        <v>0</v>
      </c>
      <c r="S1726" s="19">
        <v>0</v>
      </c>
      <c r="T1726">
        <v>0</v>
      </c>
      <c r="U1726" s="19">
        <v>0.41666666666666669</v>
      </c>
      <c r="V1726" t="s">
        <v>99</v>
      </c>
      <c r="W1726">
        <v>10</v>
      </c>
      <c r="X1726" t="s">
        <v>102</v>
      </c>
      <c r="Y1726" t="b">
        <v>0</v>
      </c>
    </row>
    <row r="1727" spans="1:25" x14ac:dyDescent="0.55000000000000004">
      <c r="A1727" t="s">
        <v>94</v>
      </c>
      <c r="B1727" t="s">
        <v>381</v>
      </c>
      <c r="C1727" t="s">
        <v>348</v>
      </c>
      <c r="D1727" t="s">
        <v>174</v>
      </c>
      <c r="E1727" t="s">
        <v>273</v>
      </c>
      <c r="F1727" t="s">
        <v>99</v>
      </c>
      <c r="G1727">
        <v>24411</v>
      </c>
      <c r="H1727" t="s">
        <v>419</v>
      </c>
      <c r="I1727">
        <v>2</v>
      </c>
      <c r="J1727" t="s">
        <v>104</v>
      </c>
      <c r="K1727" s="19">
        <v>0.88541666666666663</v>
      </c>
      <c r="L1727" s="19">
        <v>0.30208333333333331</v>
      </c>
      <c r="M1727">
        <v>10</v>
      </c>
      <c r="N1727">
        <v>622.13</v>
      </c>
      <c r="O1727">
        <v>76</v>
      </c>
      <c r="P1727">
        <v>76</v>
      </c>
      <c r="Q1727" t="s">
        <v>99</v>
      </c>
      <c r="R1727">
        <v>0</v>
      </c>
      <c r="S1727" s="19">
        <v>0</v>
      </c>
      <c r="T1727">
        <v>0</v>
      </c>
      <c r="U1727" s="19">
        <v>0.41666666666666669</v>
      </c>
      <c r="V1727" t="s">
        <v>99</v>
      </c>
      <c r="W1727">
        <v>10</v>
      </c>
      <c r="X1727" t="s">
        <v>102</v>
      </c>
      <c r="Y1727" t="b">
        <v>0</v>
      </c>
    </row>
    <row r="1728" spans="1:25" x14ac:dyDescent="0.55000000000000004">
      <c r="A1728" t="s">
        <v>94</v>
      </c>
      <c r="B1728" t="s">
        <v>381</v>
      </c>
      <c r="C1728" t="s">
        <v>348</v>
      </c>
      <c r="D1728" t="s">
        <v>174</v>
      </c>
      <c r="E1728" t="s">
        <v>273</v>
      </c>
      <c r="F1728" t="s">
        <v>99</v>
      </c>
      <c r="G1728">
        <v>24468</v>
      </c>
      <c r="H1728" t="s">
        <v>425</v>
      </c>
      <c r="I1728">
        <v>1</v>
      </c>
      <c r="J1728" t="s">
        <v>107</v>
      </c>
      <c r="K1728" s="19">
        <v>0.88541666666666663</v>
      </c>
      <c r="L1728" s="19">
        <v>0.30208333333333331</v>
      </c>
      <c r="M1728">
        <v>10</v>
      </c>
      <c r="N1728">
        <v>793.87</v>
      </c>
      <c r="O1728">
        <v>76</v>
      </c>
      <c r="P1728">
        <v>76</v>
      </c>
      <c r="Q1728" t="s">
        <v>99</v>
      </c>
      <c r="R1728">
        <v>0</v>
      </c>
      <c r="S1728" s="19">
        <v>0</v>
      </c>
      <c r="T1728">
        <v>0</v>
      </c>
      <c r="U1728" s="19"/>
      <c r="V1728" t="s">
        <v>99</v>
      </c>
      <c r="W1728">
        <v>10</v>
      </c>
      <c r="X1728" t="s">
        <v>102</v>
      </c>
      <c r="Y1728" t="b">
        <v>0</v>
      </c>
    </row>
    <row r="1729" spans="1:25" x14ac:dyDescent="0.55000000000000004">
      <c r="A1729" t="s">
        <v>94</v>
      </c>
      <c r="B1729" t="s">
        <v>381</v>
      </c>
      <c r="C1729" t="s">
        <v>348</v>
      </c>
      <c r="D1729" t="s">
        <v>174</v>
      </c>
      <c r="E1729" t="s">
        <v>273</v>
      </c>
      <c r="F1729" t="s">
        <v>99</v>
      </c>
      <c r="G1729">
        <v>24468</v>
      </c>
      <c r="H1729" t="s">
        <v>425</v>
      </c>
      <c r="I1729">
        <v>1</v>
      </c>
      <c r="J1729" t="s">
        <v>115</v>
      </c>
      <c r="K1729" s="19">
        <v>0.88541666666666663</v>
      </c>
      <c r="L1729" s="19">
        <v>0.30208333333333331</v>
      </c>
      <c r="M1729">
        <v>10</v>
      </c>
      <c r="N1729">
        <v>944.02</v>
      </c>
      <c r="O1729">
        <v>76</v>
      </c>
      <c r="P1729">
        <v>76</v>
      </c>
      <c r="Q1729" t="s">
        <v>99</v>
      </c>
      <c r="R1729">
        <v>0</v>
      </c>
      <c r="S1729" s="19">
        <v>0</v>
      </c>
      <c r="T1729">
        <v>0</v>
      </c>
      <c r="U1729" s="19"/>
      <c r="V1729" t="s">
        <v>99</v>
      </c>
      <c r="W1729">
        <v>10</v>
      </c>
      <c r="X1729" t="s">
        <v>102</v>
      </c>
      <c r="Y1729" t="b">
        <v>0</v>
      </c>
    </row>
    <row r="1730" spans="1:25" x14ac:dyDescent="0.55000000000000004">
      <c r="A1730" t="s">
        <v>94</v>
      </c>
      <c r="B1730" t="s">
        <v>381</v>
      </c>
      <c r="C1730" t="s">
        <v>348</v>
      </c>
      <c r="D1730" t="s">
        <v>174</v>
      </c>
      <c r="E1730" t="s">
        <v>273</v>
      </c>
      <c r="F1730" t="s">
        <v>99</v>
      </c>
      <c r="G1730">
        <v>24468</v>
      </c>
      <c r="H1730" t="s">
        <v>425</v>
      </c>
      <c r="I1730">
        <v>1</v>
      </c>
      <c r="J1730" t="s">
        <v>116</v>
      </c>
      <c r="K1730" s="19">
        <v>0.88541666666666663</v>
      </c>
      <c r="L1730" s="19">
        <v>0.30208333333333331</v>
      </c>
      <c r="M1730">
        <v>10</v>
      </c>
      <c r="N1730">
        <v>744.99</v>
      </c>
      <c r="O1730">
        <v>76</v>
      </c>
      <c r="P1730">
        <v>76</v>
      </c>
      <c r="Q1730" t="s">
        <v>99</v>
      </c>
      <c r="R1730">
        <v>0</v>
      </c>
      <c r="S1730" s="19">
        <v>0</v>
      </c>
      <c r="T1730">
        <v>0</v>
      </c>
      <c r="U1730" s="19"/>
      <c r="V1730" t="s">
        <v>99</v>
      </c>
      <c r="W1730">
        <v>10</v>
      </c>
      <c r="X1730" t="s">
        <v>102</v>
      </c>
      <c r="Y1730" t="b">
        <v>0</v>
      </c>
    </row>
    <row r="1731" spans="1:25" x14ac:dyDescent="0.55000000000000004">
      <c r="A1731" t="s">
        <v>94</v>
      </c>
      <c r="B1731" t="s">
        <v>381</v>
      </c>
      <c r="C1731" t="s">
        <v>348</v>
      </c>
      <c r="D1731" t="s">
        <v>174</v>
      </c>
      <c r="E1731" t="s">
        <v>273</v>
      </c>
      <c r="F1731" t="s">
        <v>99</v>
      </c>
      <c r="G1731">
        <v>24468</v>
      </c>
      <c r="H1731" t="s">
        <v>425</v>
      </c>
      <c r="I1731">
        <v>1</v>
      </c>
      <c r="J1731" t="s">
        <v>103</v>
      </c>
      <c r="K1731" s="19">
        <v>0.88541666666666663</v>
      </c>
      <c r="L1731" s="19">
        <v>0.30208333333333331</v>
      </c>
      <c r="M1731">
        <v>10</v>
      </c>
      <c r="N1731">
        <v>655.71</v>
      </c>
      <c r="O1731">
        <v>76</v>
      </c>
      <c r="P1731">
        <v>76</v>
      </c>
      <c r="Q1731" t="s">
        <v>99</v>
      </c>
      <c r="R1731">
        <v>0</v>
      </c>
      <c r="S1731" s="19">
        <v>0</v>
      </c>
      <c r="T1731">
        <v>0</v>
      </c>
      <c r="U1731" s="19"/>
      <c r="V1731" t="s">
        <v>99</v>
      </c>
      <c r="W1731">
        <v>10</v>
      </c>
      <c r="X1731" t="s">
        <v>102</v>
      </c>
      <c r="Y1731" t="b">
        <v>0</v>
      </c>
    </row>
    <row r="1732" spans="1:25" x14ac:dyDescent="0.55000000000000004">
      <c r="A1732" t="s">
        <v>94</v>
      </c>
      <c r="B1732" t="s">
        <v>381</v>
      </c>
      <c r="C1732" t="s">
        <v>348</v>
      </c>
      <c r="D1732" t="s">
        <v>174</v>
      </c>
      <c r="E1732" t="s">
        <v>273</v>
      </c>
      <c r="F1732" t="s">
        <v>99</v>
      </c>
      <c r="G1732">
        <v>24468</v>
      </c>
      <c r="H1732" t="s">
        <v>425</v>
      </c>
      <c r="I1732">
        <v>2</v>
      </c>
      <c r="J1732" t="s">
        <v>103</v>
      </c>
      <c r="K1732" s="19">
        <v>0.88541666666666663</v>
      </c>
      <c r="L1732" s="19">
        <v>0.30208333333333331</v>
      </c>
      <c r="M1732">
        <v>10</v>
      </c>
      <c r="N1732">
        <v>655.71</v>
      </c>
      <c r="O1732">
        <v>76</v>
      </c>
      <c r="P1732">
        <v>76</v>
      </c>
      <c r="Q1732" t="s">
        <v>99</v>
      </c>
      <c r="R1732">
        <v>0</v>
      </c>
      <c r="S1732" s="19">
        <v>0</v>
      </c>
      <c r="T1732">
        <v>0</v>
      </c>
      <c r="U1732" s="19"/>
      <c r="V1732" t="s">
        <v>99</v>
      </c>
      <c r="W1732">
        <v>10</v>
      </c>
      <c r="X1732" t="s">
        <v>102</v>
      </c>
      <c r="Y1732" t="b">
        <v>0</v>
      </c>
    </row>
    <row r="1733" spans="1:25" x14ac:dyDescent="0.55000000000000004">
      <c r="A1733" t="s">
        <v>94</v>
      </c>
      <c r="B1733" t="s">
        <v>381</v>
      </c>
      <c r="C1733" t="s">
        <v>348</v>
      </c>
      <c r="D1733" t="s">
        <v>174</v>
      </c>
      <c r="E1733" t="s">
        <v>273</v>
      </c>
      <c r="F1733" t="s">
        <v>99</v>
      </c>
      <c r="G1733">
        <v>24468</v>
      </c>
      <c r="H1733" t="s">
        <v>425</v>
      </c>
      <c r="I1733">
        <v>2</v>
      </c>
      <c r="J1733" t="s">
        <v>105</v>
      </c>
      <c r="K1733" s="19">
        <v>0.88541666666666663</v>
      </c>
      <c r="L1733" s="19">
        <v>0.30208333333333331</v>
      </c>
      <c r="M1733">
        <v>10</v>
      </c>
      <c r="N1733">
        <v>655.71</v>
      </c>
      <c r="O1733">
        <v>76</v>
      </c>
      <c r="P1733">
        <v>76</v>
      </c>
      <c r="Q1733" t="s">
        <v>99</v>
      </c>
      <c r="R1733">
        <v>0</v>
      </c>
      <c r="S1733" s="19">
        <v>9.375E-2</v>
      </c>
      <c r="T1733">
        <v>0</v>
      </c>
      <c r="U1733" s="19"/>
      <c r="V1733" t="s">
        <v>99</v>
      </c>
      <c r="W1733">
        <v>10</v>
      </c>
      <c r="X1733" t="s">
        <v>102</v>
      </c>
      <c r="Y1733" t="b">
        <v>0</v>
      </c>
    </row>
    <row r="1734" spans="1:25" x14ac:dyDescent="0.55000000000000004">
      <c r="A1734" t="s">
        <v>94</v>
      </c>
      <c r="B1734" t="s">
        <v>381</v>
      </c>
      <c r="C1734" t="s">
        <v>348</v>
      </c>
      <c r="D1734" t="s">
        <v>174</v>
      </c>
      <c r="E1734" t="s">
        <v>273</v>
      </c>
      <c r="F1734" t="s">
        <v>99</v>
      </c>
      <c r="G1734">
        <v>24484</v>
      </c>
      <c r="H1734" t="s">
        <v>426</v>
      </c>
      <c r="I1734">
        <v>2</v>
      </c>
      <c r="J1734" t="s">
        <v>107</v>
      </c>
      <c r="K1734" s="19">
        <v>0.88541666666666663</v>
      </c>
      <c r="L1734" s="19">
        <v>0.30208333333333331</v>
      </c>
      <c r="M1734">
        <v>10</v>
      </c>
      <c r="N1734">
        <v>793.87</v>
      </c>
      <c r="O1734">
        <v>76</v>
      </c>
      <c r="P1734">
        <v>76</v>
      </c>
      <c r="Q1734" t="s">
        <v>99</v>
      </c>
      <c r="R1734">
        <v>0</v>
      </c>
      <c r="S1734" s="19">
        <v>0</v>
      </c>
      <c r="T1734">
        <v>0</v>
      </c>
      <c r="U1734" s="19"/>
      <c r="V1734" t="s">
        <v>99</v>
      </c>
      <c r="W1734">
        <v>10</v>
      </c>
      <c r="X1734" t="s">
        <v>102</v>
      </c>
      <c r="Y1734" t="b">
        <v>0</v>
      </c>
    </row>
    <row r="1735" spans="1:25" x14ac:dyDescent="0.55000000000000004">
      <c r="A1735" t="s">
        <v>94</v>
      </c>
      <c r="B1735" t="s">
        <v>381</v>
      </c>
      <c r="C1735" t="s">
        <v>348</v>
      </c>
      <c r="D1735" t="s">
        <v>174</v>
      </c>
      <c r="E1735" t="s">
        <v>273</v>
      </c>
      <c r="F1735" t="s">
        <v>99</v>
      </c>
      <c r="G1735">
        <v>24484</v>
      </c>
      <c r="H1735" t="s">
        <v>426</v>
      </c>
      <c r="I1735">
        <v>2</v>
      </c>
      <c r="J1735" t="s">
        <v>115</v>
      </c>
      <c r="K1735" s="19">
        <v>0.88541666666666663</v>
      </c>
      <c r="L1735" s="19">
        <v>0.30208333333333331</v>
      </c>
      <c r="M1735">
        <v>10</v>
      </c>
      <c r="N1735">
        <v>944.02</v>
      </c>
      <c r="O1735">
        <v>76</v>
      </c>
      <c r="P1735">
        <v>76</v>
      </c>
      <c r="Q1735" t="s">
        <v>99</v>
      </c>
      <c r="R1735">
        <v>0</v>
      </c>
      <c r="S1735" s="19">
        <v>0</v>
      </c>
      <c r="T1735">
        <v>0</v>
      </c>
      <c r="U1735" s="19"/>
      <c r="V1735" t="s">
        <v>99</v>
      </c>
      <c r="W1735">
        <v>10</v>
      </c>
      <c r="X1735" t="s">
        <v>102</v>
      </c>
      <c r="Y1735" t="b">
        <v>0</v>
      </c>
    </row>
    <row r="1736" spans="1:25" x14ac:dyDescent="0.55000000000000004">
      <c r="A1736" t="s">
        <v>94</v>
      </c>
      <c r="B1736" t="s">
        <v>381</v>
      </c>
      <c r="C1736" t="s">
        <v>348</v>
      </c>
      <c r="D1736" t="s">
        <v>174</v>
      </c>
      <c r="E1736" t="s">
        <v>277</v>
      </c>
      <c r="F1736" t="s">
        <v>99</v>
      </c>
      <c r="H1736" t="s">
        <v>99</v>
      </c>
      <c r="I1736">
        <v>1</v>
      </c>
      <c r="J1736" t="s">
        <v>101</v>
      </c>
      <c r="K1736" s="19">
        <v>0.29166666666666669</v>
      </c>
      <c r="L1736" s="19">
        <v>0.64583333333333337</v>
      </c>
      <c r="M1736">
        <v>8.5</v>
      </c>
      <c r="N1736">
        <v>366.4</v>
      </c>
      <c r="O1736">
        <v>0</v>
      </c>
      <c r="P1736">
        <v>0</v>
      </c>
      <c r="Q1736" t="s">
        <v>99</v>
      </c>
      <c r="R1736">
        <v>30</v>
      </c>
      <c r="S1736" s="19">
        <v>0.5</v>
      </c>
      <c r="T1736">
        <v>0</v>
      </c>
      <c r="U1736" s="19"/>
      <c r="V1736" t="s">
        <v>99</v>
      </c>
      <c r="W1736">
        <v>8</v>
      </c>
      <c r="X1736" t="s">
        <v>102</v>
      </c>
      <c r="Y1736" t="b">
        <v>0</v>
      </c>
    </row>
    <row r="1737" spans="1:25" x14ac:dyDescent="0.55000000000000004">
      <c r="A1737" t="s">
        <v>94</v>
      </c>
      <c r="B1737" t="s">
        <v>381</v>
      </c>
      <c r="C1737" t="s">
        <v>348</v>
      </c>
      <c r="D1737" t="s">
        <v>174</v>
      </c>
      <c r="E1737" t="s">
        <v>277</v>
      </c>
      <c r="F1737" t="s">
        <v>99</v>
      </c>
      <c r="H1737" t="s">
        <v>99</v>
      </c>
      <c r="I1737">
        <v>1</v>
      </c>
      <c r="J1737" t="s">
        <v>104</v>
      </c>
      <c r="K1737" s="19">
        <v>0.29166666666666669</v>
      </c>
      <c r="L1737" s="19">
        <v>0.64583333333333337</v>
      </c>
      <c r="M1737">
        <v>8.5</v>
      </c>
      <c r="N1737">
        <v>366.4</v>
      </c>
      <c r="O1737">
        <v>0</v>
      </c>
      <c r="P1737">
        <v>0</v>
      </c>
      <c r="Q1737" t="s">
        <v>99</v>
      </c>
      <c r="R1737">
        <v>30</v>
      </c>
      <c r="S1737" s="19">
        <v>0.5</v>
      </c>
      <c r="T1737">
        <v>0</v>
      </c>
      <c r="U1737" s="19">
        <v>0.41666666666666669</v>
      </c>
      <c r="V1737" t="s">
        <v>99</v>
      </c>
      <c r="W1737">
        <v>8</v>
      </c>
      <c r="X1737" t="s">
        <v>102</v>
      </c>
      <c r="Y1737" t="b">
        <v>0</v>
      </c>
    </row>
    <row r="1738" spans="1:25" x14ac:dyDescent="0.55000000000000004">
      <c r="A1738" t="s">
        <v>94</v>
      </c>
      <c r="B1738" t="s">
        <v>381</v>
      </c>
      <c r="C1738" t="s">
        <v>348</v>
      </c>
      <c r="D1738" t="s">
        <v>174</v>
      </c>
      <c r="E1738" t="s">
        <v>277</v>
      </c>
      <c r="F1738" t="s">
        <v>99</v>
      </c>
      <c r="H1738" t="s">
        <v>99</v>
      </c>
      <c r="I1738">
        <v>2</v>
      </c>
      <c r="J1738" t="s">
        <v>101</v>
      </c>
      <c r="K1738" s="19">
        <v>0.29166666666666669</v>
      </c>
      <c r="L1738" s="19">
        <v>0.5625</v>
      </c>
      <c r="M1738">
        <v>6.5</v>
      </c>
      <c r="N1738">
        <v>274.8</v>
      </c>
      <c r="O1738">
        <v>0</v>
      </c>
      <c r="P1738">
        <v>0</v>
      </c>
      <c r="Q1738" t="s">
        <v>99</v>
      </c>
      <c r="R1738">
        <v>30</v>
      </c>
      <c r="S1738" s="19">
        <v>0.5</v>
      </c>
      <c r="T1738">
        <v>0</v>
      </c>
      <c r="U1738" s="19"/>
      <c r="V1738" t="s">
        <v>418</v>
      </c>
      <c r="W1738">
        <v>6</v>
      </c>
      <c r="X1738" t="s">
        <v>102</v>
      </c>
      <c r="Y1738" t="b">
        <v>0</v>
      </c>
    </row>
    <row r="1739" spans="1:25" x14ac:dyDescent="0.55000000000000004">
      <c r="A1739" t="s">
        <v>94</v>
      </c>
      <c r="B1739" t="s">
        <v>381</v>
      </c>
      <c r="C1739" t="s">
        <v>348</v>
      </c>
      <c r="D1739" t="s">
        <v>174</v>
      </c>
      <c r="E1739" t="s">
        <v>277</v>
      </c>
      <c r="F1739" t="s">
        <v>99</v>
      </c>
      <c r="H1739" t="s">
        <v>99</v>
      </c>
      <c r="I1739">
        <v>2</v>
      </c>
      <c r="J1739" t="s">
        <v>104</v>
      </c>
      <c r="K1739" s="19">
        <v>0.29166666666666669</v>
      </c>
      <c r="L1739" s="19">
        <v>0.64583333333333337</v>
      </c>
      <c r="M1739">
        <v>8.5</v>
      </c>
      <c r="N1739">
        <v>366.4</v>
      </c>
      <c r="O1739">
        <v>0</v>
      </c>
      <c r="P1739">
        <v>0</v>
      </c>
      <c r="Q1739" t="s">
        <v>99</v>
      </c>
      <c r="R1739">
        <v>30</v>
      </c>
      <c r="S1739" s="19">
        <v>0.5</v>
      </c>
      <c r="T1739">
        <v>0</v>
      </c>
      <c r="U1739" s="19">
        <v>0.41666666666666669</v>
      </c>
      <c r="V1739" t="s">
        <v>379</v>
      </c>
      <c r="W1739">
        <v>8</v>
      </c>
      <c r="X1739" t="s">
        <v>102</v>
      </c>
      <c r="Y1739" t="b">
        <v>0</v>
      </c>
    </row>
    <row r="1740" spans="1:25" x14ac:dyDescent="0.55000000000000004">
      <c r="A1740" t="s">
        <v>94</v>
      </c>
      <c r="B1740" t="s">
        <v>381</v>
      </c>
      <c r="C1740" t="s">
        <v>348</v>
      </c>
      <c r="D1740" t="s">
        <v>174</v>
      </c>
      <c r="E1740" t="s">
        <v>277</v>
      </c>
      <c r="F1740" t="s">
        <v>99</v>
      </c>
      <c r="G1740">
        <v>12705</v>
      </c>
      <c r="H1740" t="s">
        <v>417</v>
      </c>
      <c r="I1740">
        <v>1</v>
      </c>
      <c r="J1740" t="s">
        <v>107</v>
      </c>
      <c r="K1740" s="19">
        <v>0.3125</v>
      </c>
      <c r="L1740" s="19">
        <v>0.66666666666666663</v>
      </c>
      <c r="M1740">
        <v>8.5</v>
      </c>
      <c r="N1740">
        <v>432.88</v>
      </c>
      <c r="O1740">
        <v>48</v>
      </c>
      <c r="P1740">
        <v>76</v>
      </c>
      <c r="Q1740" t="s">
        <v>99</v>
      </c>
      <c r="R1740">
        <v>30</v>
      </c>
      <c r="S1740" s="19">
        <v>0.52083333333333337</v>
      </c>
      <c r="T1740">
        <v>0</v>
      </c>
      <c r="U1740" s="19"/>
      <c r="V1740" t="s">
        <v>372</v>
      </c>
      <c r="W1740">
        <v>8</v>
      </c>
      <c r="X1740" t="s">
        <v>102</v>
      </c>
      <c r="Y1740" t="b">
        <v>0</v>
      </c>
    </row>
    <row r="1741" spans="1:25" x14ac:dyDescent="0.55000000000000004">
      <c r="A1741" t="s">
        <v>94</v>
      </c>
      <c r="B1741" t="s">
        <v>381</v>
      </c>
      <c r="C1741" t="s">
        <v>348</v>
      </c>
      <c r="D1741" t="s">
        <v>174</v>
      </c>
      <c r="E1741" t="s">
        <v>277</v>
      </c>
      <c r="F1741" t="s">
        <v>99</v>
      </c>
      <c r="G1741">
        <v>12705</v>
      </c>
      <c r="H1741" t="s">
        <v>417</v>
      </c>
      <c r="I1741">
        <v>2</v>
      </c>
      <c r="J1741" t="s">
        <v>107</v>
      </c>
      <c r="K1741" s="19">
        <v>0.3125</v>
      </c>
      <c r="L1741" s="19">
        <v>0.66666666666666663</v>
      </c>
      <c r="M1741">
        <v>8.5</v>
      </c>
      <c r="N1741">
        <v>432.88</v>
      </c>
      <c r="O1741">
        <v>48</v>
      </c>
      <c r="P1741">
        <v>76</v>
      </c>
      <c r="Q1741" t="s">
        <v>99</v>
      </c>
      <c r="R1741">
        <v>30</v>
      </c>
      <c r="S1741" s="19">
        <v>0.52083333333333337</v>
      </c>
      <c r="T1741">
        <v>0</v>
      </c>
      <c r="U1741" s="19"/>
      <c r="V1741" t="s">
        <v>372</v>
      </c>
      <c r="W1741">
        <v>8</v>
      </c>
      <c r="X1741" t="s">
        <v>102</v>
      </c>
      <c r="Y1741" t="b">
        <v>0</v>
      </c>
    </row>
    <row r="1742" spans="1:25" x14ac:dyDescent="0.55000000000000004">
      <c r="A1742" t="s">
        <v>94</v>
      </c>
      <c r="B1742" t="s">
        <v>381</v>
      </c>
      <c r="C1742" t="s">
        <v>348</v>
      </c>
      <c r="D1742" t="s">
        <v>174</v>
      </c>
      <c r="E1742" t="s">
        <v>277</v>
      </c>
      <c r="F1742" t="s">
        <v>99</v>
      </c>
      <c r="G1742">
        <v>24484</v>
      </c>
      <c r="H1742" t="s">
        <v>426</v>
      </c>
      <c r="I1742">
        <v>1</v>
      </c>
      <c r="J1742" t="s">
        <v>107</v>
      </c>
      <c r="K1742" s="19">
        <v>0.29166666666666669</v>
      </c>
      <c r="L1742" s="19">
        <v>0.64583333333333337</v>
      </c>
      <c r="M1742">
        <v>8.5</v>
      </c>
      <c r="N1742">
        <v>432.88</v>
      </c>
      <c r="O1742">
        <v>76</v>
      </c>
      <c r="P1742">
        <v>76</v>
      </c>
      <c r="Q1742" t="s">
        <v>99</v>
      </c>
      <c r="R1742">
        <v>30</v>
      </c>
      <c r="S1742" s="19">
        <v>0.5</v>
      </c>
      <c r="T1742">
        <v>0</v>
      </c>
      <c r="U1742" s="19">
        <v>0.41666666666666669</v>
      </c>
      <c r="V1742" t="s">
        <v>99</v>
      </c>
      <c r="W1742">
        <v>8</v>
      </c>
      <c r="X1742" t="s">
        <v>102</v>
      </c>
      <c r="Y1742" t="b">
        <v>0</v>
      </c>
    </row>
    <row r="1743" spans="1:25" x14ac:dyDescent="0.55000000000000004">
      <c r="A1743" t="s">
        <v>94</v>
      </c>
      <c r="B1743" t="s">
        <v>381</v>
      </c>
      <c r="C1743" t="s">
        <v>348</v>
      </c>
      <c r="D1743" t="s">
        <v>174</v>
      </c>
      <c r="E1743" t="s">
        <v>277</v>
      </c>
      <c r="F1743" t="s">
        <v>99</v>
      </c>
      <c r="G1743">
        <v>25632</v>
      </c>
      <c r="H1743" t="s">
        <v>424</v>
      </c>
      <c r="I1743">
        <v>1</v>
      </c>
      <c r="J1743" t="s">
        <v>103</v>
      </c>
      <c r="K1743" s="19">
        <v>0.29166666666666669</v>
      </c>
      <c r="L1743" s="19">
        <v>0.64583333333333337</v>
      </c>
      <c r="M1743">
        <v>8.5</v>
      </c>
      <c r="N1743">
        <v>432.88</v>
      </c>
      <c r="O1743">
        <v>76</v>
      </c>
      <c r="P1743">
        <v>76</v>
      </c>
      <c r="Q1743" t="s">
        <v>99</v>
      </c>
      <c r="R1743">
        <v>30</v>
      </c>
      <c r="S1743" s="19">
        <v>0.5</v>
      </c>
      <c r="T1743">
        <v>0</v>
      </c>
      <c r="U1743" s="19"/>
      <c r="V1743" t="s">
        <v>99</v>
      </c>
      <c r="W1743">
        <v>8</v>
      </c>
      <c r="X1743" t="s">
        <v>102</v>
      </c>
      <c r="Y1743" t="b">
        <v>0</v>
      </c>
    </row>
    <row r="1744" spans="1:25" x14ac:dyDescent="0.55000000000000004">
      <c r="A1744" t="s">
        <v>94</v>
      </c>
      <c r="B1744" t="s">
        <v>381</v>
      </c>
      <c r="C1744" t="s">
        <v>348</v>
      </c>
      <c r="D1744" t="s">
        <v>174</v>
      </c>
      <c r="E1744" t="s">
        <v>277</v>
      </c>
      <c r="F1744" t="s">
        <v>99</v>
      </c>
      <c r="G1744">
        <v>25632</v>
      </c>
      <c r="H1744" t="s">
        <v>424</v>
      </c>
      <c r="I1744">
        <v>1</v>
      </c>
      <c r="J1744" t="s">
        <v>105</v>
      </c>
      <c r="K1744" s="19">
        <v>0.29166666666666669</v>
      </c>
      <c r="L1744" s="19">
        <v>0.64583333333333337</v>
      </c>
      <c r="M1744">
        <v>8.5</v>
      </c>
      <c r="N1744">
        <v>432.88</v>
      </c>
      <c r="O1744">
        <v>76</v>
      </c>
      <c r="P1744">
        <v>76</v>
      </c>
      <c r="Q1744" t="s">
        <v>99</v>
      </c>
      <c r="R1744">
        <v>30</v>
      </c>
      <c r="S1744" s="19">
        <v>0.5</v>
      </c>
      <c r="T1744">
        <v>0</v>
      </c>
      <c r="U1744" s="19">
        <v>0.41666666666666669</v>
      </c>
      <c r="V1744" t="s">
        <v>99</v>
      </c>
      <c r="W1744">
        <v>8</v>
      </c>
      <c r="X1744" t="s">
        <v>102</v>
      </c>
      <c r="Y1744" t="b">
        <v>0</v>
      </c>
    </row>
    <row r="1745" spans="1:25" x14ac:dyDescent="0.55000000000000004">
      <c r="A1745" t="s">
        <v>94</v>
      </c>
      <c r="B1745" t="s">
        <v>381</v>
      </c>
      <c r="C1745" t="s">
        <v>348</v>
      </c>
      <c r="D1745" t="s">
        <v>174</v>
      </c>
      <c r="E1745" t="s">
        <v>277</v>
      </c>
      <c r="F1745" t="s">
        <v>99</v>
      </c>
      <c r="G1745">
        <v>25632</v>
      </c>
      <c r="H1745" t="s">
        <v>424</v>
      </c>
      <c r="I1745">
        <v>2</v>
      </c>
      <c r="J1745" t="s">
        <v>107</v>
      </c>
      <c r="K1745" s="19">
        <v>0.29166666666666669</v>
      </c>
      <c r="L1745" s="19">
        <v>0.5625</v>
      </c>
      <c r="M1745">
        <v>6.5</v>
      </c>
      <c r="N1745">
        <v>324.66000000000003</v>
      </c>
      <c r="O1745">
        <v>76</v>
      </c>
      <c r="P1745">
        <v>76</v>
      </c>
      <c r="Q1745" t="s">
        <v>99</v>
      </c>
      <c r="R1745">
        <v>30</v>
      </c>
      <c r="S1745" s="19">
        <v>0.5</v>
      </c>
      <c r="T1745">
        <v>0</v>
      </c>
      <c r="U1745" s="19"/>
      <c r="V1745" t="s">
        <v>418</v>
      </c>
      <c r="W1745">
        <v>6</v>
      </c>
      <c r="X1745" t="s">
        <v>102</v>
      </c>
      <c r="Y1745" t="b">
        <v>0</v>
      </c>
    </row>
    <row r="1746" spans="1:25" x14ac:dyDescent="0.55000000000000004">
      <c r="A1746" t="s">
        <v>94</v>
      </c>
      <c r="B1746" t="s">
        <v>381</v>
      </c>
      <c r="C1746" t="s">
        <v>348</v>
      </c>
      <c r="D1746" t="s">
        <v>174</v>
      </c>
      <c r="E1746" t="s">
        <v>277</v>
      </c>
      <c r="F1746" t="s">
        <v>99</v>
      </c>
      <c r="G1746">
        <v>25632</v>
      </c>
      <c r="H1746" t="s">
        <v>424</v>
      </c>
      <c r="I1746">
        <v>2</v>
      </c>
      <c r="J1746" t="s">
        <v>103</v>
      </c>
      <c r="K1746" s="19">
        <v>0.29166666666666669</v>
      </c>
      <c r="L1746" s="19">
        <v>0.64583333333333337</v>
      </c>
      <c r="M1746">
        <v>8.5</v>
      </c>
      <c r="N1746">
        <v>432.88</v>
      </c>
      <c r="O1746">
        <v>76</v>
      </c>
      <c r="P1746">
        <v>76</v>
      </c>
      <c r="Q1746" t="s">
        <v>99</v>
      </c>
      <c r="R1746">
        <v>30</v>
      </c>
      <c r="S1746" s="19">
        <v>0.5</v>
      </c>
      <c r="U1746" s="19"/>
      <c r="V1746" t="s">
        <v>379</v>
      </c>
      <c r="W1746">
        <v>8</v>
      </c>
      <c r="X1746" t="s">
        <v>102</v>
      </c>
      <c r="Y1746" t="b">
        <v>0</v>
      </c>
    </row>
    <row r="1747" spans="1:25" x14ac:dyDescent="0.55000000000000004">
      <c r="A1747" t="s">
        <v>94</v>
      </c>
      <c r="B1747" t="s">
        <v>381</v>
      </c>
      <c r="C1747" t="s">
        <v>348</v>
      </c>
      <c r="D1747" t="s">
        <v>174</v>
      </c>
      <c r="E1747" t="s">
        <v>277</v>
      </c>
      <c r="F1747" t="s">
        <v>99</v>
      </c>
      <c r="G1747">
        <v>25632</v>
      </c>
      <c r="H1747" t="s">
        <v>424</v>
      </c>
      <c r="I1747">
        <v>2</v>
      </c>
      <c r="J1747" t="s">
        <v>105</v>
      </c>
      <c r="K1747" s="19">
        <v>0.29166666666666669</v>
      </c>
      <c r="L1747" s="19">
        <v>0.64583333333333337</v>
      </c>
      <c r="M1747">
        <v>8.5</v>
      </c>
      <c r="N1747">
        <v>432.88</v>
      </c>
      <c r="O1747">
        <v>76</v>
      </c>
      <c r="P1747">
        <v>76</v>
      </c>
      <c r="Q1747" t="s">
        <v>99</v>
      </c>
      <c r="R1747">
        <v>30</v>
      </c>
      <c r="S1747" s="19">
        <v>0.5</v>
      </c>
      <c r="T1747">
        <v>0</v>
      </c>
      <c r="U1747" s="19">
        <v>0.41666666666666669</v>
      </c>
      <c r="V1747" t="s">
        <v>99</v>
      </c>
      <c r="W1747">
        <v>8</v>
      </c>
      <c r="X1747" t="s">
        <v>102</v>
      </c>
      <c r="Y1747" t="b">
        <v>0</v>
      </c>
    </row>
    <row r="1748" spans="1:25" x14ac:dyDescent="0.55000000000000004">
      <c r="A1748" t="s">
        <v>94</v>
      </c>
      <c r="B1748" t="s">
        <v>381</v>
      </c>
      <c r="C1748" t="s">
        <v>348</v>
      </c>
      <c r="D1748" t="s">
        <v>174</v>
      </c>
      <c r="E1748" t="s">
        <v>287</v>
      </c>
      <c r="F1748" t="s">
        <v>99</v>
      </c>
      <c r="G1748">
        <v>11014</v>
      </c>
      <c r="H1748" t="s">
        <v>427</v>
      </c>
      <c r="I1748">
        <v>1</v>
      </c>
      <c r="J1748" t="s">
        <v>107</v>
      </c>
      <c r="K1748" s="19">
        <v>0.5</v>
      </c>
      <c r="L1748" s="19">
        <v>0.6875</v>
      </c>
      <c r="M1748">
        <v>4.5</v>
      </c>
      <c r="N1748">
        <v>0</v>
      </c>
      <c r="O1748">
        <v>76</v>
      </c>
      <c r="P1748">
        <v>76</v>
      </c>
      <c r="Q1748" t="s">
        <v>99</v>
      </c>
      <c r="R1748">
        <v>30</v>
      </c>
      <c r="S1748" s="19">
        <v>0.5625</v>
      </c>
      <c r="U1748" s="19"/>
      <c r="V1748" t="s">
        <v>99</v>
      </c>
      <c r="W1748">
        <v>4</v>
      </c>
      <c r="X1748" t="s">
        <v>102</v>
      </c>
      <c r="Y1748" t="b">
        <v>0</v>
      </c>
    </row>
    <row r="1749" spans="1:25" x14ac:dyDescent="0.55000000000000004">
      <c r="A1749" t="s">
        <v>94</v>
      </c>
      <c r="B1749" t="s">
        <v>381</v>
      </c>
      <c r="C1749" t="s">
        <v>348</v>
      </c>
      <c r="D1749" t="s">
        <v>174</v>
      </c>
      <c r="E1749" t="s">
        <v>287</v>
      </c>
      <c r="F1749" t="s">
        <v>99</v>
      </c>
      <c r="G1749">
        <v>11014</v>
      </c>
      <c r="H1749" t="s">
        <v>427</v>
      </c>
      <c r="I1749">
        <v>1</v>
      </c>
      <c r="J1749" t="s">
        <v>101</v>
      </c>
      <c r="K1749" s="19">
        <v>0.5</v>
      </c>
      <c r="L1749" s="19">
        <v>0.6875</v>
      </c>
      <c r="M1749">
        <v>4.5</v>
      </c>
      <c r="N1749">
        <v>0</v>
      </c>
      <c r="O1749">
        <v>76</v>
      </c>
      <c r="P1749">
        <v>76</v>
      </c>
      <c r="Q1749" t="s">
        <v>99</v>
      </c>
      <c r="R1749">
        <v>30</v>
      </c>
      <c r="S1749" s="19">
        <v>0.5625</v>
      </c>
      <c r="U1749" s="19"/>
      <c r="V1749" t="s">
        <v>99</v>
      </c>
      <c r="W1749">
        <v>4</v>
      </c>
      <c r="X1749" t="s">
        <v>102</v>
      </c>
      <c r="Y1749" t="b">
        <v>0</v>
      </c>
    </row>
    <row r="1750" spans="1:25" x14ac:dyDescent="0.55000000000000004">
      <c r="A1750" t="s">
        <v>94</v>
      </c>
      <c r="B1750" t="s">
        <v>381</v>
      </c>
      <c r="C1750" t="s">
        <v>348</v>
      </c>
      <c r="D1750" t="s">
        <v>174</v>
      </c>
      <c r="E1750" t="s">
        <v>287</v>
      </c>
      <c r="F1750" t="s">
        <v>99</v>
      </c>
      <c r="G1750">
        <v>11014</v>
      </c>
      <c r="H1750" t="s">
        <v>427</v>
      </c>
      <c r="I1750">
        <v>1</v>
      </c>
      <c r="J1750" t="s">
        <v>103</v>
      </c>
      <c r="K1750" s="19">
        <v>0.5</v>
      </c>
      <c r="L1750" s="19">
        <v>0.6875</v>
      </c>
      <c r="M1750">
        <v>4.5</v>
      </c>
      <c r="N1750">
        <v>0</v>
      </c>
      <c r="O1750">
        <v>76</v>
      </c>
      <c r="P1750">
        <v>76</v>
      </c>
      <c r="Q1750" t="s">
        <v>99</v>
      </c>
      <c r="R1750">
        <v>30</v>
      </c>
      <c r="S1750" s="19">
        <v>0.5625</v>
      </c>
      <c r="U1750" s="19"/>
      <c r="V1750" t="s">
        <v>99</v>
      </c>
      <c r="W1750">
        <v>4</v>
      </c>
      <c r="X1750" t="s">
        <v>102</v>
      </c>
      <c r="Y1750" t="b">
        <v>0</v>
      </c>
    </row>
    <row r="1751" spans="1:25" x14ac:dyDescent="0.55000000000000004">
      <c r="A1751" t="s">
        <v>94</v>
      </c>
      <c r="B1751" t="s">
        <v>381</v>
      </c>
      <c r="C1751" t="s">
        <v>348</v>
      </c>
      <c r="D1751" t="s">
        <v>174</v>
      </c>
      <c r="E1751" t="s">
        <v>287</v>
      </c>
      <c r="F1751" t="s">
        <v>99</v>
      </c>
      <c r="G1751">
        <v>11014</v>
      </c>
      <c r="H1751" t="s">
        <v>427</v>
      </c>
      <c r="I1751">
        <v>1</v>
      </c>
      <c r="J1751" t="s">
        <v>104</v>
      </c>
      <c r="K1751" s="19">
        <v>0.5</v>
      </c>
      <c r="L1751" s="19">
        <v>0.6875</v>
      </c>
      <c r="M1751">
        <v>4.5</v>
      </c>
      <c r="N1751">
        <v>0</v>
      </c>
      <c r="O1751">
        <v>76</v>
      </c>
      <c r="P1751">
        <v>76</v>
      </c>
      <c r="Q1751" t="s">
        <v>99</v>
      </c>
      <c r="R1751">
        <v>30</v>
      </c>
      <c r="S1751" s="19">
        <v>0.5625</v>
      </c>
      <c r="U1751" s="19"/>
      <c r="V1751" t="s">
        <v>99</v>
      </c>
      <c r="W1751">
        <v>4</v>
      </c>
      <c r="X1751" t="s">
        <v>102</v>
      </c>
      <c r="Y1751" t="b">
        <v>0</v>
      </c>
    </row>
    <row r="1752" spans="1:25" x14ac:dyDescent="0.55000000000000004">
      <c r="A1752" t="s">
        <v>94</v>
      </c>
      <c r="B1752" t="s">
        <v>381</v>
      </c>
      <c r="C1752" t="s">
        <v>348</v>
      </c>
      <c r="D1752" t="s">
        <v>174</v>
      </c>
      <c r="E1752" t="s">
        <v>287</v>
      </c>
      <c r="F1752" t="s">
        <v>99</v>
      </c>
      <c r="G1752">
        <v>11014</v>
      </c>
      <c r="H1752" t="s">
        <v>427</v>
      </c>
      <c r="I1752">
        <v>1</v>
      </c>
      <c r="J1752" t="s">
        <v>105</v>
      </c>
      <c r="K1752" s="19">
        <v>0.5</v>
      </c>
      <c r="L1752" s="19">
        <v>0.6875</v>
      </c>
      <c r="M1752">
        <v>4.5</v>
      </c>
      <c r="N1752">
        <v>0</v>
      </c>
      <c r="O1752">
        <v>76</v>
      </c>
      <c r="P1752">
        <v>76</v>
      </c>
      <c r="Q1752" t="s">
        <v>99</v>
      </c>
      <c r="R1752">
        <v>30</v>
      </c>
      <c r="S1752" s="19">
        <v>0.5625</v>
      </c>
      <c r="U1752" s="19"/>
      <c r="V1752" t="s">
        <v>99</v>
      </c>
      <c r="W1752">
        <v>4</v>
      </c>
      <c r="X1752" t="s">
        <v>102</v>
      </c>
      <c r="Y1752" t="b">
        <v>0</v>
      </c>
    </row>
    <row r="1753" spans="1:25" x14ac:dyDescent="0.55000000000000004">
      <c r="A1753" t="s">
        <v>94</v>
      </c>
      <c r="B1753" t="s">
        <v>381</v>
      </c>
      <c r="C1753" t="s">
        <v>348</v>
      </c>
      <c r="D1753" t="s">
        <v>174</v>
      </c>
      <c r="E1753" t="s">
        <v>287</v>
      </c>
      <c r="F1753" t="s">
        <v>99</v>
      </c>
      <c r="G1753">
        <v>11014</v>
      </c>
      <c r="H1753" t="s">
        <v>427</v>
      </c>
      <c r="I1753">
        <v>2</v>
      </c>
      <c r="J1753" t="s">
        <v>107</v>
      </c>
      <c r="K1753" s="19">
        <v>0.5</v>
      </c>
      <c r="L1753" s="19">
        <v>0.6875</v>
      </c>
      <c r="M1753">
        <v>4.5</v>
      </c>
      <c r="N1753">
        <v>0</v>
      </c>
      <c r="O1753">
        <v>76</v>
      </c>
      <c r="P1753">
        <v>76</v>
      </c>
      <c r="Q1753" t="s">
        <v>99</v>
      </c>
      <c r="R1753">
        <v>30</v>
      </c>
      <c r="S1753" s="19">
        <v>0.5625</v>
      </c>
      <c r="U1753" s="19"/>
      <c r="V1753" t="s">
        <v>99</v>
      </c>
      <c r="W1753">
        <v>4</v>
      </c>
      <c r="X1753" t="s">
        <v>102</v>
      </c>
      <c r="Y1753" t="b">
        <v>0</v>
      </c>
    </row>
    <row r="1754" spans="1:25" x14ac:dyDescent="0.55000000000000004">
      <c r="A1754" t="s">
        <v>94</v>
      </c>
      <c r="B1754" t="s">
        <v>381</v>
      </c>
      <c r="C1754" t="s">
        <v>348</v>
      </c>
      <c r="D1754" t="s">
        <v>174</v>
      </c>
      <c r="E1754" t="s">
        <v>287</v>
      </c>
      <c r="F1754" t="s">
        <v>99</v>
      </c>
      <c r="G1754">
        <v>11014</v>
      </c>
      <c r="H1754" t="s">
        <v>427</v>
      </c>
      <c r="I1754">
        <v>2</v>
      </c>
      <c r="J1754" t="s">
        <v>101</v>
      </c>
      <c r="K1754" s="19">
        <v>0.5</v>
      </c>
      <c r="L1754" s="19">
        <v>0.72916666666666663</v>
      </c>
      <c r="M1754">
        <v>5.5</v>
      </c>
      <c r="N1754">
        <v>0</v>
      </c>
      <c r="O1754">
        <v>76</v>
      </c>
      <c r="P1754">
        <v>76</v>
      </c>
      <c r="Q1754" t="s">
        <v>99</v>
      </c>
      <c r="R1754">
        <v>30</v>
      </c>
      <c r="S1754" s="19">
        <v>0.5625</v>
      </c>
      <c r="U1754" s="19"/>
      <c r="V1754" t="s">
        <v>99</v>
      </c>
      <c r="W1754">
        <v>5</v>
      </c>
      <c r="X1754" t="s">
        <v>102</v>
      </c>
      <c r="Y1754" t="b">
        <v>0</v>
      </c>
    </row>
    <row r="1755" spans="1:25" x14ac:dyDescent="0.55000000000000004">
      <c r="A1755" t="s">
        <v>94</v>
      </c>
      <c r="B1755" t="s">
        <v>381</v>
      </c>
      <c r="C1755" t="s">
        <v>348</v>
      </c>
      <c r="D1755" t="s">
        <v>174</v>
      </c>
      <c r="E1755" t="s">
        <v>287</v>
      </c>
      <c r="F1755" t="s">
        <v>99</v>
      </c>
      <c r="G1755">
        <v>11014</v>
      </c>
      <c r="H1755" t="s">
        <v>427</v>
      </c>
      <c r="I1755">
        <v>2</v>
      </c>
      <c r="J1755" t="s">
        <v>103</v>
      </c>
      <c r="K1755" s="19">
        <v>0.5</v>
      </c>
      <c r="L1755" s="19">
        <v>0.6875</v>
      </c>
      <c r="M1755">
        <v>4.5</v>
      </c>
      <c r="N1755">
        <v>0</v>
      </c>
      <c r="O1755">
        <v>76</v>
      </c>
      <c r="P1755">
        <v>76</v>
      </c>
      <c r="Q1755" t="s">
        <v>99</v>
      </c>
      <c r="R1755">
        <v>30</v>
      </c>
      <c r="S1755" s="19">
        <v>0.5625</v>
      </c>
      <c r="U1755" s="19"/>
      <c r="V1755" t="s">
        <v>99</v>
      </c>
      <c r="W1755">
        <v>4</v>
      </c>
      <c r="X1755" t="s">
        <v>102</v>
      </c>
      <c r="Y1755" t="b">
        <v>0</v>
      </c>
    </row>
    <row r="1756" spans="1:25" x14ac:dyDescent="0.55000000000000004">
      <c r="A1756" t="s">
        <v>94</v>
      </c>
      <c r="B1756" t="s">
        <v>381</v>
      </c>
      <c r="C1756" t="s">
        <v>348</v>
      </c>
      <c r="D1756" t="s">
        <v>174</v>
      </c>
      <c r="E1756" t="s">
        <v>287</v>
      </c>
      <c r="F1756" t="s">
        <v>99</v>
      </c>
      <c r="G1756">
        <v>11014</v>
      </c>
      <c r="H1756" t="s">
        <v>427</v>
      </c>
      <c r="I1756">
        <v>2</v>
      </c>
      <c r="J1756" t="s">
        <v>104</v>
      </c>
      <c r="K1756" s="19">
        <v>0.5</v>
      </c>
      <c r="L1756" s="19">
        <v>0.6875</v>
      </c>
      <c r="M1756">
        <v>4.5</v>
      </c>
      <c r="N1756">
        <v>0</v>
      </c>
      <c r="O1756">
        <v>76</v>
      </c>
      <c r="P1756">
        <v>76</v>
      </c>
      <c r="Q1756" t="s">
        <v>99</v>
      </c>
      <c r="R1756">
        <v>30</v>
      </c>
      <c r="S1756" s="19">
        <v>0.5625</v>
      </c>
      <c r="U1756" s="19"/>
      <c r="V1756" t="s">
        <v>99</v>
      </c>
      <c r="W1756">
        <v>4</v>
      </c>
      <c r="X1756" t="s">
        <v>102</v>
      </c>
      <c r="Y1756" t="b">
        <v>0</v>
      </c>
    </row>
    <row r="1757" spans="1:25" x14ac:dyDescent="0.55000000000000004">
      <c r="A1757" t="s">
        <v>94</v>
      </c>
      <c r="B1757" t="s">
        <v>381</v>
      </c>
      <c r="C1757" t="s">
        <v>348</v>
      </c>
      <c r="D1757" t="s">
        <v>174</v>
      </c>
      <c r="E1757" t="s">
        <v>287</v>
      </c>
      <c r="F1757" t="s">
        <v>99</v>
      </c>
      <c r="G1757">
        <v>11014</v>
      </c>
      <c r="H1757" t="s">
        <v>427</v>
      </c>
      <c r="I1757">
        <v>2</v>
      </c>
      <c r="J1757" t="s">
        <v>105</v>
      </c>
      <c r="K1757" s="19">
        <v>0.5</v>
      </c>
      <c r="L1757" s="19">
        <v>0.6875</v>
      </c>
      <c r="M1757">
        <v>4.5</v>
      </c>
      <c r="N1757">
        <v>0</v>
      </c>
      <c r="O1757">
        <v>76</v>
      </c>
      <c r="P1757">
        <v>76</v>
      </c>
      <c r="Q1757" t="s">
        <v>99</v>
      </c>
      <c r="R1757">
        <v>30</v>
      </c>
      <c r="S1757" s="19">
        <v>0.5625</v>
      </c>
      <c r="U1757" s="19"/>
      <c r="V1757" t="s">
        <v>99</v>
      </c>
      <c r="W1757">
        <v>4</v>
      </c>
      <c r="X1757" t="s">
        <v>102</v>
      </c>
      <c r="Y1757" t="b">
        <v>0</v>
      </c>
    </row>
    <row r="1758" spans="1:25" x14ac:dyDescent="0.55000000000000004">
      <c r="A1758" t="s">
        <v>94</v>
      </c>
      <c r="B1758" t="s">
        <v>381</v>
      </c>
      <c r="C1758" t="s">
        <v>348</v>
      </c>
      <c r="D1758" t="s">
        <v>174</v>
      </c>
      <c r="E1758" t="s">
        <v>289</v>
      </c>
      <c r="F1758" t="s">
        <v>99</v>
      </c>
      <c r="G1758">
        <v>12388</v>
      </c>
      <c r="H1758" t="s">
        <v>413</v>
      </c>
      <c r="I1758">
        <v>1</v>
      </c>
      <c r="J1758" t="s">
        <v>101</v>
      </c>
      <c r="K1758" s="19">
        <v>0.29166666666666669</v>
      </c>
      <c r="L1758" s="19">
        <v>0.45833333333333331</v>
      </c>
      <c r="M1758">
        <v>4</v>
      </c>
      <c r="N1758">
        <v>161.24</v>
      </c>
      <c r="O1758">
        <v>76</v>
      </c>
      <c r="P1758">
        <v>76</v>
      </c>
      <c r="Q1758" t="s">
        <v>99</v>
      </c>
      <c r="R1758">
        <v>0</v>
      </c>
      <c r="S1758" s="19">
        <v>0.4375</v>
      </c>
      <c r="T1758">
        <v>0</v>
      </c>
      <c r="U1758" s="19"/>
      <c r="V1758" t="s">
        <v>99</v>
      </c>
      <c r="W1758">
        <v>4</v>
      </c>
      <c r="X1758" t="s">
        <v>102</v>
      </c>
      <c r="Y1758" t="b">
        <v>0</v>
      </c>
    </row>
    <row r="1759" spans="1:25" x14ac:dyDescent="0.55000000000000004">
      <c r="A1759" t="s">
        <v>94</v>
      </c>
      <c r="B1759" t="s">
        <v>381</v>
      </c>
      <c r="C1759" t="s">
        <v>348</v>
      </c>
      <c r="D1759" t="s">
        <v>174</v>
      </c>
      <c r="E1759" t="s">
        <v>289</v>
      </c>
      <c r="F1759" t="s">
        <v>99</v>
      </c>
      <c r="G1759">
        <v>12388</v>
      </c>
      <c r="H1759" t="s">
        <v>413</v>
      </c>
      <c r="I1759">
        <v>1</v>
      </c>
      <c r="J1759" t="s">
        <v>104</v>
      </c>
      <c r="K1759" s="19">
        <v>0.29166666666666669</v>
      </c>
      <c r="L1759" s="19">
        <v>0.45833333333333331</v>
      </c>
      <c r="M1759">
        <v>4</v>
      </c>
      <c r="N1759">
        <v>161.24</v>
      </c>
      <c r="O1759">
        <v>76</v>
      </c>
      <c r="P1759">
        <v>76</v>
      </c>
      <c r="Q1759" t="s">
        <v>99</v>
      </c>
      <c r="R1759">
        <v>0</v>
      </c>
      <c r="S1759" s="19">
        <v>0.4375</v>
      </c>
      <c r="T1759">
        <v>0</v>
      </c>
      <c r="U1759" s="19">
        <v>0.41666666666666669</v>
      </c>
      <c r="V1759" t="s">
        <v>99</v>
      </c>
      <c r="W1759">
        <v>4</v>
      </c>
      <c r="X1759" t="s">
        <v>102</v>
      </c>
      <c r="Y1759" t="b">
        <v>0</v>
      </c>
    </row>
    <row r="1760" spans="1:25" x14ac:dyDescent="0.55000000000000004">
      <c r="A1760" t="s">
        <v>94</v>
      </c>
      <c r="B1760" t="s">
        <v>381</v>
      </c>
      <c r="C1760" t="s">
        <v>348</v>
      </c>
      <c r="D1760" t="s">
        <v>174</v>
      </c>
      <c r="E1760" t="s">
        <v>289</v>
      </c>
      <c r="F1760" t="s">
        <v>99</v>
      </c>
      <c r="G1760">
        <v>12388</v>
      </c>
      <c r="H1760" t="s">
        <v>413</v>
      </c>
      <c r="I1760">
        <v>2</v>
      </c>
      <c r="J1760" t="s">
        <v>104</v>
      </c>
      <c r="K1760" s="19">
        <v>0.29166666666666669</v>
      </c>
      <c r="L1760" s="19">
        <v>0.45833333333333331</v>
      </c>
      <c r="M1760">
        <v>4</v>
      </c>
      <c r="N1760">
        <v>161.24</v>
      </c>
      <c r="O1760">
        <v>76</v>
      </c>
      <c r="P1760">
        <v>76</v>
      </c>
      <c r="Q1760" t="s">
        <v>99</v>
      </c>
      <c r="R1760">
        <v>0</v>
      </c>
      <c r="S1760" s="19">
        <v>0.4375</v>
      </c>
      <c r="T1760">
        <v>0</v>
      </c>
      <c r="U1760" s="19">
        <v>0.41666666666666669</v>
      </c>
      <c r="V1760" t="s">
        <v>99</v>
      </c>
      <c r="W1760">
        <v>4</v>
      </c>
      <c r="X1760" t="s">
        <v>102</v>
      </c>
      <c r="Y1760" t="b">
        <v>0</v>
      </c>
    </row>
    <row r="1761" spans="1:25" x14ac:dyDescent="0.55000000000000004">
      <c r="A1761" t="s">
        <v>94</v>
      </c>
      <c r="B1761" t="s">
        <v>428</v>
      </c>
      <c r="C1761" t="s">
        <v>292</v>
      </c>
      <c r="D1761" t="s">
        <v>174</v>
      </c>
      <c r="E1761" t="s">
        <v>175</v>
      </c>
      <c r="F1761" t="s">
        <v>99</v>
      </c>
      <c r="H1761" t="s">
        <v>99</v>
      </c>
      <c r="I1761">
        <v>1</v>
      </c>
      <c r="J1761" t="s">
        <v>107</v>
      </c>
      <c r="K1761" s="19">
        <v>0.25</v>
      </c>
      <c r="L1761" s="19">
        <v>0.58333333333333337</v>
      </c>
      <c r="M1761">
        <v>8</v>
      </c>
      <c r="N1761">
        <v>235.05</v>
      </c>
      <c r="O1761">
        <v>0</v>
      </c>
      <c r="P1761">
        <v>0</v>
      </c>
      <c r="Q1761" t="s">
        <v>99</v>
      </c>
      <c r="R1761">
        <v>30</v>
      </c>
      <c r="S1761" s="19">
        <v>0.45833333333333331</v>
      </c>
      <c r="T1761">
        <v>0</v>
      </c>
      <c r="U1761" s="19"/>
      <c r="V1761" t="s">
        <v>99</v>
      </c>
      <c r="W1761">
        <v>7.5</v>
      </c>
      <c r="X1761" t="s">
        <v>102</v>
      </c>
      <c r="Y1761" t="b">
        <v>0</v>
      </c>
    </row>
    <row r="1762" spans="1:25" x14ac:dyDescent="0.55000000000000004">
      <c r="A1762" t="s">
        <v>94</v>
      </c>
      <c r="B1762" t="s">
        <v>428</v>
      </c>
      <c r="C1762" t="s">
        <v>292</v>
      </c>
      <c r="D1762" t="s">
        <v>174</v>
      </c>
      <c r="E1762" t="s">
        <v>175</v>
      </c>
      <c r="F1762" t="s">
        <v>99</v>
      </c>
      <c r="H1762" t="s">
        <v>99</v>
      </c>
      <c r="I1762">
        <v>1</v>
      </c>
      <c r="J1762" t="s">
        <v>101</v>
      </c>
      <c r="K1762" s="19">
        <v>0.25</v>
      </c>
      <c r="L1762" s="19">
        <v>0.58333333333333337</v>
      </c>
      <c r="M1762">
        <v>8</v>
      </c>
      <c r="N1762">
        <v>244.57</v>
      </c>
      <c r="O1762">
        <v>0</v>
      </c>
      <c r="P1762">
        <v>0</v>
      </c>
      <c r="Q1762" t="s">
        <v>99</v>
      </c>
      <c r="R1762">
        <v>30</v>
      </c>
      <c r="S1762" s="19">
        <v>0.45833333333333331</v>
      </c>
      <c r="T1762">
        <v>0</v>
      </c>
      <c r="U1762" s="19"/>
      <c r="V1762" t="s">
        <v>99</v>
      </c>
      <c r="W1762">
        <v>7.5</v>
      </c>
      <c r="X1762" t="s">
        <v>102</v>
      </c>
      <c r="Y1762" t="b">
        <v>0</v>
      </c>
    </row>
    <row r="1763" spans="1:25" x14ac:dyDescent="0.55000000000000004">
      <c r="A1763" t="s">
        <v>94</v>
      </c>
      <c r="B1763" t="s">
        <v>428</v>
      </c>
      <c r="C1763" t="s">
        <v>292</v>
      </c>
      <c r="D1763" t="s">
        <v>174</v>
      </c>
      <c r="E1763" t="s">
        <v>175</v>
      </c>
      <c r="F1763" t="s">
        <v>99</v>
      </c>
      <c r="H1763" t="s">
        <v>99</v>
      </c>
      <c r="I1763">
        <v>1</v>
      </c>
      <c r="J1763" t="s">
        <v>101</v>
      </c>
      <c r="K1763" s="19">
        <v>0.29166666666666669</v>
      </c>
      <c r="L1763" s="19">
        <v>0.60416666666666663</v>
      </c>
      <c r="M1763">
        <v>7.5</v>
      </c>
      <c r="N1763">
        <v>219.38</v>
      </c>
      <c r="O1763">
        <v>0</v>
      </c>
      <c r="P1763">
        <v>0</v>
      </c>
      <c r="Q1763" t="s">
        <v>99</v>
      </c>
      <c r="R1763">
        <v>30</v>
      </c>
      <c r="S1763" s="19">
        <v>0.45833333333333331</v>
      </c>
      <c r="T1763">
        <v>0</v>
      </c>
      <c r="U1763" s="19"/>
      <c r="V1763" t="s">
        <v>99</v>
      </c>
      <c r="W1763">
        <v>7</v>
      </c>
      <c r="X1763" t="s">
        <v>102</v>
      </c>
      <c r="Y1763" t="b">
        <v>0</v>
      </c>
    </row>
    <row r="1764" spans="1:25" x14ac:dyDescent="0.55000000000000004">
      <c r="A1764" t="s">
        <v>94</v>
      </c>
      <c r="B1764" t="s">
        <v>428</v>
      </c>
      <c r="C1764" t="s">
        <v>292</v>
      </c>
      <c r="D1764" t="s">
        <v>174</v>
      </c>
      <c r="E1764" t="s">
        <v>175</v>
      </c>
      <c r="F1764" t="s">
        <v>99</v>
      </c>
      <c r="H1764" t="s">
        <v>99</v>
      </c>
      <c r="I1764">
        <v>1</v>
      </c>
      <c r="J1764" t="s">
        <v>101</v>
      </c>
      <c r="K1764" s="19">
        <v>0.29166666666666669</v>
      </c>
      <c r="L1764" s="19">
        <v>0.625</v>
      </c>
      <c r="M1764">
        <v>8</v>
      </c>
      <c r="N1764">
        <v>250.13</v>
      </c>
      <c r="O1764">
        <v>0</v>
      </c>
      <c r="P1764">
        <v>0</v>
      </c>
      <c r="Q1764" t="s">
        <v>99</v>
      </c>
      <c r="R1764">
        <v>30</v>
      </c>
      <c r="S1764" s="19">
        <v>0.5</v>
      </c>
      <c r="T1764">
        <v>0</v>
      </c>
      <c r="U1764" s="19"/>
      <c r="V1764" t="s">
        <v>99</v>
      </c>
      <c r="W1764">
        <v>7.5</v>
      </c>
      <c r="X1764" t="s">
        <v>102</v>
      </c>
      <c r="Y1764" t="b">
        <v>0</v>
      </c>
    </row>
    <row r="1765" spans="1:25" x14ac:dyDescent="0.55000000000000004">
      <c r="A1765" t="s">
        <v>94</v>
      </c>
      <c r="B1765" t="s">
        <v>428</v>
      </c>
      <c r="C1765" t="s">
        <v>292</v>
      </c>
      <c r="D1765" t="s">
        <v>174</v>
      </c>
      <c r="E1765" t="s">
        <v>175</v>
      </c>
      <c r="F1765" t="s">
        <v>99</v>
      </c>
      <c r="H1765" t="s">
        <v>99</v>
      </c>
      <c r="I1765">
        <v>1</v>
      </c>
      <c r="J1765" t="s">
        <v>115</v>
      </c>
      <c r="K1765" s="19">
        <v>0.27083333333333331</v>
      </c>
      <c r="L1765" s="19">
        <v>0.625</v>
      </c>
      <c r="M1765">
        <v>8.5</v>
      </c>
      <c r="N1765">
        <v>400.2</v>
      </c>
      <c r="O1765">
        <v>0</v>
      </c>
      <c r="P1765">
        <v>0</v>
      </c>
      <c r="Q1765" t="s">
        <v>99</v>
      </c>
      <c r="R1765">
        <v>30</v>
      </c>
      <c r="S1765" s="19">
        <v>0.47916666666666669</v>
      </c>
      <c r="T1765">
        <v>0</v>
      </c>
      <c r="U1765" s="19"/>
      <c r="V1765" t="s">
        <v>99</v>
      </c>
      <c r="W1765">
        <v>8</v>
      </c>
      <c r="X1765" t="s">
        <v>102</v>
      </c>
      <c r="Y1765" t="b">
        <v>0</v>
      </c>
    </row>
    <row r="1766" spans="1:25" x14ac:dyDescent="0.55000000000000004">
      <c r="A1766" t="s">
        <v>94</v>
      </c>
      <c r="B1766" t="s">
        <v>428</v>
      </c>
      <c r="C1766" t="s">
        <v>292</v>
      </c>
      <c r="D1766" t="s">
        <v>174</v>
      </c>
      <c r="E1766" t="s">
        <v>175</v>
      </c>
      <c r="F1766" t="s">
        <v>99</v>
      </c>
      <c r="H1766" t="s">
        <v>99</v>
      </c>
      <c r="I1766">
        <v>1</v>
      </c>
      <c r="J1766" t="s">
        <v>115</v>
      </c>
      <c r="K1766" s="19">
        <v>0.29166666666666669</v>
      </c>
      <c r="L1766" s="19">
        <v>0.60416666666666663</v>
      </c>
      <c r="M1766">
        <v>7.5</v>
      </c>
      <c r="N1766">
        <v>329.07</v>
      </c>
      <c r="O1766">
        <v>0</v>
      </c>
      <c r="P1766">
        <v>0</v>
      </c>
      <c r="Q1766" t="s">
        <v>99</v>
      </c>
      <c r="R1766">
        <v>30</v>
      </c>
      <c r="S1766" s="19">
        <v>0.45833333333333331</v>
      </c>
      <c r="T1766">
        <v>0</v>
      </c>
      <c r="U1766" s="19"/>
      <c r="V1766" t="s">
        <v>99</v>
      </c>
      <c r="W1766">
        <v>7</v>
      </c>
      <c r="X1766" t="s">
        <v>102</v>
      </c>
      <c r="Y1766" t="b">
        <v>0</v>
      </c>
    </row>
    <row r="1767" spans="1:25" x14ac:dyDescent="0.55000000000000004">
      <c r="A1767" t="s">
        <v>94</v>
      </c>
      <c r="B1767" t="s">
        <v>428</v>
      </c>
      <c r="C1767" t="s">
        <v>292</v>
      </c>
      <c r="D1767" t="s">
        <v>174</v>
      </c>
      <c r="E1767" t="s">
        <v>175</v>
      </c>
      <c r="F1767" t="s">
        <v>99</v>
      </c>
      <c r="H1767" t="s">
        <v>99</v>
      </c>
      <c r="I1767">
        <v>1</v>
      </c>
      <c r="J1767" t="s">
        <v>116</v>
      </c>
      <c r="K1767" s="19">
        <v>0.25</v>
      </c>
      <c r="L1767" s="19">
        <v>0.58333333333333337</v>
      </c>
      <c r="M1767">
        <v>8</v>
      </c>
      <c r="N1767">
        <v>437.72</v>
      </c>
      <c r="O1767">
        <v>0</v>
      </c>
      <c r="P1767">
        <v>0</v>
      </c>
      <c r="Q1767" t="s">
        <v>99</v>
      </c>
      <c r="R1767">
        <v>30</v>
      </c>
      <c r="S1767" s="19">
        <v>0.45833333333333331</v>
      </c>
      <c r="T1767">
        <v>0</v>
      </c>
      <c r="U1767" s="19"/>
      <c r="V1767" t="s">
        <v>99</v>
      </c>
      <c r="W1767">
        <v>7.5</v>
      </c>
      <c r="X1767" t="s">
        <v>102</v>
      </c>
      <c r="Y1767" t="b">
        <v>0</v>
      </c>
    </row>
    <row r="1768" spans="1:25" x14ac:dyDescent="0.55000000000000004">
      <c r="A1768" t="s">
        <v>94</v>
      </c>
      <c r="B1768" t="s">
        <v>428</v>
      </c>
      <c r="C1768" t="s">
        <v>292</v>
      </c>
      <c r="D1768" t="s">
        <v>174</v>
      </c>
      <c r="E1768" t="s">
        <v>175</v>
      </c>
      <c r="F1768" t="s">
        <v>99</v>
      </c>
      <c r="H1768" t="s">
        <v>99</v>
      </c>
      <c r="I1768">
        <v>1</v>
      </c>
      <c r="J1768" t="s">
        <v>116</v>
      </c>
      <c r="K1768" s="19">
        <v>0.29166666666666669</v>
      </c>
      <c r="L1768" s="19">
        <v>0.60416666666666663</v>
      </c>
      <c r="M1768">
        <v>7.5</v>
      </c>
      <c r="N1768">
        <v>408.54</v>
      </c>
      <c r="O1768">
        <v>0</v>
      </c>
      <c r="P1768">
        <v>0</v>
      </c>
      <c r="Q1768" t="s">
        <v>99</v>
      </c>
      <c r="R1768">
        <v>30</v>
      </c>
      <c r="S1768" s="19">
        <v>0.45833333333333331</v>
      </c>
      <c r="T1768">
        <v>0</v>
      </c>
      <c r="U1768" s="19"/>
      <c r="V1768" t="s">
        <v>99</v>
      </c>
      <c r="W1768">
        <v>7</v>
      </c>
      <c r="X1768" t="s">
        <v>102</v>
      </c>
      <c r="Y1768" t="b">
        <v>0</v>
      </c>
    </row>
    <row r="1769" spans="1:25" x14ac:dyDescent="0.55000000000000004">
      <c r="A1769" t="s">
        <v>94</v>
      </c>
      <c r="B1769" t="s">
        <v>428</v>
      </c>
      <c r="C1769" t="s">
        <v>292</v>
      </c>
      <c r="D1769" t="s">
        <v>174</v>
      </c>
      <c r="E1769" t="s">
        <v>175</v>
      </c>
      <c r="F1769" t="s">
        <v>99</v>
      </c>
      <c r="H1769" t="s">
        <v>99</v>
      </c>
      <c r="I1769">
        <v>1</v>
      </c>
      <c r="J1769" t="s">
        <v>103</v>
      </c>
      <c r="K1769" s="19">
        <v>0.25</v>
      </c>
      <c r="L1769" s="19">
        <v>0.58333333333333337</v>
      </c>
      <c r="M1769">
        <v>8</v>
      </c>
      <c r="N1769">
        <v>235.05</v>
      </c>
      <c r="O1769">
        <v>0</v>
      </c>
      <c r="P1769">
        <v>0</v>
      </c>
      <c r="Q1769" t="s">
        <v>99</v>
      </c>
      <c r="R1769">
        <v>30</v>
      </c>
      <c r="S1769" s="19">
        <v>0.45833333333333331</v>
      </c>
      <c r="T1769">
        <v>0</v>
      </c>
      <c r="U1769" s="19"/>
      <c r="V1769" t="s">
        <v>99</v>
      </c>
      <c r="W1769">
        <v>7.5</v>
      </c>
      <c r="X1769" t="s">
        <v>102</v>
      </c>
      <c r="Y1769" t="b">
        <v>0</v>
      </c>
    </row>
    <row r="1770" spans="1:25" x14ac:dyDescent="0.55000000000000004">
      <c r="A1770" t="s">
        <v>94</v>
      </c>
      <c r="B1770" t="s">
        <v>428</v>
      </c>
      <c r="C1770" t="s">
        <v>292</v>
      </c>
      <c r="D1770" t="s">
        <v>174</v>
      </c>
      <c r="E1770" t="s">
        <v>175</v>
      </c>
      <c r="F1770" t="s">
        <v>99</v>
      </c>
      <c r="H1770" t="s">
        <v>99</v>
      </c>
      <c r="I1770">
        <v>1</v>
      </c>
      <c r="J1770" t="s">
        <v>104</v>
      </c>
      <c r="K1770" s="19">
        <v>0.25</v>
      </c>
      <c r="L1770" s="19">
        <v>0.58333333333333337</v>
      </c>
      <c r="M1770">
        <v>8</v>
      </c>
      <c r="N1770">
        <v>244.57</v>
      </c>
      <c r="O1770">
        <v>0</v>
      </c>
      <c r="P1770">
        <v>0</v>
      </c>
      <c r="Q1770" t="s">
        <v>99</v>
      </c>
      <c r="R1770">
        <v>30</v>
      </c>
      <c r="S1770" s="19">
        <v>0.45833333333333331</v>
      </c>
      <c r="T1770">
        <v>0</v>
      </c>
      <c r="U1770" s="19"/>
      <c r="V1770" t="s">
        <v>99</v>
      </c>
      <c r="W1770">
        <v>7.5</v>
      </c>
      <c r="X1770" t="s">
        <v>102</v>
      </c>
      <c r="Y1770" t="b">
        <v>0</v>
      </c>
    </row>
    <row r="1771" spans="1:25" x14ac:dyDescent="0.55000000000000004">
      <c r="A1771" t="s">
        <v>94</v>
      </c>
      <c r="B1771" t="s">
        <v>428</v>
      </c>
      <c r="C1771" t="s">
        <v>292</v>
      </c>
      <c r="D1771" t="s">
        <v>174</v>
      </c>
      <c r="E1771" t="s">
        <v>175</v>
      </c>
      <c r="F1771" t="s">
        <v>99</v>
      </c>
      <c r="H1771" t="s">
        <v>99</v>
      </c>
      <c r="I1771">
        <v>1</v>
      </c>
      <c r="J1771" t="s">
        <v>104</v>
      </c>
      <c r="K1771" s="19">
        <v>0.27083333333333331</v>
      </c>
      <c r="L1771" s="19">
        <v>0.625</v>
      </c>
      <c r="M1771">
        <v>8.5</v>
      </c>
      <c r="N1771">
        <v>266.8</v>
      </c>
      <c r="O1771">
        <v>0</v>
      </c>
      <c r="P1771">
        <v>0</v>
      </c>
      <c r="Q1771" t="s">
        <v>99</v>
      </c>
      <c r="R1771">
        <v>30</v>
      </c>
      <c r="S1771" s="19">
        <v>0.47916666666666669</v>
      </c>
      <c r="T1771">
        <v>0</v>
      </c>
      <c r="U1771" s="19"/>
      <c r="V1771" t="s">
        <v>99</v>
      </c>
      <c r="W1771">
        <v>8</v>
      </c>
      <c r="X1771" t="s">
        <v>102</v>
      </c>
      <c r="Y1771" t="b">
        <v>0</v>
      </c>
    </row>
    <row r="1772" spans="1:25" x14ac:dyDescent="0.55000000000000004">
      <c r="A1772" t="s">
        <v>94</v>
      </c>
      <c r="B1772" t="s">
        <v>428</v>
      </c>
      <c r="C1772" t="s">
        <v>292</v>
      </c>
      <c r="D1772" t="s">
        <v>174</v>
      </c>
      <c r="E1772" t="s">
        <v>175</v>
      </c>
      <c r="F1772" t="s">
        <v>99</v>
      </c>
      <c r="H1772" t="s">
        <v>99</v>
      </c>
      <c r="I1772">
        <v>1</v>
      </c>
      <c r="J1772" t="s">
        <v>104</v>
      </c>
      <c r="K1772" s="19">
        <v>0.29166666666666669</v>
      </c>
      <c r="L1772" s="19">
        <v>0.625</v>
      </c>
      <c r="M1772">
        <v>8</v>
      </c>
      <c r="N1772">
        <v>250.13</v>
      </c>
      <c r="O1772">
        <v>0</v>
      </c>
      <c r="P1772">
        <v>0</v>
      </c>
      <c r="Q1772" t="s">
        <v>99</v>
      </c>
      <c r="R1772">
        <v>30</v>
      </c>
      <c r="S1772" s="19">
        <v>0.5</v>
      </c>
      <c r="T1772">
        <v>0</v>
      </c>
      <c r="U1772" s="19"/>
      <c r="V1772" t="s">
        <v>99</v>
      </c>
      <c r="W1772">
        <v>7.5</v>
      </c>
      <c r="X1772" t="s">
        <v>102</v>
      </c>
      <c r="Y1772" t="b">
        <v>0</v>
      </c>
    </row>
    <row r="1773" spans="1:25" x14ac:dyDescent="0.55000000000000004">
      <c r="A1773" t="s">
        <v>94</v>
      </c>
      <c r="B1773" t="s">
        <v>428</v>
      </c>
      <c r="C1773" t="s">
        <v>292</v>
      </c>
      <c r="D1773" t="s">
        <v>174</v>
      </c>
      <c r="E1773" t="s">
        <v>175</v>
      </c>
      <c r="F1773" t="s">
        <v>99</v>
      </c>
      <c r="H1773" t="s">
        <v>99</v>
      </c>
      <c r="I1773">
        <v>1</v>
      </c>
      <c r="J1773" t="s">
        <v>105</v>
      </c>
      <c r="K1773" s="19">
        <v>0.29166666666666669</v>
      </c>
      <c r="L1773" s="19">
        <v>0.60416666666666663</v>
      </c>
      <c r="M1773">
        <v>7.5</v>
      </c>
      <c r="N1773">
        <v>219.38</v>
      </c>
      <c r="O1773">
        <v>0</v>
      </c>
      <c r="P1773">
        <v>0</v>
      </c>
      <c r="Q1773" t="s">
        <v>99</v>
      </c>
      <c r="R1773">
        <v>30</v>
      </c>
      <c r="S1773" s="19">
        <v>0.45833333333333331</v>
      </c>
      <c r="T1773">
        <v>0</v>
      </c>
      <c r="U1773" s="19"/>
      <c r="V1773" t="s">
        <v>99</v>
      </c>
      <c r="W1773">
        <v>7</v>
      </c>
      <c r="X1773" t="s">
        <v>102</v>
      </c>
      <c r="Y1773" t="b">
        <v>0</v>
      </c>
    </row>
    <row r="1774" spans="1:25" x14ac:dyDescent="0.55000000000000004">
      <c r="A1774" t="s">
        <v>94</v>
      </c>
      <c r="B1774" t="s">
        <v>428</v>
      </c>
      <c r="C1774" t="s">
        <v>292</v>
      </c>
      <c r="D1774" t="s">
        <v>174</v>
      </c>
      <c r="E1774" t="s">
        <v>175</v>
      </c>
      <c r="F1774" t="s">
        <v>99</v>
      </c>
      <c r="H1774" t="s">
        <v>99</v>
      </c>
      <c r="I1774">
        <v>1</v>
      </c>
      <c r="J1774" t="s">
        <v>105</v>
      </c>
      <c r="K1774" s="19">
        <v>0.29166666666666669</v>
      </c>
      <c r="L1774" s="19">
        <v>0.625</v>
      </c>
      <c r="M1774">
        <v>8</v>
      </c>
      <c r="N1774">
        <v>250.13</v>
      </c>
      <c r="O1774">
        <v>0</v>
      </c>
      <c r="P1774">
        <v>0</v>
      </c>
      <c r="Q1774" t="s">
        <v>99</v>
      </c>
      <c r="R1774">
        <v>30</v>
      </c>
      <c r="S1774" s="19">
        <v>0.5</v>
      </c>
      <c r="T1774">
        <v>0</v>
      </c>
      <c r="U1774" s="19"/>
      <c r="V1774" t="s">
        <v>99</v>
      </c>
      <c r="W1774">
        <v>7.5</v>
      </c>
      <c r="X1774" t="s">
        <v>102</v>
      </c>
      <c r="Y1774" t="b">
        <v>0</v>
      </c>
    </row>
    <row r="1775" spans="1:25" x14ac:dyDescent="0.55000000000000004">
      <c r="A1775" t="s">
        <v>94</v>
      </c>
      <c r="B1775" t="s">
        <v>428</v>
      </c>
      <c r="C1775" t="s">
        <v>292</v>
      </c>
      <c r="D1775" t="s">
        <v>174</v>
      </c>
      <c r="E1775" t="s">
        <v>175</v>
      </c>
      <c r="F1775" t="s">
        <v>99</v>
      </c>
      <c r="H1775" t="s">
        <v>99</v>
      </c>
      <c r="I1775">
        <v>2</v>
      </c>
      <c r="J1775" t="s">
        <v>107</v>
      </c>
      <c r="K1775" s="19">
        <v>0.25</v>
      </c>
      <c r="L1775" s="19">
        <v>0.58333333333333337</v>
      </c>
      <c r="M1775">
        <v>8</v>
      </c>
      <c r="N1775">
        <v>244.57</v>
      </c>
      <c r="O1775">
        <v>0</v>
      </c>
      <c r="P1775">
        <v>0</v>
      </c>
      <c r="Q1775" t="s">
        <v>99</v>
      </c>
      <c r="R1775">
        <v>30</v>
      </c>
      <c r="S1775" s="19">
        <v>0.45833333333333331</v>
      </c>
      <c r="T1775">
        <v>0</v>
      </c>
      <c r="U1775" s="19"/>
      <c r="V1775" t="s">
        <v>99</v>
      </c>
      <c r="W1775">
        <v>7.5</v>
      </c>
      <c r="X1775" t="s">
        <v>102</v>
      </c>
      <c r="Y1775" t="b">
        <v>0</v>
      </c>
    </row>
    <row r="1776" spans="1:25" x14ac:dyDescent="0.55000000000000004">
      <c r="A1776" t="s">
        <v>94</v>
      </c>
      <c r="B1776" t="s">
        <v>428</v>
      </c>
      <c r="C1776" t="s">
        <v>292</v>
      </c>
      <c r="D1776" t="s">
        <v>174</v>
      </c>
      <c r="E1776" t="s">
        <v>175</v>
      </c>
      <c r="F1776" t="s">
        <v>99</v>
      </c>
      <c r="H1776" t="s">
        <v>99</v>
      </c>
      <c r="I1776">
        <v>2</v>
      </c>
      <c r="J1776" t="s">
        <v>107</v>
      </c>
      <c r="K1776" s="19">
        <v>0.27083333333333331</v>
      </c>
      <c r="L1776" s="19">
        <v>0.625</v>
      </c>
      <c r="M1776">
        <v>8.5</v>
      </c>
      <c r="N1776">
        <v>250.72</v>
      </c>
      <c r="O1776">
        <v>0</v>
      </c>
      <c r="P1776">
        <v>0</v>
      </c>
      <c r="Q1776" t="s">
        <v>99</v>
      </c>
      <c r="R1776">
        <v>30</v>
      </c>
      <c r="S1776" s="19">
        <v>0.47916666666666669</v>
      </c>
      <c r="T1776">
        <v>0</v>
      </c>
      <c r="U1776" s="19"/>
      <c r="V1776" t="s">
        <v>99</v>
      </c>
      <c r="W1776">
        <v>8</v>
      </c>
      <c r="X1776" t="s">
        <v>102</v>
      </c>
      <c r="Y1776" t="b">
        <v>0</v>
      </c>
    </row>
    <row r="1777" spans="1:25" x14ac:dyDescent="0.55000000000000004">
      <c r="A1777" t="s">
        <v>94</v>
      </c>
      <c r="B1777" t="s">
        <v>428</v>
      </c>
      <c r="C1777" t="s">
        <v>292</v>
      </c>
      <c r="D1777" t="s">
        <v>174</v>
      </c>
      <c r="E1777" t="s">
        <v>175</v>
      </c>
      <c r="F1777" t="s">
        <v>99</v>
      </c>
      <c r="H1777" t="s">
        <v>99</v>
      </c>
      <c r="I1777">
        <v>2</v>
      </c>
      <c r="J1777" t="s">
        <v>107</v>
      </c>
      <c r="K1777" s="19">
        <v>0.29166666666666669</v>
      </c>
      <c r="L1777" s="19">
        <v>0.60416666666666663</v>
      </c>
      <c r="M1777">
        <v>7.5</v>
      </c>
      <c r="N1777">
        <v>233.45</v>
      </c>
      <c r="O1777">
        <v>0</v>
      </c>
      <c r="P1777">
        <v>0</v>
      </c>
      <c r="Q1777" t="s">
        <v>99</v>
      </c>
      <c r="R1777">
        <v>30</v>
      </c>
      <c r="S1777" s="19">
        <v>0.45833333333333331</v>
      </c>
      <c r="T1777">
        <v>0</v>
      </c>
      <c r="U1777" s="19"/>
      <c r="V1777" t="s">
        <v>99</v>
      </c>
      <c r="W1777">
        <v>7</v>
      </c>
      <c r="X1777" t="s">
        <v>102</v>
      </c>
      <c r="Y1777" t="b">
        <v>0</v>
      </c>
    </row>
    <row r="1778" spans="1:25" x14ac:dyDescent="0.55000000000000004">
      <c r="A1778" t="s">
        <v>94</v>
      </c>
      <c r="B1778" t="s">
        <v>428</v>
      </c>
      <c r="C1778" t="s">
        <v>292</v>
      </c>
      <c r="D1778" t="s">
        <v>174</v>
      </c>
      <c r="E1778" t="s">
        <v>175</v>
      </c>
      <c r="F1778" t="s">
        <v>99</v>
      </c>
      <c r="H1778" t="s">
        <v>99</v>
      </c>
      <c r="I1778">
        <v>2</v>
      </c>
      <c r="J1778" t="s">
        <v>101</v>
      </c>
      <c r="K1778" s="19">
        <v>0.25</v>
      </c>
      <c r="L1778" s="19">
        <v>0.58333333333333337</v>
      </c>
      <c r="M1778">
        <v>8</v>
      </c>
      <c r="N1778">
        <v>250.13</v>
      </c>
      <c r="O1778">
        <v>0</v>
      </c>
      <c r="P1778">
        <v>0</v>
      </c>
      <c r="Q1778" t="s">
        <v>99</v>
      </c>
      <c r="R1778">
        <v>30</v>
      </c>
      <c r="S1778" s="19">
        <v>0.45833333333333331</v>
      </c>
      <c r="T1778">
        <v>0</v>
      </c>
      <c r="U1778" s="19"/>
      <c r="V1778" t="s">
        <v>99</v>
      </c>
      <c r="W1778">
        <v>7.5</v>
      </c>
      <c r="X1778" t="s">
        <v>102</v>
      </c>
      <c r="Y1778" t="b">
        <v>0</v>
      </c>
    </row>
    <row r="1779" spans="1:25" x14ac:dyDescent="0.55000000000000004">
      <c r="A1779" t="s">
        <v>94</v>
      </c>
      <c r="B1779" t="s">
        <v>428</v>
      </c>
      <c r="C1779" t="s">
        <v>292</v>
      </c>
      <c r="D1779" t="s">
        <v>174</v>
      </c>
      <c r="E1779" t="s">
        <v>175</v>
      </c>
      <c r="F1779" t="s">
        <v>99</v>
      </c>
      <c r="H1779" t="s">
        <v>99</v>
      </c>
      <c r="I1779">
        <v>2</v>
      </c>
      <c r="J1779" t="s">
        <v>115</v>
      </c>
      <c r="K1779" s="19">
        <v>0.29166666666666669</v>
      </c>
      <c r="L1779" s="19">
        <v>0.625</v>
      </c>
      <c r="M1779">
        <v>8</v>
      </c>
      <c r="N1779">
        <v>352.57</v>
      </c>
      <c r="O1779">
        <v>0</v>
      </c>
      <c r="P1779">
        <v>0</v>
      </c>
      <c r="Q1779" t="s">
        <v>99</v>
      </c>
      <c r="R1779">
        <v>30</v>
      </c>
      <c r="S1779" s="19">
        <v>0.5</v>
      </c>
      <c r="T1779">
        <v>0</v>
      </c>
      <c r="U1779" s="19"/>
      <c r="V1779" t="s">
        <v>99</v>
      </c>
      <c r="W1779">
        <v>7.5</v>
      </c>
      <c r="X1779" t="s">
        <v>102</v>
      </c>
      <c r="Y1779" t="b">
        <v>0</v>
      </c>
    </row>
    <row r="1780" spans="1:25" x14ac:dyDescent="0.55000000000000004">
      <c r="A1780" t="s">
        <v>94</v>
      </c>
      <c r="B1780" t="s">
        <v>428</v>
      </c>
      <c r="C1780" t="s">
        <v>292</v>
      </c>
      <c r="D1780" t="s">
        <v>174</v>
      </c>
      <c r="E1780" t="s">
        <v>175</v>
      </c>
      <c r="F1780" t="s">
        <v>99</v>
      </c>
      <c r="H1780" t="s">
        <v>99</v>
      </c>
      <c r="I1780">
        <v>2</v>
      </c>
      <c r="J1780" t="s">
        <v>116</v>
      </c>
      <c r="K1780" s="19">
        <v>0.25</v>
      </c>
      <c r="L1780" s="19">
        <v>0.58333333333333337</v>
      </c>
      <c r="M1780">
        <v>8</v>
      </c>
      <c r="N1780">
        <v>411.34</v>
      </c>
      <c r="O1780">
        <v>0</v>
      </c>
      <c r="P1780">
        <v>0</v>
      </c>
      <c r="Q1780" t="s">
        <v>99</v>
      </c>
      <c r="R1780">
        <v>30</v>
      </c>
      <c r="S1780" s="19">
        <v>0.45833333333333331</v>
      </c>
      <c r="T1780">
        <v>0</v>
      </c>
      <c r="U1780" s="19"/>
      <c r="V1780" t="s">
        <v>99</v>
      </c>
      <c r="W1780">
        <v>7.5</v>
      </c>
      <c r="X1780" t="s">
        <v>102</v>
      </c>
      <c r="Y1780" t="b">
        <v>0</v>
      </c>
    </row>
    <row r="1781" spans="1:25" x14ac:dyDescent="0.55000000000000004">
      <c r="A1781" t="s">
        <v>94</v>
      </c>
      <c r="B1781" t="s">
        <v>428</v>
      </c>
      <c r="C1781" t="s">
        <v>292</v>
      </c>
      <c r="D1781" t="s">
        <v>174</v>
      </c>
      <c r="E1781" t="s">
        <v>175</v>
      </c>
      <c r="F1781" t="s">
        <v>99</v>
      </c>
      <c r="H1781" t="s">
        <v>99</v>
      </c>
      <c r="I1781">
        <v>2</v>
      </c>
      <c r="J1781" t="s">
        <v>103</v>
      </c>
      <c r="K1781" s="19">
        <v>0.25</v>
      </c>
      <c r="L1781" s="19">
        <v>0.58333333333333337</v>
      </c>
      <c r="M1781">
        <v>8</v>
      </c>
      <c r="N1781">
        <v>244.57</v>
      </c>
      <c r="O1781">
        <v>0</v>
      </c>
      <c r="P1781">
        <v>0</v>
      </c>
      <c r="Q1781" t="s">
        <v>99</v>
      </c>
      <c r="R1781">
        <v>30</v>
      </c>
      <c r="S1781" s="19">
        <v>0.45833333333333331</v>
      </c>
      <c r="T1781">
        <v>0</v>
      </c>
      <c r="U1781" s="19"/>
      <c r="V1781" t="s">
        <v>99</v>
      </c>
      <c r="W1781">
        <v>7.5</v>
      </c>
      <c r="X1781" t="s">
        <v>102</v>
      </c>
      <c r="Y1781" t="b">
        <v>0</v>
      </c>
    </row>
    <row r="1782" spans="1:25" x14ac:dyDescent="0.55000000000000004">
      <c r="A1782" t="s">
        <v>94</v>
      </c>
      <c r="B1782" t="s">
        <v>428</v>
      </c>
      <c r="C1782" t="s">
        <v>292</v>
      </c>
      <c r="D1782" t="s">
        <v>174</v>
      </c>
      <c r="E1782" t="s">
        <v>175</v>
      </c>
      <c r="F1782" t="s">
        <v>99</v>
      </c>
      <c r="H1782" t="s">
        <v>99</v>
      </c>
      <c r="I1782">
        <v>2</v>
      </c>
      <c r="J1782" t="s">
        <v>103</v>
      </c>
      <c r="K1782" s="19">
        <v>0.27083333333333331</v>
      </c>
      <c r="L1782" s="19">
        <v>0.625</v>
      </c>
      <c r="M1782">
        <v>8.5</v>
      </c>
      <c r="N1782">
        <v>266.8</v>
      </c>
      <c r="O1782">
        <v>0</v>
      </c>
      <c r="P1782">
        <v>0</v>
      </c>
      <c r="Q1782" t="s">
        <v>99</v>
      </c>
      <c r="R1782">
        <v>30</v>
      </c>
      <c r="S1782" s="19">
        <v>0.47916666666666669</v>
      </c>
      <c r="T1782">
        <v>0</v>
      </c>
      <c r="U1782" s="19"/>
      <c r="V1782" t="s">
        <v>99</v>
      </c>
      <c r="W1782">
        <v>8</v>
      </c>
      <c r="X1782" t="s">
        <v>102</v>
      </c>
      <c r="Y1782" t="b">
        <v>0</v>
      </c>
    </row>
    <row r="1783" spans="1:25" x14ac:dyDescent="0.55000000000000004">
      <c r="A1783" t="s">
        <v>94</v>
      </c>
      <c r="B1783" t="s">
        <v>428</v>
      </c>
      <c r="C1783" t="s">
        <v>292</v>
      </c>
      <c r="D1783" t="s">
        <v>174</v>
      </c>
      <c r="E1783" t="s">
        <v>175</v>
      </c>
      <c r="F1783" t="s">
        <v>99</v>
      </c>
      <c r="H1783" t="s">
        <v>99</v>
      </c>
      <c r="I1783">
        <v>2</v>
      </c>
      <c r="J1783" t="s">
        <v>103</v>
      </c>
      <c r="K1783" s="19">
        <v>0.29166666666666669</v>
      </c>
      <c r="L1783" s="19">
        <v>0.60416666666666663</v>
      </c>
      <c r="M1783">
        <v>7.5</v>
      </c>
      <c r="N1783">
        <v>219.38</v>
      </c>
      <c r="O1783">
        <v>0</v>
      </c>
      <c r="P1783">
        <v>0</v>
      </c>
      <c r="Q1783" t="s">
        <v>99</v>
      </c>
      <c r="R1783">
        <v>30</v>
      </c>
      <c r="S1783" s="19">
        <v>0.45833333333333331</v>
      </c>
      <c r="T1783">
        <v>0</v>
      </c>
      <c r="U1783" s="19"/>
      <c r="V1783" t="s">
        <v>99</v>
      </c>
      <c r="W1783">
        <v>7</v>
      </c>
      <c r="X1783" t="s">
        <v>102</v>
      </c>
      <c r="Y1783" t="b">
        <v>0</v>
      </c>
    </row>
    <row r="1784" spans="1:25" x14ac:dyDescent="0.55000000000000004">
      <c r="A1784" t="s">
        <v>94</v>
      </c>
      <c r="B1784" t="s">
        <v>428</v>
      </c>
      <c r="C1784" t="s">
        <v>292</v>
      </c>
      <c r="D1784" t="s">
        <v>174</v>
      </c>
      <c r="E1784" t="s">
        <v>175</v>
      </c>
      <c r="F1784" t="s">
        <v>99</v>
      </c>
      <c r="H1784" t="s">
        <v>99</v>
      </c>
      <c r="I1784">
        <v>2</v>
      </c>
      <c r="J1784" t="s">
        <v>104</v>
      </c>
      <c r="K1784" s="19">
        <v>0.29166666666666669</v>
      </c>
      <c r="L1784" s="19">
        <v>0.60416666666666663</v>
      </c>
      <c r="M1784">
        <v>7.5</v>
      </c>
      <c r="N1784">
        <v>219.38</v>
      </c>
      <c r="O1784">
        <v>0</v>
      </c>
      <c r="P1784">
        <v>0</v>
      </c>
      <c r="Q1784" t="s">
        <v>99</v>
      </c>
      <c r="R1784">
        <v>30</v>
      </c>
      <c r="S1784" s="19">
        <v>0.45833333333333331</v>
      </c>
      <c r="T1784">
        <v>0</v>
      </c>
      <c r="U1784" s="19"/>
      <c r="V1784" t="s">
        <v>99</v>
      </c>
      <c r="W1784">
        <v>7</v>
      </c>
      <c r="X1784" t="s">
        <v>102</v>
      </c>
      <c r="Y1784" t="b">
        <v>0</v>
      </c>
    </row>
    <row r="1785" spans="1:25" x14ac:dyDescent="0.55000000000000004">
      <c r="A1785" t="s">
        <v>94</v>
      </c>
      <c r="B1785" t="s">
        <v>428</v>
      </c>
      <c r="C1785" t="s">
        <v>292</v>
      </c>
      <c r="D1785" t="s">
        <v>174</v>
      </c>
      <c r="E1785" t="s">
        <v>175</v>
      </c>
      <c r="F1785" t="s">
        <v>99</v>
      </c>
      <c r="H1785" t="s">
        <v>99</v>
      </c>
      <c r="I1785">
        <v>2</v>
      </c>
      <c r="J1785" t="s">
        <v>104</v>
      </c>
      <c r="K1785" s="19">
        <v>0.29166666666666669</v>
      </c>
      <c r="L1785" s="19">
        <v>0.625</v>
      </c>
      <c r="M1785">
        <v>8</v>
      </c>
      <c r="N1785">
        <v>235.05</v>
      </c>
      <c r="O1785">
        <v>0</v>
      </c>
      <c r="P1785">
        <v>0</v>
      </c>
      <c r="Q1785" t="s">
        <v>99</v>
      </c>
      <c r="R1785">
        <v>30</v>
      </c>
      <c r="S1785" s="19">
        <v>0.5</v>
      </c>
      <c r="T1785">
        <v>0</v>
      </c>
      <c r="U1785" s="19"/>
      <c r="V1785" t="s">
        <v>99</v>
      </c>
      <c r="W1785">
        <v>7.5</v>
      </c>
      <c r="X1785" t="s">
        <v>102</v>
      </c>
      <c r="Y1785" t="b">
        <v>0</v>
      </c>
    </row>
    <row r="1786" spans="1:25" x14ac:dyDescent="0.55000000000000004">
      <c r="A1786" t="s">
        <v>94</v>
      </c>
      <c r="B1786" t="s">
        <v>428</v>
      </c>
      <c r="C1786" t="s">
        <v>292</v>
      </c>
      <c r="D1786" t="s">
        <v>174</v>
      </c>
      <c r="E1786" t="s">
        <v>175</v>
      </c>
      <c r="F1786" t="s">
        <v>99</v>
      </c>
      <c r="H1786" t="s">
        <v>99</v>
      </c>
      <c r="I1786">
        <v>2</v>
      </c>
      <c r="J1786" t="s">
        <v>105</v>
      </c>
      <c r="K1786" s="19">
        <v>0.25</v>
      </c>
      <c r="L1786" s="19">
        <v>0.58333333333333337</v>
      </c>
      <c r="M1786">
        <v>8</v>
      </c>
      <c r="N1786">
        <v>235.05</v>
      </c>
      <c r="O1786">
        <v>0</v>
      </c>
      <c r="P1786">
        <v>0</v>
      </c>
      <c r="Q1786" t="s">
        <v>99</v>
      </c>
      <c r="R1786">
        <v>30</v>
      </c>
      <c r="S1786" s="19">
        <v>0.45833333333333331</v>
      </c>
      <c r="T1786">
        <v>0</v>
      </c>
      <c r="U1786" s="19"/>
      <c r="V1786" t="s">
        <v>99</v>
      </c>
      <c r="W1786">
        <v>7.5</v>
      </c>
      <c r="X1786" t="s">
        <v>102</v>
      </c>
      <c r="Y1786" t="b">
        <v>0</v>
      </c>
    </row>
    <row r="1787" spans="1:25" x14ac:dyDescent="0.55000000000000004">
      <c r="A1787" t="s">
        <v>94</v>
      </c>
      <c r="B1787" t="s">
        <v>428</v>
      </c>
      <c r="C1787" t="s">
        <v>292</v>
      </c>
      <c r="D1787" t="s">
        <v>174</v>
      </c>
      <c r="E1787" t="s">
        <v>175</v>
      </c>
      <c r="F1787" t="s">
        <v>99</v>
      </c>
      <c r="H1787" t="s">
        <v>99</v>
      </c>
      <c r="I1787">
        <v>2</v>
      </c>
      <c r="J1787" t="s">
        <v>105</v>
      </c>
      <c r="K1787" s="19">
        <v>0.29166666666666669</v>
      </c>
      <c r="L1787" s="19">
        <v>0.625</v>
      </c>
      <c r="M1787">
        <v>8</v>
      </c>
      <c r="N1787">
        <v>235.05</v>
      </c>
      <c r="O1787">
        <v>0</v>
      </c>
      <c r="P1787">
        <v>0</v>
      </c>
      <c r="Q1787" t="s">
        <v>99</v>
      </c>
      <c r="R1787">
        <v>30</v>
      </c>
      <c r="S1787" s="19">
        <v>0.5</v>
      </c>
      <c r="T1787">
        <v>0</v>
      </c>
      <c r="U1787" s="19"/>
      <c r="V1787" t="s">
        <v>99</v>
      </c>
      <c r="W1787">
        <v>7.5</v>
      </c>
      <c r="X1787" t="s">
        <v>102</v>
      </c>
      <c r="Y1787" t="b">
        <v>0</v>
      </c>
    </row>
    <row r="1788" spans="1:25" x14ac:dyDescent="0.55000000000000004">
      <c r="A1788" t="s">
        <v>94</v>
      </c>
      <c r="B1788" t="s">
        <v>428</v>
      </c>
      <c r="C1788" t="s">
        <v>292</v>
      </c>
      <c r="D1788" t="s">
        <v>174</v>
      </c>
      <c r="E1788" t="s">
        <v>175</v>
      </c>
      <c r="F1788" t="s">
        <v>99</v>
      </c>
      <c r="G1788">
        <v>18063</v>
      </c>
      <c r="H1788" t="s">
        <v>429</v>
      </c>
      <c r="I1788">
        <v>1</v>
      </c>
      <c r="J1788" t="s">
        <v>107</v>
      </c>
      <c r="K1788" s="19">
        <v>0.29166666666666669</v>
      </c>
      <c r="L1788" s="19">
        <v>0.625</v>
      </c>
      <c r="M1788">
        <v>8</v>
      </c>
      <c r="N1788">
        <v>263.32</v>
      </c>
      <c r="O1788">
        <v>64</v>
      </c>
      <c r="P1788">
        <v>76</v>
      </c>
      <c r="Q1788" t="s">
        <v>99</v>
      </c>
      <c r="R1788">
        <v>30</v>
      </c>
      <c r="S1788" s="19">
        <v>0.5</v>
      </c>
      <c r="T1788">
        <v>0</v>
      </c>
      <c r="U1788" s="19"/>
      <c r="V1788" t="s">
        <v>99</v>
      </c>
      <c r="W1788">
        <v>7.5</v>
      </c>
      <c r="X1788" t="s">
        <v>102</v>
      </c>
      <c r="Y1788" t="b">
        <v>0</v>
      </c>
    </row>
    <row r="1789" spans="1:25" x14ac:dyDescent="0.55000000000000004">
      <c r="A1789" t="s">
        <v>94</v>
      </c>
      <c r="B1789" t="s">
        <v>428</v>
      </c>
      <c r="C1789" t="s">
        <v>292</v>
      </c>
      <c r="D1789" t="s">
        <v>174</v>
      </c>
      <c r="E1789" t="s">
        <v>175</v>
      </c>
      <c r="F1789" t="s">
        <v>99</v>
      </c>
      <c r="G1789">
        <v>18063</v>
      </c>
      <c r="H1789" t="s">
        <v>429</v>
      </c>
      <c r="I1789">
        <v>1</v>
      </c>
      <c r="J1789" t="s">
        <v>115</v>
      </c>
      <c r="K1789" s="19">
        <v>0.29166666666666669</v>
      </c>
      <c r="L1789" s="19">
        <v>0.625</v>
      </c>
      <c r="M1789">
        <v>8</v>
      </c>
      <c r="N1789">
        <v>394.99</v>
      </c>
      <c r="O1789">
        <v>64</v>
      </c>
      <c r="P1789">
        <v>76</v>
      </c>
      <c r="Q1789" t="s">
        <v>99</v>
      </c>
      <c r="R1789">
        <v>30</v>
      </c>
      <c r="S1789" s="19">
        <v>0.5</v>
      </c>
      <c r="T1789">
        <v>0</v>
      </c>
      <c r="U1789" s="19"/>
      <c r="V1789" t="s">
        <v>99</v>
      </c>
      <c r="W1789">
        <v>7.5</v>
      </c>
      <c r="X1789" t="s">
        <v>102</v>
      </c>
      <c r="Y1789" t="b">
        <v>0</v>
      </c>
    </row>
    <row r="1790" spans="1:25" x14ac:dyDescent="0.55000000000000004">
      <c r="A1790" t="s">
        <v>94</v>
      </c>
      <c r="B1790" t="s">
        <v>428</v>
      </c>
      <c r="C1790" t="s">
        <v>292</v>
      </c>
      <c r="D1790" t="s">
        <v>174</v>
      </c>
      <c r="E1790" t="s">
        <v>175</v>
      </c>
      <c r="F1790" t="s">
        <v>99</v>
      </c>
      <c r="G1790">
        <v>18063</v>
      </c>
      <c r="H1790" t="s">
        <v>429</v>
      </c>
      <c r="I1790">
        <v>1</v>
      </c>
      <c r="J1790" t="s">
        <v>116</v>
      </c>
      <c r="K1790" s="19">
        <v>0.29166666666666669</v>
      </c>
      <c r="L1790" s="19">
        <v>0.625</v>
      </c>
      <c r="M1790">
        <v>8</v>
      </c>
      <c r="N1790">
        <v>460.82</v>
      </c>
      <c r="O1790">
        <v>64</v>
      </c>
      <c r="P1790">
        <v>76</v>
      </c>
      <c r="Q1790" t="s">
        <v>99</v>
      </c>
      <c r="R1790">
        <v>30</v>
      </c>
      <c r="S1790" s="19">
        <v>0.5</v>
      </c>
      <c r="T1790">
        <v>0</v>
      </c>
      <c r="U1790" s="19"/>
      <c r="V1790" t="s">
        <v>99</v>
      </c>
      <c r="W1790">
        <v>7.5</v>
      </c>
      <c r="X1790" t="s">
        <v>102</v>
      </c>
      <c r="Y1790" t="b">
        <v>0</v>
      </c>
    </row>
    <row r="1791" spans="1:25" x14ac:dyDescent="0.55000000000000004">
      <c r="A1791" t="s">
        <v>94</v>
      </c>
      <c r="B1791" t="s">
        <v>428</v>
      </c>
      <c r="C1791" t="s">
        <v>292</v>
      </c>
      <c r="D1791" t="s">
        <v>174</v>
      </c>
      <c r="E1791" t="s">
        <v>175</v>
      </c>
      <c r="F1791" t="s">
        <v>99</v>
      </c>
      <c r="G1791">
        <v>18063</v>
      </c>
      <c r="H1791" t="s">
        <v>429</v>
      </c>
      <c r="I1791">
        <v>1</v>
      </c>
      <c r="J1791" t="s">
        <v>103</v>
      </c>
      <c r="K1791" s="19">
        <v>0.29166666666666669</v>
      </c>
      <c r="L1791" s="19">
        <v>0.60416666666666663</v>
      </c>
      <c r="M1791">
        <v>7.5</v>
      </c>
      <c r="N1791">
        <v>245.77</v>
      </c>
      <c r="O1791">
        <v>64</v>
      </c>
      <c r="P1791">
        <v>76</v>
      </c>
      <c r="Q1791" t="s">
        <v>99</v>
      </c>
      <c r="R1791">
        <v>30</v>
      </c>
      <c r="S1791" s="19">
        <v>0.45833333333333331</v>
      </c>
      <c r="T1791">
        <v>0</v>
      </c>
      <c r="U1791" s="19"/>
      <c r="V1791" t="s">
        <v>99</v>
      </c>
      <c r="W1791">
        <v>7</v>
      </c>
      <c r="X1791" t="s">
        <v>102</v>
      </c>
      <c r="Y1791" t="b">
        <v>0</v>
      </c>
    </row>
    <row r="1792" spans="1:25" x14ac:dyDescent="0.55000000000000004">
      <c r="A1792" t="s">
        <v>94</v>
      </c>
      <c r="B1792" t="s">
        <v>428</v>
      </c>
      <c r="C1792" t="s">
        <v>292</v>
      </c>
      <c r="D1792" t="s">
        <v>174</v>
      </c>
      <c r="E1792" t="s">
        <v>175</v>
      </c>
      <c r="F1792" t="s">
        <v>99</v>
      </c>
      <c r="G1792">
        <v>18063</v>
      </c>
      <c r="H1792" t="s">
        <v>429</v>
      </c>
      <c r="I1792">
        <v>1</v>
      </c>
      <c r="J1792" t="s">
        <v>105</v>
      </c>
      <c r="K1792" s="19">
        <v>0.25</v>
      </c>
      <c r="L1792" s="19">
        <v>0.58333333333333337</v>
      </c>
      <c r="M1792">
        <v>8</v>
      </c>
      <c r="N1792">
        <v>263.32</v>
      </c>
      <c r="O1792">
        <v>64</v>
      </c>
      <c r="P1792">
        <v>76</v>
      </c>
      <c r="Q1792" t="s">
        <v>99</v>
      </c>
      <c r="R1792">
        <v>30</v>
      </c>
      <c r="S1792" s="19">
        <v>0.45833333333333331</v>
      </c>
      <c r="T1792">
        <v>0</v>
      </c>
      <c r="U1792" s="19"/>
      <c r="V1792" t="s">
        <v>99</v>
      </c>
      <c r="W1792">
        <v>7.5</v>
      </c>
      <c r="X1792" t="s">
        <v>102</v>
      </c>
      <c r="Y1792" t="b">
        <v>0</v>
      </c>
    </row>
    <row r="1793" spans="1:25" x14ac:dyDescent="0.55000000000000004">
      <c r="A1793" t="s">
        <v>94</v>
      </c>
      <c r="B1793" t="s">
        <v>428</v>
      </c>
      <c r="C1793" t="s">
        <v>292</v>
      </c>
      <c r="D1793" t="s">
        <v>174</v>
      </c>
      <c r="E1793" t="s">
        <v>175</v>
      </c>
      <c r="F1793" t="s">
        <v>99</v>
      </c>
      <c r="G1793">
        <v>21749</v>
      </c>
      <c r="H1793" t="s">
        <v>430</v>
      </c>
      <c r="I1793">
        <v>1</v>
      </c>
      <c r="J1793" t="s">
        <v>107</v>
      </c>
      <c r="K1793" s="19">
        <v>0.27083333333333331</v>
      </c>
      <c r="L1793" s="19">
        <v>0.625</v>
      </c>
      <c r="M1793">
        <v>8.5</v>
      </c>
      <c r="N1793">
        <v>284.16000000000003</v>
      </c>
      <c r="O1793">
        <v>76</v>
      </c>
      <c r="P1793">
        <v>76</v>
      </c>
      <c r="Q1793" t="s">
        <v>99</v>
      </c>
      <c r="R1793">
        <v>30</v>
      </c>
      <c r="S1793" s="19">
        <v>0.47916666666666669</v>
      </c>
      <c r="T1793">
        <v>0</v>
      </c>
      <c r="U1793" s="19"/>
      <c r="V1793" t="s">
        <v>99</v>
      </c>
      <c r="W1793">
        <v>8</v>
      </c>
      <c r="X1793" t="s">
        <v>102</v>
      </c>
      <c r="Y1793" t="b">
        <v>0</v>
      </c>
    </row>
    <row r="1794" spans="1:25" x14ac:dyDescent="0.55000000000000004">
      <c r="A1794" t="s">
        <v>94</v>
      </c>
      <c r="B1794" t="s">
        <v>428</v>
      </c>
      <c r="C1794" t="s">
        <v>292</v>
      </c>
      <c r="D1794" t="s">
        <v>174</v>
      </c>
      <c r="E1794" t="s">
        <v>175</v>
      </c>
      <c r="F1794" t="s">
        <v>99</v>
      </c>
      <c r="G1794">
        <v>21749</v>
      </c>
      <c r="H1794" t="s">
        <v>430</v>
      </c>
      <c r="I1794">
        <v>1</v>
      </c>
      <c r="J1794" t="s">
        <v>101</v>
      </c>
      <c r="K1794" s="19">
        <v>0.27083333333333331</v>
      </c>
      <c r="L1794" s="19">
        <v>0.625</v>
      </c>
      <c r="M1794">
        <v>8.5</v>
      </c>
      <c r="N1794">
        <v>284.16000000000003</v>
      </c>
      <c r="O1794">
        <v>76</v>
      </c>
      <c r="P1794">
        <v>76</v>
      </c>
      <c r="Q1794" t="s">
        <v>99</v>
      </c>
      <c r="R1794">
        <v>30</v>
      </c>
      <c r="S1794" s="19">
        <v>0.47916666666666669</v>
      </c>
      <c r="T1794">
        <v>0</v>
      </c>
      <c r="U1794" s="19"/>
      <c r="V1794" t="s">
        <v>99</v>
      </c>
      <c r="W1794">
        <v>8</v>
      </c>
      <c r="X1794" t="s">
        <v>102</v>
      </c>
      <c r="Y1794" t="b">
        <v>0</v>
      </c>
    </row>
    <row r="1795" spans="1:25" x14ac:dyDescent="0.55000000000000004">
      <c r="A1795" t="s">
        <v>94</v>
      </c>
      <c r="B1795" t="s">
        <v>428</v>
      </c>
      <c r="C1795" t="s">
        <v>292</v>
      </c>
      <c r="D1795" t="s">
        <v>174</v>
      </c>
      <c r="E1795" t="s">
        <v>175</v>
      </c>
      <c r="F1795" t="s">
        <v>99</v>
      </c>
      <c r="G1795">
        <v>21749</v>
      </c>
      <c r="H1795" t="s">
        <v>430</v>
      </c>
      <c r="I1795">
        <v>1</v>
      </c>
      <c r="J1795" t="s">
        <v>103</v>
      </c>
      <c r="K1795" s="19">
        <v>0.29166666666666669</v>
      </c>
      <c r="L1795" s="19">
        <v>0.625</v>
      </c>
      <c r="M1795">
        <v>8</v>
      </c>
      <c r="N1795">
        <v>266.39999999999998</v>
      </c>
      <c r="O1795">
        <v>76</v>
      </c>
      <c r="P1795">
        <v>76</v>
      </c>
      <c r="Q1795" t="s">
        <v>99</v>
      </c>
      <c r="R1795">
        <v>30</v>
      </c>
      <c r="S1795" s="19">
        <v>0.5</v>
      </c>
      <c r="T1795">
        <v>0</v>
      </c>
      <c r="U1795" s="19"/>
      <c r="V1795" t="s">
        <v>99</v>
      </c>
      <c r="W1795">
        <v>7.5</v>
      </c>
      <c r="X1795" t="s">
        <v>102</v>
      </c>
      <c r="Y1795" t="b">
        <v>0</v>
      </c>
    </row>
    <row r="1796" spans="1:25" x14ac:dyDescent="0.55000000000000004">
      <c r="A1796" t="s">
        <v>94</v>
      </c>
      <c r="B1796" t="s">
        <v>428</v>
      </c>
      <c r="C1796" t="s">
        <v>292</v>
      </c>
      <c r="D1796" t="s">
        <v>174</v>
      </c>
      <c r="E1796" t="s">
        <v>175</v>
      </c>
      <c r="F1796" t="s">
        <v>99</v>
      </c>
      <c r="G1796">
        <v>21749</v>
      </c>
      <c r="H1796" t="s">
        <v>430</v>
      </c>
      <c r="I1796">
        <v>1</v>
      </c>
      <c r="J1796" t="s">
        <v>104</v>
      </c>
      <c r="K1796" s="19">
        <v>0.29166666666666669</v>
      </c>
      <c r="L1796" s="19">
        <v>0.60416666666666663</v>
      </c>
      <c r="M1796">
        <v>7.5</v>
      </c>
      <c r="N1796">
        <v>248.64</v>
      </c>
      <c r="O1796">
        <v>76</v>
      </c>
      <c r="P1796">
        <v>76</v>
      </c>
      <c r="Q1796" t="s">
        <v>99</v>
      </c>
      <c r="R1796">
        <v>30</v>
      </c>
      <c r="S1796" s="19">
        <v>0.45833333333333331</v>
      </c>
      <c r="T1796">
        <v>0</v>
      </c>
      <c r="U1796" s="19"/>
      <c r="V1796" t="s">
        <v>99</v>
      </c>
      <c r="W1796">
        <v>7</v>
      </c>
      <c r="X1796" t="s">
        <v>102</v>
      </c>
      <c r="Y1796" t="b">
        <v>0</v>
      </c>
    </row>
    <row r="1797" spans="1:25" x14ac:dyDescent="0.55000000000000004">
      <c r="A1797" t="s">
        <v>94</v>
      </c>
      <c r="B1797" t="s">
        <v>428</v>
      </c>
      <c r="C1797" t="s">
        <v>292</v>
      </c>
      <c r="D1797" t="s">
        <v>174</v>
      </c>
      <c r="E1797" t="s">
        <v>175</v>
      </c>
      <c r="F1797" t="s">
        <v>99</v>
      </c>
      <c r="G1797">
        <v>21749</v>
      </c>
      <c r="H1797" t="s">
        <v>430</v>
      </c>
      <c r="I1797">
        <v>1</v>
      </c>
      <c r="J1797" t="s">
        <v>105</v>
      </c>
      <c r="K1797" s="19">
        <v>0.27083333333333331</v>
      </c>
      <c r="L1797" s="19">
        <v>0.625</v>
      </c>
      <c r="M1797">
        <v>8.5</v>
      </c>
      <c r="N1797">
        <v>284.16000000000003</v>
      </c>
      <c r="O1797">
        <v>76</v>
      </c>
      <c r="P1797">
        <v>76</v>
      </c>
      <c r="Q1797" t="s">
        <v>99</v>
      </c>
      <c r="R1797">
        <v>30</v>
      </c>
      <c r="S1797" s="19">
        <v>0.47916666666666669</v>
      </c>
      <c r="T1797">
        <v>0</v>
      </c>
      <c r="U1797" s="19"/>
      <c r="V1797" t="s">
        <v>99</v>
      </c>
      <c r="W1797">
        <v>8</v>
      </c>
      <c r="X1797" t="s">
        <v>102</v>
      </c>
      <c r="Y1797" t="b">
        <v>0</v>
      </c>
    </row>
    <row r="1798" spans="1:25" x14ac:dyDescent="0.55000000000000004">
      <c r="A1798" t="s">
        <v>94</v>
      </c>
      <c r="B1798" t="s">
        <v>428</v>
      </c>
      <c r="C1798" t="s">
        <v>292</v>
      </c>
      <c r="D1798" t="s">
        <v>174</v>
      </c>
      <c r="E1798" t="s">
        <v>175</v>
      </c>
      <c r="F1798" t="s">
        <v>99</v>
      </c>
      <c r="G1798">
        <v>21749</v>
      </c>
      <c r="H1798" t="s">
        <v>430</v>
      </c>
      <c r="I1798">
        <v>2</v>
      </c>
      <c r="J1798" t="s">
        <v>115</v>
      </c>
      <c r="K1798" s="19">
        <v>0.25</v>
      </c>
      <c r="L1798" s="19">
        <v>0.58333333333333337</v>
      </c>
      <c r="M1798">
        <v>8</v>
      </c>
      <c r="N1798">
        <v>399.6</v>
      </c>
      <c r="O1798">
        <v>76</v>
      </c>
      <c r="P1798">
        <v>76</v>
      </c>
      <c r="Q1798" t="s">
        <v>99</v>
      </c>
      <c r="R1798">
        <v>30</v>
      </c>
      <c r="S1798" s="19">
        <v>0.45833333333333331</v>
      </c>
      <c r="T1798">
        <v>0</v>
      </c>
      <c r="U1798" s="19"/>
      <c r="V1798" t="s">
        <v>99</v>
      </c>
      <c r="W1798">
        <v>7.5</v>
      </c>
      <c r="X1798" t="s">
        <v>102</v>
      </c>
      <c r="Y1798" t="b">
        <v>0</v>
      </c>
    </row>
    <row r="1799" spans="1:25" x14ac:dyDescent="0.55000000000000004">
      <c r="A1799" t="s">
        <v>94</v>
      </c>
      <c r="B1799" t="s">
        <v>428</v>
      </c>
      <c r="C1799" t="s">
        <v>292</v>
      </c>
      <c r="D1799" t="s">
        <v>174</v>
      </c>
      <c r="E1799" t="s">
        <v>175</v>
      </c>
      <c r="F1799" t="s">
        <v>99</v>
      </c>
      <c r="G1799">
        <v>21749</v>
      </c>
      <c r="H1799" t="s">
        <v>430</v>
      </c>
      <c r="I1799">
        <v>2</v>
      </c>
      <c r="J1799" t="s">
        <v>116</v>
      </c>
      <c r="K1799" s="19">
        <v>0.29166666666666669</v>
      </c>
      <c r="L1799" s="19">
        <v>0.625</v>
      </c>
      <c r="M1799">
        <v>8</v>
      </c>
      <c r="N1799">
        <v>466.2</v>
      </c>
      <c r="O1799">
        <v>76</v>
      </c>
      <c r="P1799">
        <v>76</v>
      </c>
      <c r="Q1799" t="s">
        <v>99</v>
      </c>
      <c r="R1799">
        <v>30</v>
      </c>
      <c r="S1799" s="19">
        <v>0.5</v>
      </c>
      <c r="T1799">
        <v>0</v>
      </c>
      <c r="U1799" s="19"/>
      <c r="V1799" t="s">
        <v>99</v>
      </c>
      <c r="W1799">
        <v>7.5</v>
      </c>
      <c r="X1799" t="s">
        <v>102</v>
      </c>
      <c r="Y1799" t="b">
        <v>0</v>
      </c>
    </row>
    <row r="1800" spans="1:25" x14ac:dyDescent="0.55000000000000004">
      <c r="A1800" t="s">
        <v>94</v>
      </c>
      <c r="B1800" t="s">
        <v>428</v>
      </c>
      <c r="C1800" t="s">
        <v>292</v>
      </c>
      <c r="D1800" t="s">
        <v>174</v>
      </c>
      <c r="E1800" t="s">
        <v>175</v>
      </c>
      <c r="F1800" t="s">
        <v>99</v>
      </c>
      <c r="G1800">
        <v>21876</v>
      </c>
      <c r="H1800" t="s">
        <v>304</v>
      </c>
      <c r="I1800">
        <v>1</v>
      </c>
      <c r="J1800" t="s">
        <v>103</v>
      </c>
      <c r="K1800" s="19">
        <v>0.27083333333333331</v>
      </c>
      <c r="L1800" s="19">
        <v>0.625</v>
      </c>
      <c r="M1800">
        <v>8.5</v>
      </c>
      <c r="N1800">
        <v>280.88</v>
      </c>
      <c r="O1800">
        <v>64</v>
      </c>
      <c r="P1800">
        <v>76</v>
      </c>
      <c r="Q1800" t="s">
        <v>99</v>
      </c>
      <c r="R1800">
        <v>30</v>
      </c>
      <c r="S1800" s="19">
        <v>0.47916666666666669</v>
      </c>
      <c r="T1800">
        <v>0</v>
      </c>
      <c r="U1800" s="19"/>
      <c r="V1800" t="s">
        <v>99</v>
      </c>
      <c r="W1800">
        <v>8</v>
      </c>
      <c r="X1800" t="s">
        <v>102</v>
      </c>
      <c r="Y1800" t="b">
        <v>0</v>
      </c>
    </row>
    <row r="1801" spans="1:25" x14ac:dyDescent="0.55000000000000004">
      <c r="A1801" t="s">
        <v>94</v>
      </c>
      <c r="B1801" t="s">
        <v>428</v>
      </c>
      <c r="C1801" t="s">
        <v>292</v>
      </c>
      <c r="D1801" t="s">
        <v>174</v>
      </c>
      <c r="E1801" t="s">
        <v>175</v>
      </c>
      <c r="F1801" t="s">
        <v>99</v>
      </c>
      <c r="G1801">
        <v>21876</v>
      </c>
      <c r="H1801" t="s">
        <v>304</v>
      </c>
      <c r="I1801">
        <v>2</v>
      </c>
      <c r="J1801" t="s">
        <v>101</v>
      </c>
      <c r="K1801" s="19">
        <v>0.29166666666666669</v>
      </c>
      <c r="L1801" s="19">
        <v>0.625</v>
      </c>
      <c r="M1801">
        <v>8</v>
      </c>
      <c r="N1801">
        <v>263.32</v>
      </c>
      <c r="O1801">
        <v>64</v>
      </c>
      <c r="P1801">
        <v>76</v>
      </c>
      <c r="Q1801" t="s">
        <v>99</v>
      </c>
      <c r="R1801">
        <v>30</v>
      </c>
      <c r="S1801" s="19">
        <v>0.5</v>
      </c>
      <c r="T1801">
        <v>0</v>
      </c>
      <c r="U1801" s="19"/>
      <c r="V1801" t="s">
        <v>99</v>
      </c>
      <c r="W1801">
        <v>7.5</v>
      </c>
      <c r="X1801" t="s">
        <v>102</v>
      </c>
      <c r="Y1801" t="b">
        <v>0</v>
      </c>
    </row>
    <row r="1802" spans="1:25" x14ac:dyDescent="0.55000000000000004">
      <c r="A1802" t="s">
        <v>94</v>
      </c>
      <c r="B1802" t="s">
        <v>428</v>
      </c>
      <c r="C1802" t="s">
        <v>292</v>
      </c>
      <c r="D1802" t="s">
        <v>174</v>
      </c>
      <c r="E1802" t="s">
        <v>175</v>
      </c>
      <c r="F1802" t="s">
        <v>99</v>
      </c>
      <c r="G1802">
        <v>22883</v>
      </c>
      <c r="H1802" t="s">
        <v>431</v>
      </c>
      <c r="I1802">
        <v>1</v>
      </c>
      <c r="J1802" t="s">
        <v>107</v>
      </c>
      <c r="K1802" s="19">
        <v>0.27083333333333331</v>
      </c>
      <c r="L1802" s="19">
        <v>0.625</v>
      </c>
      <c r="M1802">
        <v>8.5</v>
      </c>
      <c r="N1802">
        <v>280.88</v>
      </c>
      <c r="O1802">
        <v>64</v>
      </c>
      <c r="P1802">
        <v>76</v>
      </c>
      <c r="Q1802" t="s">
        <v>99</v>
      </c>
      <c r="R1802">
        <v>30</v>
      </c>
      <c r="S1802" s="19">
        <v>0.47916666666666669</v>
      </c>
      <c r="T1802">
        <v>0</v>
      </c>
      <c r="U1802" s="19"/>
      <c r="V1802" t="s">
        <v>99</v>
      </c>
      <c r="W1802">
        <v>8</v>
      </c>
      <c r="X1802" t="s">
        <v>102</v>
      </c>
      <c r="Y1802" t="b">
        <v>0</v>
      </c>
    </row>
    <row r="1803" spans="1:25" x14ac:dyDescent="0.55000000000000004">
      <c r="A1803" t="s">
        <v>94</v>
      </c>
      <c r="B1803" t="s">
        <v>428</v>
      </c>
      <c r="C1803" t="s">
        <v>292</v>
      </c>
      <c r="D1803" t="s">
        <v>174</v>
      </c>
      <c r="E1803" t="s">
        <v>175</v>
      </c>
      <c r="F1803" t="s">
        <v>99</v>
      </c>
      <c r="G1803">
        <v>22883</v>
      </c>
      <c r="H1803" t="s">
        <v>431</v>
      </c>
      <c r="I1803">
        <v>1</v>
      </c>
      <c r="J1803" t="s">
        <v>103</v>
      </c>
      <c r="K1803" s="19">
        <v>0.27083333333333331</v>
      </c>
      <c r="L1803" s="19">
        <v>0.625</v>
      </c>
      <c r="M1803">
        <v>8.5</v>
      </c>
      <c r="N1803">
        <v>280.88</v>
      </c>
      <c r="O1803">
        <v>64</v>
      </c>
      <c r="P1803">
        <v>76</v>
      </c>
      <c r="Q1803" t="s">
        <v>99</v>
      </c>
      <c r="R1803">
        <v>30</v>
      </c>
      <c r="S1803" s="19">
        <v>0.47916666666666669</v>
      </c>
      <c r="T1803">
        <v>0</v>
      </c>
      <c r="U1803" s="19"/>
      <c r="V1803" t="s">
        <v>99</v>
      </c>
      <c r="W1803">
        <v>8</v>
      </c>
      <c r="X1803" t="s">
        <v>102</v>
      </c>
      <c r="Y1803" t="b">
        <v>0</v>
      </c>
    </row>
    <row r="1804" spans="1:25" x14ac:dyDescent="0.55000000000000004">
      <c r="A1804" t="s">
        <v>94</v>
      </c>
      <c r="B1804" t="s">
        <v>428</v>
      </c>
      <c r="C1804" t="s">
        <v>292</v>
      </c>
      <c r="D1804" t="s">
        <v>174</v>
      </c>
      <c r="E1804" t="s">
        <v>175</v>
      </c>
      <c r="F1804" t="s">
        <v>99</v>
      </c>
      <c r="G1804">
        <v>22883</v>
      </c>
      <c r="H1804" t="s">
        <v>431</v>
      </c>
      <c r="I1804">
        <v>2</v>
      </c>
      <c r="J1804" t="s">
        <v>107</v>
      </c>
      <c r="K1804" s="19">
        <v>0.27083333333333331</v>
      </c>
      <c r="L1804" s="19">
        <v>0.625</v>
      </c>
      <c r="M1804">
        <v>8.5</v>
      </c>
      <c r="N1804">
        <v>280.88</v>
      </c>
      <c r="O1804">
        <v>64</v>
      </c>
      <c r="P1804">
        <v>76</v>
      </c>
      <c r="Q1804" t="s">
        <v>99</v>
      </c>
      <c r="R1804">
        <v>30</v>
      </c>
      <c r="S1804" s="19">
        <v>0.47916666666666669</v>
      </c>
      <c r="T1804">
        <v>0</v>
      </c>
      <c r="U1804" s="19"/>
      <c r="V1804" t="s">
        <v>99</v>
      </c>
      <c r="W1804">
        <v>8</v>
      </c>
      <c r="X1804" t="s">
        <v>102</v>
      </c>
      <c r="Y1804" t="b">
        <v>0</v>
      </c>
    </row>
    <row r="1805" spans="1:25" x14ac:dyDescent="0.55000000000000004">
      <c r="A1805" t="s">
        <v>94</v>
      </c>
      <c r="B1805" t="s">
        <v>428</v>
      </c>
      <c r="C1805" t="s">
        <v>292</v>
      </c>
      <c r="D1805" t="s">
        <v>174</v>
      </c>
      <c r="E1805" t="s">
        <v>175</v>
      </c>
      <c r="F1805" t="s">
        <v>99</v>
      </c>
      <c r="G1805">
        <v>22883</v>
      </c>
      <c r="H1805" t="s">
        <v>431</v>
      </c>
      <c r="I1805">
        <v>2</v>
      </c>
      <c r="J1805" t="s">
        <v>101</v>
      </c>
      <c r="K1805" s="19">
        <v>0.27083333333333331</v>
      </c>
      <c r="L1805" s="19">
        <v>0.625</v>
      </c>
      <c r="M1805">
        <v>8.5</v>
      </c>
      <c r="N1805">
        <v>280.88</v>
      </c>
      <c r="O1805">
        <v>64</v>
      </c>
      <c r="P1805">
        <v>76</v>
      </c>
      <c r="Q1805" t="s">
        <v>99</v>
      </c>
      <c r="R1805">
        <v>30</v>
      </c>
      <c r="S1805" s="19">
        <v>0.47916666666666669</v>
      </c>
      <c r="T1805">
        <v>0</v>
      </c>
      <c r="U1805" s="19"/>
      <c r="V1805" t="s">
        <v>99</v>
      </c>
      <c r="W1805">
        <v>8</v>
      </c>
      <c r="X1805" t="s">
        <v>102</v>
      </c>
      <c r="Y1805" t="b">
        <v>0</v>
      </c>
    </row>
    <row r="1806" spans="1:25" x14ac:dyDescent="0.55000000000000004">
      <c r="A1806" t="s">
        <v>94</v>
      </c>
      <c r="B1806" t="s">
        <v>428</v>
      </c>
      <c r="C1806" t="s">
        <v>292</v>
      </c>
      <c r="D1806" t="s">
        <v>174</v>
      </c>
      <c r="E1806" t="s">
        <v>175</v>
      </c>
      <c r="F1806" t="s">
        <v>99</v>
      </c>
      <c r="G1806">
        <v>22883</v>
      </c>
      <c r="H1806" t="s">
        <v>431</v>
      </c>
      <c r="I1806">
        <v>2</v>
      </c>
      <c r="J1806" t="s">
        <v>115</v>
      </c>
      <c r="K1806" s="19">
        <v>0.27083333333333331</v>
      </c>
      <c r="L1806" s="19">
        <v>0.625</v>
      </c>
      <c r="M1806">
        <v>8.5</v>
      </c>
      <c r="N1806">
        <v>421.32</v>
      </c>
      <c r="O1806">
        <v>64</v>
      </c>
      <c r="P1806">
        <v>76</v>
      </c>
      <c r="Q1806" t="s">
        <v>99</v>
      </c>
      <c r="R1806">
        <v>30</v>
      </c>
      <c r="S1806" s="19">
        <v>0.47916666666666669</v>
      </c>
      <c r="T1806">
        <v>0</v>
      </c>
      <c r="U1806" s="19"/>
      <c r="V1806" t="s">
        <v>99</v>
      </c>
      <c r="W1806">
        <v>8</v>
      </c>
      <c r="X1806" t="s">
        <v>102</v>
      </c>
      <c r="Y1806" t="b">
        <v>0</v>
      </c>
    </row>
    <row r="1807" spans="1:25" x14ac:dyDescent="0.55000000000000004">
      <c r="A1807" t="s">
        <v>94</v>
      </c>
      <c r="B1807" t="s">
        <v>428</v>
      </c>
      <c r="C1807" t="s">
        <v>292</v>
      </c>
      <c r="D1807" t="s">
        <v>174</v>
      </c>
      <c r="E1807" t="s">
        <v>175</v>
      </c>
      <c r="F1807" t="s">
        <v>99</v>
      </c>
      <c r="G1807">
        <v>22883</v>
      </c>
      <c r="H1807" t="s">
        <v>431</v>
      </c>
      <c r="I1807">
        <v>2</v>
      </c>
      <c r="J1807" t="s">
        <v>116</v>
      </c>
      <c r="K1807" s="19">
        <v>0.27083333333333331</v>
      </c>
      <c r="L1807" s="19">
        <v>0.625</v>
      </c>
      <c r="M1807">
        <v>8.5</v>
      </c>
      <c r="N1807">
        <v>491.54</v>
      </c>
      <c r="O1807">
        <v>64</v>
      </c>
      <c r="P1807">
        <v>76</v>
      </c>
      <c r="Q1807" t="s">
        <v>99</v>
      </c>
      <c r="R1807">
        <v>30</v>
      </c>
      <c r="S1807" s="19">
        <v>0.47916666666666669</v>
      </c>
      <c r="T1807">
        <v>0</v>
      </c>
      <c r="U1807" s="19"/>
      <c r="V1807" t="s">
        <v>99</v>
      </c>
      <c r="W1807">
        <v>8</v>
      </c>
      <c r="X1807" t="s">
        <v>102</v>
      </c>
      <c r="Y1807" t="b">
        <v>0</v>
      </c>
    </row>
    <row r="1808" spans="1:25" x14ac:dyDescent="0.55000000000000004">
      <c r="A1808" t="s">
        <v>94</v>
      </c>
      <c r="B1808" t="s">
        <v>428</v>
      </c>
      <c r="C1808" t="s">
        <v>292</v>
      </c>
      <c r="D1808" t="s">
        <v>174</v>
      </c>
      <c r="E1808" t="s">
        <v>175</v>
      </c>
      <c r="F1808" t="s">
        <v>99</v>
      </c>
      <c r="G1808">
        <v>22883</v>
      </c>
      <c r="H1808" t="s">
        <v>431</v>
      </c>
      <c r="I1808">
        <v>2</v>
      </c>
      <c r="J1808" t="s">
        <v>104</v>
      </c>
      <c r="K1808" s="19">
        <v>0.27083333333333331</v>
      </c>
      <c r="L1808" s="19">
        <v>0.625</v>
      </c>
      <c r="M1808">
        <v>8.5</v>
      </c>
      <c r="N1808">
        <v>280.88</v>
      </c>
      <c r="O1808">
        <v>64</v>
      </c>
      <c r="P1808">
        <v>76</v>
      </c>
      <c r="Q1808" t="s">
        <v>99</v>
      </c>
      <c r="R1808">
        <v>30</v>
      </c>
      <c r="S1808" s="19">
        <v>0.47916666666666669</v>
      </c>
      <c r="T1808">
        <v>0</v>
      </c>
      <c r="U1808" s="19"/>
      <c r="V1808" t="s">
        <v>99</v>
      </c>
      <c r="W1808">
        <v>8</v>
      </c>
      <c r="X1808" t="s">
        <v>102</v>
      </c>
      <c r="Y1808" t="b">
        <v>0</v>
      </c>
    </row>
    <row r="1809" spans="1:25" x14ac:dyDescent="0.55000000000000004">
      <c r="A1809" t="s">
        <v>94</v>
      </c>
      <c r="B1809" t="s">
        <v>428</v>
      </c>
      <c r="C1809" t="s">
        <v>292</v>
      </c>
      <c r="D1809" t="s">
        <v>174</v>
      </c>
      <c r="E1809" t="s">
        <v>175</v>
      </c>
      <c r="F1809" t="s">
        <v>99</v>
      </c>
      <c r="G1809">
        <v>22883</v>
      </c>
      <c r="H1809" t="s">
        <v>431</v>
      </c>
      <c r="I1809">
        <v>2</v>
      </c>
      <c r="J1809" t="s">
        <v>105</v>
      </c>
      <c r="K1809" s="19">
        <v>0.27083333333333331</v>
      </c>
      <c r="L1809" s="19">
        <v>0.625</v>
      </c>
      <c r="M1809">
        <v>8.5</v>
      </c>
      <c r="N1809">
        <v>280.88</v>
      </c>
      <c r="O1809">
        <v>64</v>
      </c>
      <c r="P1809">
        <v>76</v>
      </c>
      <c r="Q1809" t="s">
        <v>99</v>
      </c>
      <c r="R1809">
        <v>30</v>
      </c>
      <c r="S1809" s="19">
        <v>0.47916666666666669</v>
      </c>
      <c r="T1809">
        <v>0</v>
      </c>
      <c r="U1809" s="19"/>
      <c r="V1809" t="s">
        <v>99</v>
      </c>
      <c r="W1809">
        <v>8</v>
      </c>
      <c r="X1809" t="s">
        <v>102</v>
      </c>
      <c r="Y1809" t="b">
        <v>0</v>
      </c>
    </row>
    <row r="1810" spans="1:25" x14ac:dyDescent="0.55000000000000004">
      <c r="A1810" t="s">
        <v>94</v>
      </c>
      <c r="B1810" t="s">
        <v>428</v>
      </c>
      <c r="C1810" t="s">
        <v>292</v>
      </c>
      <c r="D1810" t="s">
        <v>174</v>
      </c>
      <c r="E1810" t="s">
        <v>175</v>
      </c>
      <c r="F1810" t="s">
        <v>99</v>
      </c>
      <c r="G1810">
        <v>22976</v>
      </c>
      <c r="H1810" t="s">
        <v>432</v>
      </c>
      <c r="I1810">
        <v>1</v>
      </c>
      <c r="J1810" t="s">
        <v>101</v>
      </c>
      <c r="K1810" s="19">
        <v>0.27083333333333331</v>
      </c>
      <c r="L1810" s="19">
        <v>0.625</v>
      </c>
      <c r="M1810">
        <v>8.5</v>
      </c>
      <c r="N1810">
        <v>284.16000000000003</v>
      </c>
      <c r="O1810">
        <v>76</v>
      </c>
      <c r="P1810">
        <v>76</v>
      </c>
      <c r="Q1810" t="s">
        <v>99</v>
      </c>
      <c r="R1810">
        <v>30</v>
      </c>
      <c r="S1810" s="19">
        <v>0.47916666666666669</v>
      </c>
      <c r="T1810">
        <v>0</v>
      </c>
      <c r="U1810" s="19"/>
      <c r="V1810" t="s">
        <v>99</v>
      </c>
      <c r="W1810">
        <v>8</v>
      </c>
      <c r="X1810" t="s">
        <v>102</v>
      </c>
      <c r="Y1810" t="b">
        <v>0</v>
      </c>
    </row>
    <row r="1811" spans="1:25" x14ac:dyDescent="0.55000000000000004">
      <c r="A1811" t="s">
        <v>94</v>
      </c>
      <c r="B1811" t="s">
        <v>428</v>
      </c>
      <c r="C1811" t="s">
        <v>292</v>
      </c>
      <c r="D1811" t="s">
        <v>174</v>
      </c>
      <c r="E1811" t="s">
        <v>175</v>
      </c>
      <c r="F1811" t="s">
        <v>99</v>
      </c>
      <c r="G1811">
        <v>22976</v>
      </c>
      <c r="H1811" t="s">
        <v>432</v>
      </c>
      <c r="I1811">
        <v>1</v>
      </c>
      <c r="J1811" t="s">
        <v>115</v>
      </c>
      <c r="K1811" s="19">
        <v>0.27083333333333331</v>
      </c>
      <c r="L1811" s="19">
        <v>0.625</v>
      </c>
      <c r="M1811">
        <v>8.5</v>
      </c>
      <c r="N1811">
        <v>426.24</v>
      </c>
      <c r="O1811">
        <v>76</v>
      </c>
      <c r="P1811">
        <v>76</v>
      </c>
      <c r="Q1811" t="s">
        <v>99</v>
      </c>
      <c r="R1811">
        <v>30</v>
      </c>
      <c r="S1811" s="19">
        <v>0.47916666666666669</v>
      </c>
      <c r="T1811">
        <v>0</v>
      </c>
      <c r="U1811" s="19"/>
      <c r="V1811" t="s">
        <v>99</v>
      </c>
      <c r="W1811">
        <v>8</v>
      </c>
      <c r="X1811" t="s">
        <v>102</v>
      </c>
      <c r="Y1811" t="b">
        <v>0</v>
      </c>
    </row>
    <row r="1812" spans="1:25" x14ac:dyDescent="0.55000000000000004">
      <c r="A1812" t="s">
        <v>94</v>
      </c>
      <c r="B1812" t="s">
        <v>428</v>
      </c>
      <c r="C1812" t="s">
        <v>292</v>
      </c>
      <c r="D1812" t="s">
        <v>174</v>
      </c>
      <c r="E1812" t="s">
        <v>175</v>
      </c>
      <c r="F1812" t="s">
        <v>99</v>
      </c>
      <c r="G1812">
        <v>22976</v>
      </c>
      <c r="H1812" t="s">
        <v>432</v>
      </c>
      <c r="I1812">
        <v>1</v>
      </c>
      <c r="J1812" t="s">
        <v>116</v>
      </c>
      <c r="K1812" s="19">
        <v>0.27083333333333331</v>
      </c>
      <c r="L1812" s="19">
        <v>0.625</v>
      </c>
      <c r="M1812">
        <v>8.5</v>
      </c>
      <c r="N1812">
        <v>497.28</v>
      </c>
      <c r="O1812">
        <v>76</v>
      </c>
      <c r="P1812">
        <v>76</v>
      </c>
      <c r="Q1812" t="s">
        <v>99</v>
      </c>
      <c r="R1812">
        <v>30</v>
      </c>
      <c r="S1812" s="19">
        <v>0.47916666666666669</v>
      </c>
      <c r="T1812">
        <v>0</v>
      </c>
      <c r="U1812" s="19"/>
      <c r="V1812" t="s">
        <v>99</v>
      </c>
      <c r="W1812">
        <v>8</v>
      </c>
      <c r="X1812" t="s">
        <v>102</v>
      </c>
      <c r="Y1812" t="b">
        <v>0</v>
      </c>
    </row>
    <row r="1813" spans="1:25" x14ac:dyDescent="0.55000000000000004">
      <c r="A1813" t="s">
        <v>94</v>
      </c>
      <c r="B1813" t="s">
        <v>428</v>
      </c>
      <c r="C1813" t="s">
        <v>292</v>
      </c>
      <c r="D1813" t="s">
        <v>174</v>
      </c>
      <c r="E1813" t="s">
        <v>175</v>
      </c>
      <c r="F1813" t="s">
        <v>99</v>
      </c>
      <c r="G1813">
        <v>22976</v>
      </c>
      <c r="H1813" t="s">
        <v>432</v>
      </c>
      <c r="I1813">
        <v>1</v>
      </c>
      <c r="J1813" t="s">
        <v>104</v>
      </c>
      <c r="K1813" s="19">
        <v>0.27083333333333331</v>
      </c>
      <c r="L1813" s="19">
        <v>0.625</v>
      </c>
      <c r="M1813">
        <v>8.5</v>
      </c>
      <c r="N1813">
        <v>284.16000000000003</v>
      </c>
      <c r="O1813">
        <v>76</v>
      </c>
      <c r="P1813">
        <v>76</v>
      </c>
      <c r="Q1813" t="s">
        <v>99</v>
      </c>
      <c r="R1813">
        <v>30</v>
      </c>
      <c r="S1813" s="19">
        <v>0.47916666666666669</v>
      </c>
      <c r="T1813">
        <v>0</v>
      </c>
      <c r="U1813" s="19"/>
      <c r="V1813" t="s">
        <v>99</v>
      </c>
      <c r="W1813">
        <v>8</v>
      </c>
      <c r="X1813" t="s">
        <v>102</v>
      </c>
      <c r="Y1813" t="b">
        <v>0</v>
      </c>
    </row>
    <row r="1814" spans="1:25" x14ac:dyDescent="0.55000000000000004">
      <c r="A1814" t="s">
        <v>94</v>
      </c>
      <c r="B1814" t="s">
        <v>428</v>
      </c>
      <c r="C1814" t="s">
        <v>292</v>
      </c>
      <c r="D1814" t="s">
        <v>174</v>
      </c>
      <c r="E1814" t="s">
        <v>175</v>
      </c>
      <c r="F1814" t="s">
        <v>99</v>
      </c>
      <c r="G1814">
        <v>22976</v>
      </c>
      <c r="H1814" t="s">
        <v>432</v>
      </c>
      <c r="I1814">
        <v>1</v>
      </c>
      <c r="J1814" t="s">
        <v>105</v>
      </c>
      <c r="K1814" s="19">
        <v>0.27083333333333331</v>
      </c>
      <c r="L1814" s="19">
        <v>0.625</v>
      </c>
      <c r="M1814">
        <v>8.5</v>
      </c>
      <c r="N1814">
        <v>284.16000000000003</v>
      </c>
      <c r="O1814">
        <v>76</v>
      </c>
      <c r="P1814">
        <v>76</v>
      </c>
      <c r="Q1814" t="s">
        <v>99</v>
      </c>
      <c r="R1814">
        <v>30</v>
      </c>
      <c r="S1814" s="19">
        <v>0.47916666666666669</v>
      </c>
      <c r="T1814">
        <v>0</v>
      </c>
      <c r="U1814" s="19"/>
      <c r="V1814" t="s">
        <v>99</v>
      </c>
      <c r="W1814">
        <v>8</v>
      </c>
      <c r="X1814" t="s">
        <v>102</v>
      </c>
      <c r="Y1814" t="b">
        <v>0</v>
      </c>
    </row>
    <row r="1815" spans="1:25" x14ac:dyDescent="0.55000000000000004">
      <c r="A1815" t="s">
        <v>94</v>
      </c>
      <c r="B1815" t="s">
        <v>428</v>
      </c>
      <c r="C1815" t="s">
        <v>292</v>
      </c>
      <c r="D1815" t="s">
        <v>174</v>
      </c>
      <c r="E1815" t="s">
        <v>175</v>
      </c>
      <c r="F1815" t="s">
        <v>99</v>
      </c>
      <c r="G1815">
        <v>22976</v>
      </c>
      <c r="H1815" t="s">
        <v>432</v>
      </c>
      <c r="I1815">
        <v>2</v>
      </c>
      <c r="J1815" t="s">
        <v>107</v>
      </c>
      <c r="K1815" s="19">
        <v>0.29166666666666669</v>
      </c>
      <c r="L1815" s="19">
        <v>0.625</v>
      </c>
      <c r="M1815">
        <v>8</v>
      </c>
      <c r="N1815">
        <v>266.39999999999998</v>
      </c>
      <c r="O1815">
        <v>76</v>
      </c>
      <c r="P1815">
        <v>76</v>
      </c>
      <c r="Q1815" t="s">
        <v>99</v>
      </c>
      <c r="R1815">
        <v>30</v>
      </c>
      <c r="S1815" s="19">
        <v>0.5</v>
      </c>
      <c r="T1815">
        <v>0</v>
      </c>
      <c r="U1815" s="19"/>
      <c r="V1815" t="s">
        <v>99</v>
      </c>
      <c r="W1815">
        <v>7.5</v>
      </c>
      <c r="X1815" t="s">
        <v>102</v>
      </c>
      <c r="Y1815" t="b">
        <v>0</v>
      </c>
    </row>
    <row r="1816" spans="1:25" x14ac:dyDescent="0.55000000000000004">
      <c r="A1816" t="s">
        <v>94</v>
      </c>
      <c r="B1816" t="s">
        <v>428</v>
      </c>
      <c r="C1816" t="s">
        <v>292</v>
      </c>
      <c r="D1816" t="s">
        <v>174</v>
      </c>
      <c r="E1816" t="s">
        <v>175</v>
      </c>
      <c r="F1816" t="s">
        <v>99</v>
      </c>
      <c r="G1816">
        <v>22976</v>
      </c>
      <c r="H1816" t="s">
        <v>432</v>
      </c>
      <c r="I1816">
        <v>2</v>
      </c>
      <c r="J1816" t="s">
        <v>101</v>
      </c>
      <c r="K1816" s="19">
        <v>0.29166666666666669</v>
      </c>
      <c r="L1816" s="19">
        <v>0.60416666666666663</v>
      </c>
      <c r="M1816">
        <v>7.5</v>
      </c>
      <c r="N1816">
        <v>248.64</v>
      </c>
      <c r="O1816">
        <v>76</v>
      </c>
      <c r="P1816">
        <v>76</v>
      </c>
      <c r="Q1816" t="s">
        <v>99</v>
      </c>
      <c r="R1816">
        <v>30</v>
      </c>
      <c r="S1816" s="19">
        <v>0.45833333333333331</v>
      </c>
      <c r="T1816">
        <v>0</v>
      </c>
      <c r="U1816" s="19"/>
      <c r="V1816" t="s">
        <v>99</v>
      </c>
      <c r="W1816">
        <v>7</v>
      </c>
      <c r="X1816" t="s">
        <v>102</v>
      </c>
      <c r="Y1816" t="b">
        <v>0</v>
      </c>
    </row>
    <row r="1817" spans="1:25" x14ac:dyDescent="0.55000000000000004">
      <c r="A1817" t="s">
        <v>94</v>
      </c>
      <c r="B1817" t="s">
        <v>428</v>
      </c>
      <c r="C1817" t="s">
        <v>292</v>
      </c>
      <c r="D1817" t="s">
        <v>174</v>
      </c>
      <c r="E1817" t="s">
        <v>175</v>
      </c>
      <c r="F1817" t="s">
        <v>99</v>
      </c>
      <c r="G1817">
        <v>22976</v>
      </c>
      <c r="H1817" t="s">
        <v>432</v>
      </c>
      <c r="I1817">
        <v>2</v>
      </c>
      <c r="J1817" t="s">
        <v>115</v>
      </c>
      <c r="K1817" s="19">
        <v>0.29166666666666669</v>
      </c>
      <c r="L1817" s="19">
        <v>0.60416666666666663</v>
      </c>
      <c r="M1817">
        <v>7.5</v>
      </c>
      <c r="N1817">
        <v>372.96</v>
      </c>
      <c r="O1817">
        <v>76</v>
      </c>
      <c r="P1817">
        <v>76</v>
      </c>
      <c r="Q1817" t="s">
        <v>99</v>
      </c>
      <c r="R1817">
        <v>30</v>
      </c>
      <c r="S1817" s="19">
        <v>0.45833333333333331</v>
      </c>
      <c r="T1817">
        <v>0</v>
      </c>
      <c r="U1817" s="19"/>
      <c r="V1817" t="s">
        <v>99</v>
      </c>
      <c r="W1817">
        <v>7</v>
      </c>
      <c r="X1817" t="s">
        <v>102</v>
      </c>
      <c r="Y1817" t="b">
        <v>0</v>
      </c>
    </row>
    <row r="1818" spans="1:25" x14ac:dyDescent="0.55000000000000004">
      <c r="A1818" t="s">
        <v>94</v>
      </c>
      <c r="B1818" t="s">
        <v>428</v>
      </c>
      <c r="C1818" t="s">
        <v>292</v>
      </c>
      <c r="D1818" t="s">
        <v>174</v>
      </c>
      <c r="E1818" t="s">
        <v>175</v>
      </c>
      <c r="F1818" t="s">
        <v>99</v>
      </c>
      <c r="G1818">
        <v>22976</v>
      </c>
      <c r="H1818" t="s">
        <v>432</v>
      </c>
      <c r="I1818">
        <v>2</v>
      </c>
      <c r="J1818" t="s">
        <v>116</v>
      </c>
      <c r="K1818" s="19">
        <v>0.29166666666666669</v>
      </c>
      <c r="L1818" s="19">
        <v>0.60416666666666663</v>
      </c>
      <c r="M1818">
        <v>7.5</v>
      </c>
      <c r="N1818">
        <v>435.12</v>
      </c>
      <c r="O1818">
        <v>76</v>
      </c>
      <c r="P1818">
        <v>76</v>
      </c>
      <c r="Q1818" t="s">
        <v>99</v>
      </c>
      <c r="R1818">
        <v>30</v>
      </c>
      <c r="S1818" s="19">
        <v>0.45833333333333331</v>
      </c>
      <c r="T1818">
        <v>0</v>
      </c>
      <c r="U1818" s="19"/>
      <c r="V1818" t="s">
        <v>99</v>
      </c>
      <c r="W1818">
        <v>7</v>
      </c>
      <c r="X1818" t="s">
        <v>102</v>
      </c>
      <c r="Y1818" t="b">
        <v>0</v>
      </c>
    </row>
    <row r="1819" spans="1:25" x14ac:dyDescent="0.55000000000000004">
      <c r="A1819" t="s">
        <v>94</v>
      </c>
      <c r="B1819" t="s">
        <v>428</v>
      </c>
      <c r="C1819" t="s">
        <v>292</v>
      </c>
      <c r="D1819" t="s">
        <v>174</v>
      </c>
      <c r="E1819" t="s">
        <v>175</v>
      </c>
      <c r="F1819" t="s">
        <v>99</v>
      </c>
      <c r="G1819">
        <v>22976</v>
      </c>
      <c r="H1819" t="s">
        <v>432</v>
      </c>
      <c r="I1819">
        <v>2</v>
      </c>
      <c r="J1819" t="s">
        <v>104</v>
      </c>
      <c r="K1819" s="19">
        <v>0.25</v>
      </c>
      <c r="L1819" s="19">
        <v>0.58333333333333337</v>
      </c>
      <c r="M1819">
        <v>8</v>
      </c>
      <c r="N1819">
        <v>266.39999999999998</v>
      </c>
      <c r="O1819">
        <v>76</v>
      </c>
      <c r="P1819">
        <v>76</v>
      </c>
      <c r="Q1819" t="s">
        <v>99</v>
      </c>
      <c r="R1819">
        <v>30</v>
      </c>
      <c r="S1819" s="19">
        <v>0.45833333333333331</v>
      </c>
      <c r="T1819">
        <v>0</v>
      </c>
      <c r="U1819" s="19"/>
      <c r="V1819" t="s">
        <v>99</v>
      </c>
      <c r="W1819">
        <v>7.5</v>
      </c>
      <c r="X1819" t="s">
        <v>102</v>
      </c>
      <c r="Y1819" t="b">
        <v>0</v>
      </c>
    </row>
    <row r="1820" spans="1:25" x14ac:dyDescent="0.55000000000000004">
      <c r="A1820" t="s">
        <v>94</v>
      </c>
      <c r="B1820" t="s">
        <v>428</v>
      </c>
      <c r="C1820" t="s">
        <v>292</v>
      </c>
      <c r="D1820" t="s">
        <v>174</v>
      </c>
      <c r="E1820" t="s">
        <v>175</v>
      </c>
      <c r="F1820" t="s">
        <v>99</v>
      </c>
      <c r="G1820">
        <v>23134</v>
      </c>
      <c r="H1820" t="s">
        <v>433</v>
      </c>
      <c r="I1820">
        <v>2</v>
      </c>
      <c r="J1820" t="s">
        <v>103</v>
      </c>
      <c r="K1820" s="19">
        <v>0.29166666666666669</v>
      </c>
      <c r="L1820" s="19">
        <v>0.625</v>
      </c>
      <c r="M1820">
        <v>8</v>
      </c>
      <c r="N1820">
        <v>491.54</v>
      </c>
      <c r="O1820">
        <v>76</v>
      </c>
      <c r="P1820">
        <v>76</v>
      </c>
      <c r="Q1820" t="s">
        <v>99</v>
      </c>
      <c r="R1820">
        <v>30</v>
      </c>
      <c r="S1820" s="19">
        <v>0.5</v>
      </c>
      <c r="T1820">
        <v>0</v>
      </c>
      <c r="U1820" s="19"/>
      <c r="V1820" t="s">
        <v>99</v>
      </c>
      <c r="W1820">
        <v>7.5</v>
      </c>
      <c r="X1820" t="s">
        <v>102</v>
      </c>
      <c r="Y1820" t="b">
        <v>0</v>
      </c>
    </row>
    <row r="1821" spans="1:25" x14ac:dyDescent="0.55000000000000004">
      <c r="A1821" t="s">
        <v>94</v>
      </c>
      <c r="B1821" t="s">
        <v>428</v>
      </c>
      <c r="C1821" t="s">
        <v>292</v>
      </c>
      <c r="D1821" t="s">
        <v>174</v>
      </c>
      <c r="E1821" t="s">
        <v>175</v>
      </c>
      <c r="F1821" t="s">
        <v>99</v>
      </c>
      <c r="G1821">
        <v>23134</v>
      </c>
      <c r="H1821" t="s">
        <v>433</v>
      </c>
      <c r="I1821">
        <v>2</v>
      </c>
      <c r="J1821" t="s">
        <v>105</v>
      </c>
      <c r="K1821" s="19">
        <v>0.29166666666666669</v>
      </c>
      <c r="L1821" s="19">
        <v>0.60416666666666663</v>
      </c>
      <c r="M1821">
        <v>7.5</v>
      </c>
      <c r="N1821">
        <v>245.77</v>
      </c>
      <c r="O1821">
        <v>76</v>
      </c>
      <c r="P1821">
        <v>76</v>
      </c>
      <c r="Q1821" t="s">
        <v>99</v>
      </c>
      <c r="R1821">
        <v>30</v>
      </c>
      <c r="S1821" s="19">
        <v>0.45833333333333331</v>
      </c>
      <c r="T1821">
        <v>0</v>
      </c>
      <c r="U1821" s="19"/>
      <c r="V1821" t="s">
        <v>99</v>
      </c>
      <c r="W1821">
        <v>7</v>
      </c>
      <c r="X1821" t="s">
        <v>102</v>
      </c>
      <c r="Y1821" t="b">
        <v>0</v>
      </c>
    </row>
    <row r="1822" spans="1:25" x14ac:dyDescent="0.55000000000000004">
      <c r="A1822" t="s">
        <v>94</v>
      </c>
      <c r="B1822" t="s">
        <v>428</v>
      </c>
      <c r="C1822" t="s">
        <v>292</v>
      </c>
      <c r="D1822" t="s">
        <v>174</v>
      </c>
      <c r="E1822" t="s">
        <v>175</v>
      </c>
      <c r="F1822" t="s">
        <v>99</v>
      </c>
      <c r="G1822">
        <v>24310</v>
      </c>
      <c r="H1822" t="s">
        <v>434</v>
      </c>
      <c r="I1822">
        <v>2</v>
      </c>
      <c r="J1822" t="s">
        <v>115</v>
      </c>
      <c r="K1822" s="19">
        <v>0.27083333333333331</v>
      </c>
      <c r="L1822" s="19">
        <v>0.625</v>
      </c>
      <c r="M1822">
        <v>8.5</v>
      </c>
      <c r="N1822">
        <v>421.32</v>
      </c>
      <c r="O1822">
        <v>64</v>
      </c>
      <c r="P1822">
        <v>76</v>
      </c>
      <c r="Q1822" t="s">
        <v>99</v>
      </c>
      <c r="R1822">
        <v>30</v>
      </c>
      <c r="S1822" s="19">
        <v>0.47916666666666669</v>
      </c>
      <c r="T1822">
        <v>0</v>
      </c>
      <c r="U1822" s="19"/>
      <c r="V1822" t="s">
        <v>99</v>
      </c>
      <c r="W1822">
        <v>8</v>
      </c>
      <c r="X1822" t="s">
        <v>102</v>
      </c>
      <c r="Y1822" t="b">
        <v>0</v>
      </c>
    </row>
    <row r="1823" spans="1:25" x14ac:dyDescent="0.55000000000000004">
      <c r="A1823" t="s">
        <v>94</v>
      </c>
      <c r="B1823" t="s">
        <v>428</v>
      </c>
      <c r="C1823" t="s">
        <v>292</v>
      </c>
      <c r="D1823" t="s">
        <v>174</v>
      </c>
      <c r="E1823" t="s">
        <v>175</v>
      </c>
      <c r="F1823" t="s">
        <v>99</v>
      </c>
      <c r="G1823">
        <v>24310</v>
      </c>
      <c r="H1823" t="s">
        <v>434</v>
      </c>
      <c r="I1823">
        <v>2</v>
      </c>
      <c r="J1823" t="s">
        <v>116</v>
      </c>
      <c r="K1823" s="19">
        <v>0.27083333333333331</v>
      </c>
      <c r="L1823" s="19">
        <v>0.625</v>
      </c>
      <c r="M1823">
        <v>8.5</v>
      </c>
      <c r="N1823">
        <v>491.54</v>
      </c>
      <c r="O1823">
        <v>64</v>
      </c>
      <c r="P1823">
        <v>76</v>
      </c>
      <c r="Q1823" t="s">
        <v>99</v>
      </c>
      <c r="R1823">
        <v>30</v>
      </c>
      <c r="S1823" s="19">
        <v>0.47916666666666669</v>
      </c>
      <c r="T1823">
        <v>0</v>
      </c>
      <c r="U1823" s="19"/>
      <c r="V1823" t="s">
        <v>99</v>
      </c>
      <c r="W1823">
        <v>8</v>
      </c>
      <c r="X1823" t="s">
        <v>102</v>
      </c>
      <c r="Y1823" t="b">
        <v>0</v>
      </c>
    </row>
    <row r="1824" spans="1:25" x14ac:dyDescent="0.55000000000000004">
      <c r="A1824" t="s">
        <v>94</v>
      </c>
      <c r="B1824" t="s">
        <v>428</v>
      </c>
      <c r="C1824" t="s">
        <v>292</v>
      </c>
      <c r="D1824" t="s">
        <v>174</v>
      </c>
      <c r="E1824" t="s">
        <v>175</v>
      </c>
      <c r="F1824" t="s">
        <v>99</v>
      </c>
      <c r="G1824">
        <v>24648</v>
      </c>
      <c r="H1824" t="s">
        <v>435</v>
      </c>
      <c r="I1824">
        <v>1</v>
      </c>
      <c r="J1824" t="s">
        <v>107</v>
      </c>
      <c r="K1824" s="19">
        <v>0.29166666666666669</v>
      </c>
      <c r="L1824" s="19">
        <v>0.60416666666666663</v>
      </c>
      <c r="M1824">
        <v>7.5</v>
      </c>
      <c r="N1824">
        <v>248.64</v>
      </c>
      <c r="O1824">
        <v>76</v>
      </c>
      <c r="P1824">
        <v>76</v>
      </c>
      <c r="Q1824" t="s">
        <v>99</v>
      </c>
      <c r="R1824">
        <v>30</v>
      </c>
      <c r="S1824" s="19">
        <v>0.45833333333333331</v>
      </c>
      <c r="T1824">
        <v>0</v>
      </c>
      <c r="U1824" s="19"/>
      <c r="V1824" t="s">
        <v>99</v>
      </c>
      <c r="W1824">
        <v>7</v>
      </c>
      <c r="X1824" t="s">
        <v>102</v>
      </c>
      <c r="Y1824" t="b">
        <v>0</v>
      </c>
    </row>
    <row r="1825" spans="1:25" x14ac:dyDescent="0.55000000000000004">
      <c r="A1825" t="s">
        <v>94</v>
      </c>
      <c r="B1825" t="s">
        <v>428</v>
      </c>
      <c r="C1825" t="s">
        <v>292</v>
      </c>
      <c r="D1825" t="s">
        <v>174</v>
      </c>
      <c r="E1825" t="s">
        <v>175</v>
      </c>
      <c r="F1825" t="s">
        <v>99</v>
      </c>
      <c r="G1825">
        <v>24648</v>
      </c>
      <c r="H1825" t="s">
        <v>435</v>
      </c>
      <c r="I1825">
        <v>1</v>
      </c>
      <c r="J1825" t="s">
        <v>115</v>
      </c>
      <c r="K1825" s="19">
        <v>0.25</v>
      </c>
      <c r="L1825" s="19">
        <v>0.58333333333333337</v>
      </c>
      <c r="M1825">
        <v>8</v>
      </c>
      <c r="N1825">
        <v>399.6</v>
      </c>
      <c r="O1825">
        <v>76</v>
      </c>
      <c r="P1825">
        <v>76</v>
      </c>
      <c r="Q1825" t="s">
        <v>99</v>
      </c>
      <c r="R1825">
        <v>30</v>
      </c>
      <c r="S1825" s="19">
        <v>0.45833333333333331</v>
      </c>
      <c r="T1825">
        <v>0</v>
      </c>
      <c r="U1825" s="19"/>
      <c r="V1825" t="s">
        <v>99</v>
      </c>
      <c r="W1825">
        <v>7.5</v>
      </c>
      <c r="X1825" t="s">
        <v>102</v>
      </c>
      <c r="Y1825" t="b">
        <v>0</v>
      </c>
    </row>
    <row r="1826" spans="1:25" x14ac:dyDescent="0.55000000000000004">
      <c r="A1826" t="s">
        <v>94</v>
      </c>
      <c r="B1826" t="s">
        <v>428</v>
      </c>
      <c r="C1826" t="s">
        <v>292</v>
      </c>
      <c r="D1826" t="s">
        <v>174</v>
      </c>
      <c r="E1826" t="s">
        <v>175</v>
      </c>
      <c r="F1826" t="s">
        <v>99</v>
      </c>
      <c r="G1826">
        <v>24890</v>
      </c>
      <c r="H1826" t="s">
        <v>436</v>
      </c>
      <c r="I1826">
        <v>1</v>
      </c>
      <c r="J1826" t="s">
        <v>116</v>
      </c>
      <c r="K1826" s="19">
        <v>0.27083333333333331</v>
      </c>
      <c r="L1826" s="19">
        <v>0.625</v>
      </c>
      <c r="M1826">
        <v>8.5</v>
      </c>
      <c r="N1826">
        <v>491.54</v>
      </c>
      <c r="O1826">
        <v>76</v>
      </c>
      <c r="P1826">
        <v>76</v>
      </c>
      <c r="Q1826" t="s">
        <v>99</v>
      </c>
      <c r="R1826">
        <v>30</v>
      </c>
      <c r="S1826" s="19">
        <v>0.47916666666666669</v>
      </c>
      <c r="T1826">
        <v>0</v>
      </c>
      <c r="U1826" s="19"/>
      <c r="V1826" t="s">
        <v>99</v>
      </c>
      <c r="W1826">
        <v>8</v>
      </c>
      <c r="X1826" t="s">
        <v>102</v>
      </c>
      <c r="Y1826" t="b">
        <v>0</v>
      </c>
    </row>
    <row r="1827" spans="1:25" x14ac:dyDescent="0.55000000000000004">
      <c r="A1827" t="s">
        <v>94</v>
      </c>
      <c r="B1827" t="s">
        <v>428</v>
      </c>
      <c r="C1827" t="s">
        <v>292</v>
      </c>
      <c r="D1827" t="s">
        <v>174</v>
      </c>
      <c r="E1827" t="s">
        <v>175</v>
      </c>
      <c r="F1827" t="s">
        <v>99</v>
      </c>
      <c r="G1827">
        <v>24890</v>
      </c>
      <c r="H1827" t="s">
        <v>436</v>
      </c>
      <c r="I1827">
        <v>2</v>
      </c>
      <c r="J1827" t="s">
        <v>101</v>
      </c>
      <c r="K1827" s="19">
        <v>0.27083333333333331</v>
      </c>
      <c r="L1827" s="19">
        <v>0.625</v>
      </c>
      <c r="M1827">
        <v>8.5</v>
      </c>
      <c r="N1827">
        <v>280.88</v>
      </c>
      <c r="O1827">
        <v>76</v>
      </c>
      <c r="P1827">
        <v>76</v>
      </c>
      <c r="Q1827" t="s">
        <v>99</v>
      </c>
      <c r="R1827">
        <v>30</v>
      </c>
      <c r="S1827" s="19">
        <v>0.47916666666666669</v>
      </c>
      <c r="T1827">
        <v>0</v>
      </c>
      <c r="U1827" s="19"/>
      <c r="V1827" t="s">
        <v>99</v>
      </c>
      <c r="W1827">
        <v>8</v>
      </c>
      <c r="X1827" t="s">
        <v>102</v>
      </c>
      <c r="Y1827" t="b">
        <v>0</v>
      </c>
    </row>
    <row r="1828" spans="1:25" x14ac:dyDescent="0.55000000000000004">
      <c r="A1828" t="s">
        <v>94</v>
      </c>
      <c r="B1828" t="s">
        <v>428</v>
      </c>
      <c r="C1828" t="s">
        <v>292</v>
      </c>
      <c r="D1828" t="s">
        <v>174</v>
      </c>
      <c r="E1828" t="s">
        <v>175</v>
      </c>
      <c r="F1828" t="s">
        <v>99</v>
      </c>
      <c r="G1828">
        <v>24890</v>
      </c>
      <c r="H1828" t="s">
        <v>436</v>
      </c>
      <c r="I1828">
        <v>2</v>
      </c>
      <c r="J1828" t="s">
        <v>103</v>
      </c>
      <c r="K1828" s="19">
        <v>0.27083333333333331</v>
      </c>
      <c r="L1828" s="19">
        <v>0.625</v>
      </c>
      <c r="M1828">
        <v>8.5</v>
      </c>
      <c r="N1828">
        <v>280.88</v>
      </c>
      <c r="O1828">
        <v>76</v>
      </c>
      <c r="P1828">
        <v>76</v>
      </c>
      <c r="Q1828" t="s">
        <v>99</v>
      </c>
      <c r="R1828">
        <v>30</v>
      </c>
      <c r="S1828" s="19">
        <v>0.47916666666666669</v>
      </c>
      <c r="T1828">
        <v>0</v>
      </c>
      <c r="U1828" s="19"/>
      <c r="V1828" t="s">
        <v>99</v>
      </c>
      <c r="W1828">
        <v>8</v>
      </c>
      <c r="X1828" t="s">
        <v>102</v>
      </c>
      <c r="Y1828" t="b">
        <v>0</v>
      </c>
    </row>
    <row r="1829" spans="1:25" x14ac:dyDescent="0.55000000000000004">
      <c r="A1829" t="s">
        <v>94</v>
      </c>
      <c r="B1829" t="s">
        <v>428</v>
      </c>
      <c r="C1829" t="s">
        <v>292</v>
      </c>
      <c r="D1829" t="s">
        <v>174</v>
      </c>
      <c r="E1829" t="s">
        <v>175</v>
      </c>
      <c r="F1829" t="s">
        <v>99</v>
      </c>
      <c r="G1829">
        <v>24890</v>
      </c>
      <c r="H1829" t="s">
        <v>436</v>
      </c>
      <c r="I1829">
        <v>2</v>
      </c>
      <c r="J1829" t="s">
        <v>104</v>
      </c>
      <c r="K1829" s="19">
        <v>0.27083333333333331</v>
      </c>
      <c r="L1829" s="19">
        <v>0.625</v>
      </c>
      <c r="M1829">
        <v>8.5</v>
      </c>
      <c r="N1829">
        <v>280.88</v>
      </c>
      <c r="O1829">
        <v>76</v>
      </c>
      <c r="P1829">
        <v>76</v>
      </c>
      <c r="Q1829" t="s">
        <v>99</v>
      </c>
      <c r="R1829">
        <v>30</v>
      </c>
      <c r="S1829" s="19">
        <v>0.47916666666666669</v>
      </c>
      <c r="T1829">
        <v>0</v>
      </c>
      <c r="U1829" s="19"/>
      <c r="V1829" t="s">
        <v>99</v>
      </c>
      <c r="W1829">
        <v>8</v>
      </c>
      <c r="X1829" t="s">
        <v>102</v>
      </c>
      <c r="Y1829" t="b">
        <v>0</v>
      </c>
    </row>
    <row r="1830" spans="1:25" x14ac:dyDescent="0.55000000000000004">
      <c r="A1830" t="s">
        <v>94</v>
      </c>
      <c r="B1830" t="s">
        <v>428</v>
      </c>
      <c r="C1830" t="s">
        <v>292</v>
      </c>
      <c r="D1830" t="s">
        <v>174</v>
      </c>
      <c r="E1830" t="s">
        <v>175</v>
      </c>
      <c r="F1830" t="s">
        <v>99</v>
      </c>
      <c r="G1830">
        <v>24890</v>
      </c>
      <c r="H1830" t="s">
        <v>436</v>
      </c>
      <c r="I1830">
        <v>2</v>
      </c>
      <c r="J1830" t="s">
        <v>105</v>
      </c>
      <c r="K1830" s="19">
        <v>0.27083333333333331</v>
      </c>
      <c r="L1830" s="19">
        <v>0.625</v>
      </c>
      <c r="M1830">
        <v>8.5</v>
      </c>
      <c r="N1830">
        <v>280.88</v>
      </c>
      <c r="O1830">
        <v>76</v>
      </c>
      <c r="P1830">
        <v>76</v>
      </c>
      <c r="Q1830" t="s">
        <v>99</v>
      </c>
      <c r="R1830">
        <v>30</v>
      </c>
      <c r="S1830" s="19">
        <v>0.47916666666666669</v>
      </c>
      <c r="T1830">
        <v>0</v>
      </c>
      <c r="U1830" s="19"/>
      <c r="V1830" t="s">
        <v>99</v>
      </c>
      <c r="W1830">
        <v>8</v>
      </c>
      <c r="X1830" t="s">
        <v>102</v>
      </c>
      <c r="Y1830" t="b">
        <v>0</v>
      </c>
    </row>
    <row r="1831" spans="1:25" x14ac:dyDescent="0.55000000000000004">
      <c r="A1831" t="s">
        <v>94</v>
      </c>
      <c r="B1831" t="s">
        <v>428</v>
      </c>
      <c r="C1831" t="s">
        <v>292</v>
      </c>
      <c r="D1831" t="s">
        <v>174</v>
      </c>
      <c r="E1831" t="s">
        <v>211</v>
      </c>
      <c r="F1831" t="s">
        <v>99</v>
      </c>
      <c r="H1831" t="s">
        <v>99</v>
      </c>
      <c r="I1831">
        <v>1</v>
      </c>
      <c r="J1831" t="s">
        <v>107</v>
      </c>
      <c r="K1831" s="19">
        <v>0.97916666666666663</v>
      </c>
      <c r="L1831" s="19">
        <v>0.3125</v>
      </c>
      <c r="M1831">
        <v>8</v>
      </c>
      <c r="N1831">
        <v>369.35</v>
      </c>
      <c r="O1831">
        <v>0</v>
      </c>
      <c r="P1831">
        <v>0</v>
      </c>
      <c r="Q1831" t="s">
        <v>99</v>
      </c>
      <c r="R1831">
        <v>30</v>
      </c>
      <c r="S1831" s="19">
        <v>0.16666666666666666</v>
      </c>
      <c r="T1831">
        <v>0</v>
      </c>
      <c r="U1831" s="19"/>
      <c r="V1831" t="s">
        <v>99</v>
      </c>
      <c r="W1831">
        <v>7.5</v>
      </c>
      <c r="X1831" t="s">
        <v>102</v>
      </c>
      <c r="Y1831" t="b">
        <v>0</v>
      </c>
    </row>
    <row r="1832" spans="1:25" x14ac:dyDescent="0.55000000000000004">
      <c r="A1832" t="s">
        <v>94</v>
      </c>
      <c r="B1832" t="s">
        <v>428</v>
      </c>
      <c r="C1832" t="s">
        <v>292</v>
      </c>
      <c r="D1832" t="s">
        <v>174</v>
      </c>
      <c r="E1832" t="s">
        <v>211</v>
      </c>
      <c r="F1832" t="s">
        <v>99</v>
      </c>
      <c r="H1832" t="s">
        <v>99</v>
      </c>
      <c r="I1832">
        <v>1</v>
      </c>
      <c r="J1832" t="s">
        <v>101</v>
      </c>
      <c r="K1832" s="19">
        <v>0.95833333333333337</v>
      </c>
      <c r="L1832" s="19">
        <v>0.29166666666666669</v>
      </c>
      <c r="M1832">
        <v>8</v>
      </c>
      <c r="N1832">
        <v>287.64</v>
      </c>
      <c r="O1832">
        <v>0</v>
      </c>
      <c r="P1832">
        <v>0</v>
      </c>
      <c r="Q1832" t="s">
        <v>99</v>
      </c>
      <c r="R1832">
        <v>30</v>
      </c>
      <c r="S1832" s="19">
        <v>0.16666666666666666</v>
      </c>
      <c r="U1832" s="19"/>
      <c r="V1832" t="s">
        <v>99</v>
      </c>
      <c r="W1832">
        <v>7.5</v>
      </c>
      <c r="X1832" t="s">
        <v>102</v>
      </c>
      <c r="Y1832" t="b">
        <v>0</v>
      </c>
    </row>
    <row r="1833" spans="1:25" x14ac:dyDescent="0.55000000000000004">
      <c r="A1833" t="s">
        <v>94</v>
      </c>
      <c r="B1833" t="s">
        <v>428</v>
      </c>
      <c r="C1833" t="s">
        <v>292</v>
      </c>
      <c r="D1833" t="s">
        <v>174</v>
      </c>
      <c r="E1833" t="s">
        <v>211</v>
      </c>
      <c r="F1833" t="s">
        <v>99</v>
      </c>
      <c r="H1833" t="s">
        <v>99</v>
      </c>
      <c r="I1833">
        <v>1</v>
      </c>
      <c r="J1833" t="s">
        <v>115</v>
      </c>
      <c r="K1833" s="19">
        <v>0.97916666666666663</v>
      </c>
      <c r="L1833" s="19">
        <v>0.3125</v>
      </c>
      <c r="M1833">
        <v>8</v>
      </c>
      <c r="N1833">
        <v>433.55</v>
      </c>
      <c r="O1833">
        <v>0</v>
      </c>
      <c r="P1833">
        <v>0</v>
      </c>
      <c r="Q1833" t="s">
        <v>99</v>
      </c>
      <c r="R1833">
        <v>30</v>
      </c>
      <c r="S1833" s="19">
        <v>0.16666666666666666</v>
      </c>
      <c r="T1833">
        <v>0</v>
      </c>
      <c r="U1833" s="19"/>
      <c r="V1833" t="s">
        <v>99</v>
      </c>
      <c r="W1833">
        <v>7.5</v>
      </c>
      <c r="X1833" t="s">
        <v>102</v>
      </c>
      <c r="Y1833" t="b">
        <v>0</v>
      </c>
    </row>
    <row r="1834" spans="1:25" x14ac:dyDescent="0.55000000000000004">
      <c r="A1834" t="s">
        <v>94</v>
      </c>
      <c r="B1834" t="s">
        <v>428</v>
      </c>
      <c r="C1834" t="s">
        <v>292</v>
      </c>
      <c r="D1834" t="s">
        <v>174</v>
      </c>
      <c r="E1834" t="s">
        <v>211</v>
      </c>
      <c r="F1834" t="s">
        <v>99</v>
      </c>
      <c r="H1834" t="s">
        <v>99</v>
      </c>
      <c r="I1834">
        <v>1</v>
      </c>
      <c r="J1834" t="s">
        <v>116</v>
      </c>
      <c r="K1834" s="19">
        <v>0.97916666666666663</v>
      </c>
      <c r="L1834" s="19">
        <v>0.3125</v>
      </c>
      <c r="M1834">
        <v>8</v>
      </c>
      <c r="N1834">
        <v>297.64999999999998</v>
      </c>
      <c r="O1834">
        <v>0</v>
      </c>
      <c r="P1834">
        <v>0</v>
      </c>
      <c r="Q1834" t="s">
        <v>99</v>
      </c>
      <c r="R1834">
        <v>30</v>
      </c>
      <c r="S1834" s="19">
        <v>0.16666666666666666</v>
      </c>
      <c r="T1834">
        <v>0</v>
      </c>
      <c r="U1834" s="19"/>
      <c r="V1834" t="s">
        <v>99</v>
      </c>
      <c r="W1834">
        <v>7.5</v>
      </c>
      <c r="X1834" t="s">
        <v>102</v>
      </c>
      <c r="Y1834" t="b">
        <v>0</v>
      </c>
    </row>
    <row r="1835" spans="1:25" x14ac:dyDescent="0.55000000000000004">
      <c r="A1835" t="s">
        <v>94</v>
      </c>
      <c r="B1835" t="s">
        <v>428</v>
      </c>
      <c r="C1835" t="s">
        <v>292</v>
      </c>
      <c r="D1835" t="s">
        <v>174</v>
      </c>
      <c r="E1835" t="s">
        <v>211</v>
      </c>
      <c r="F1835" t="s">
        <v>99</v>
      </c>
      <c r="H1835" t="s">
        <v>99</v>
      </c>
      <c r="I1835">
        <v>1</v>
      </c>
      <c r="J1835" t="s">
        <v>103</v>
      </c>
      <c r="K1835" s="19">
        <v>0.95833333333333337</v>
      </c>
      <c r="L1835" s="19">
        <v>0.29166666666666669</v>
      </c>
      <c r="M1835">
        <v>8</v>
      </c>
      <c r="N1835">
        <v>287.64</v>
      </c>
      <c r="O1835">
        <v>0</v>
      </c>
      <c r="P1835">
        <v>0</v>
      </c>
      <c r="Q1835" t="s">
        <v>99</v>
      </c>
      <c r="R1835">
        <v>30</v>
      </c>
      <c r="S1835" s="19">
        <v>0.16666666666666666</v>
      </c>
      <c r="T1835">
        <v>0</v>
      </c>
      <c r="U1835" s="19"/>
      <c r="V1835" t="s">
        <v>99</v>
      </c>
      <c r="W1835">
        <v>7.5</v>
      </c>
      <c r="X1835" t="s">
        <v>102</v>
      </c>
      <c r="Y1835" t="b">
        <v>0</v>
      </c>
    </row>
    <row r="1836" spans="1:25" x14ac:dyDescent="0.55000000000000004">
      <c r="A1836" t="s">
        <v>94</v>
      </c>
      <c r="B1836" t="s">
        <v>428</v>
      </c>
      <c r="C1836" t="s">
        <v>292</v>
      </c>
      <c r="D1836" t="s">
        <v>174</v>
      </c>
      <c r="E1836" t="s">
        <v>211</v>
      </c>
      <c r="F1836" t="s">
        <v>99</v>
      </c>
      <c r="H1836" t="s">
        <v>99</v>
      </c>
      <c r="I1836">
        <v>1</v>
      </c>
      <c r="J1836" t="s">
        <v>104</v>
      </c>
      <c r="K1836" s="19">
        <v>0.95833333333333337</v>
      </c>
      <c r="L1836" s="19">
        <v>0.29166666666666669</v>
      </c>
      <c r="M1836">
        <v>8</v>
      </c>
      <c r="N1836">
        <v>287.64</v>
      </c>
      <c r="O1836">
        <v>0</v>
      </c>
      <c r="P1836">
        <v>0</v>
      </c>
      <c r="Q1836" t="s">
        <v>99</v>
      </c>
      <c r="R1836">
        <v>30</v>
      </c>
      <c r="S1836" s="19">
        <v>0.16666666666666666</v>
      </c>
      <c r="U1836" s="19">
        <v>0.41666666666666669</v>
      </c>
      <c r="V1836" t="s">
        <v>99</v>
      </c>
      <c r="W1836">
        <v>7.5</v>
      </c>
      <c r="X1836" t="s">
        <v>102</v>
      </c>
      <c r="Y1836" t="b">
        <v>0</v>
      </c>
    </row>
    <row r="1837" spans="1:25" x14ac:dyDescent="0.55000000000000004">
      <c r="A1837" t="s">
        <v>94</v>
      </c>
      <c r="B1837" t="s">
        <v>428</v>
      </c>
      <c r="C1837" t="s">
        <v>292</v>
      </c>
      <c r="D1837" t="s">
        <v>174</v>
      </c>
      <c r="E1837" t="s">
        <v>211</v>
      </c>
      <c r="F1837" t="s">
        <v>99</v>
      </c>
      <c r="H1837" t="s">
        <v>99</v>
      </c>
      <c r="I1837">
        <v>1</v>
      </c>
      <c r="J1837" t="s">
        <v>105</v>
      </c>
      <c r="K1837" s="19">
        <v>0.95833333333333337</v>
      </c>
      <c r="L1837" s="19">
        <v>0.29166666666666669</v>
      </c>
      <c r="M1837">
        <v>8</v>
      </c>
      <c r="N1837">
        <v>287.64</v>
      </c>
      <c r="O1837">
        <v>0</v>
      </c>
      <c r="P1837">
        <v>0</v>
      </c>
      <c r="Q1837" t="s">
        <v>99</v>
      </c>
      <c r="R1837">
        <v>30</v>
      </c>
      <c r="S1837" s="19">
        <v>0.16666666666666666</v>
      </c>
      <c r="T1837">
        <v>0</v>
      </c>
      <c r="U1837" s="19"/>
      <c r="V1837" t="s">
        <v>99</v>
      </c>
      <c r="W1837">
        <v>7.5</v>
      </c>
      <c r="X1837" t="s">
        <v>102</v>
      </c>
      <c r="Y1837" t="b">
        <v>0</v>
      </c>
    </row>
    <row r="1838" spans="1:25" x14ac:dyDescent="0.55000000000000004">
      <c r="A1838" t="s">
        <v>94</v>
      </c>
      <c r="B1838" t="s">
        <v>428</v>
      </c>
      <c r="C1838" t="s">
        <v>292</v>
      </c>
      <c r="D1838" t="s">
        <v>174</v>
      </c>
      <c r="E1838" t="s">
        <v>211</v>
      </c>
      <c r="F1838" t="s">
        <v>99</v>
      </c>
      <c r="G1838">
        <v>15718</v>
      </c>
      <c r="H1838" t="s">
        <v>437</v>
      </c>
      <c r="I1838">
        <v>1</v>
      </c>
      <c r="J1838" t="s">
        <v>107</v>
      </c>
      <c r="K1838" s="19">
        <v>0.95833333333333337</v>
      </c>
      <c r="L1838" s="19">
        <v>0.29166666666666669</v>
      </c>
      <c r="M1838">
        <v>8</v>
      </c>
      <c r="N1838">
        <v>382.7</v>
      </c>
      <c r="O1838">
        <v>64</v>
      </c>
      <c r="P1838">
        <v>76</v>
      </c>
      <c r="Q1838" t="s">
        <v>99</v>
      </c>
      <c r="R1838">
        <v>30</v>
      </c>
      <c r="S1838" s="19">
        <v>0.16666666666666666</v>
      </c>
      <c r="T1838">
        <v>0</v>
      </c>
      <c r="U1838" s="19"/>
      <c r="V1838" t="s">
        <v>99</v>
      </c>
      <c r="W1838">
        <v>7.5</v>
      </c>
      <c r="X1838" t="s">
        <v>102</v>
      </c>
      <c r="Y1838" t="b">
        <v>0</v>
      </c>
    </row>
    <row r="1839" spans="1:25" x14ac:dyDescent="0.55000000000000004">
      <c r="A1839" t="s">
        <v>94</v>
      </c>
      <c r="B1839" t="s">
        <v>428</v>
      </c>
      <c r="C1839" t="s">
        <v>292</v>
      </c>
      <c r="D1839" t="s">
        <v>174</v>
      </c>
      <c r="E1839" t="s">
        <v>211</v>
      </c>
      <c r="F1839" t="s">
        <v>99</v>
      </c>
      <c r="G1839">
        <v>15718</v>
      </c>
      <c r="H1839" t="s">
        <v>437</v>
      </c>
      <c r="I1839">
        <v>1</v>
      </c>
      <c r="J1839" t="s">
        <v>115</v>
      </c>
      <c r="K1839" s="19">
        <v>0.95833333333333337</v>
      </c>
      <c r="L1839" s="19">
        <v>0.29166666666666669</v>
      </c>
      <c r="M1839">
        <v>8</v>
      </c>
      <c r="N1839">
        <v>452.04</v>
      </c>
      <c r="O1839">
        <v>64</v>
      </c>
      <c r="P1839">
        <v>76</v>
      </c>
      <c r="Q1839" t="s">
        <v>99</v>
      </c>
      <c r="R1839">
        <v>30</v>
      </c>
      <c r="S1839" s="19">
        <v>0.16666666666666666</v>
      </c>
      <c r="T1839">
        <v>0</v>
      </c>
      <c r="U1839" s="19"/>
      <c r="V1839" t="s">
        <v>99</v>
      </c>
      <c r="W1839">
        <v>7.5</v>
      </c>
      <c r="X1839" t="s">
        <v>102</v>
      </c>
      <c r="Y1839" t="b">
        <v>0</v>
      </c>
    </row>
    <row r="1840" spans="1:25" x14ac:dyDescent="0.55000000000000004">
      <c r="A1840" t="s">
        <v>94</v>
      </c>
      <c r="B1840" t="s">
        <v>428</v>
      </c>
      <c r="C1840" t="s">
        <v>292</v>
      </c>
      <c r="D1840" t="s">
        <v>174</v>
      </c>
      <c r="E1840" t="s">
        <v>211</v>
      </c>
      <c r="F1840" t="s">
        <v>99</v>
      </c>
      <c r="G1840">
        <v>15718</v>
      </c>
      <c r="H1840" t="s">
        <v>437</v>
      </c>
      <c r="I1840">
        <v>1</v>
      </c>
      <c r="J1840" t="s">
        <v>116</v>
      </c>
      <c r="K1840" s="19">
        <v>0.95833333333333337</v>
      </c>
      <c r="L1840" s="19">
        <v>0.29166666666666669</v>
      </c>
      <c r="M1840">
        <v>8</v>
      </c>
      <c r="N1840">
        <v>323.89</v>
      </c>
      <c r="O1840">
        <v>64</v>
      </c>
      <c r="P1840">
        <v>76</v>
      </c>
      <c r="Q1840" t="s">
        <v>99</v>
      </c>
      <c r="R1840">
        <v>30</v>
      </c>
      <c r="S1840" s="19">
        <v>0.16666666666666666</v>
      </c>
      <c r="T1840">
        <v>0</v>
      </c>
      <c r="U1840" s="19"/>
      <c r="V1840" t="s">
        <v>99</v>
      </c>
      <c r="W1840">
        <v>7.5</v>
      </c>
      <c r="X1840" t="s">
        <v>102</v>
      </c>
      <c r="Y1840" t="b">
        <v>0</v>
      </c>
    </row>
    <row r="1841" spans="1:25" x14ac:dyDescent="0.55000000000000004">
      <c r="A1841" t="s">
        <v>94</v>
      </c>
      <c r="B1841" t="s">
        <v>428</v>
      </c>
      <c r="C1841" t="s">
        <v>292</v>
      </c>
      <c r="D1841" t="s">
        <v>174</v>
      </c>
      <c r="E1841" t="s">
        <v>211</v>
      </c>
      <c r="F1841" t="s">
        <v>99</v>
      </c>
      <c r="G1841">
        <v>15718</v>
      </c>
      <c r="H1841" t="s">
        <v>437</v>
      </c>
      <c r="I1841">
        <v>2</v>
      </c>
      <c r="J1841" t="s">
        <v>107</v>
      </c>
      <c r="K1841" s="19">
        <v>0.97916666666666663</v>
      </c>
      <c r="L1841" s="19">
        <v>0.3125</v>
      </c>
      <c r="M1841">
        <v>8</v>
      </c>
      <c r="N1841">
        <v>388.84</v>
      </c>
      <c r="O1841">
        <v>64</v>
      </c>
      <c r="P1841">
        <v>76</v>
      </c>
      <c r="Q1841" t="s">
        <v>99</v>
      </c>
      <c r="R1841">
        <v>30</v>
      </c>
      <c r="S1841" s="19">
        <v>0.16666666666666666</v>
      </c>
      <c r="T1841">
        <v>0</v>
      </c>
      <c r="U1841" s="19"/>
      <c r="V1841" t="s">
        <v>99</v>
      </c>
      <c r="W1841">
        <v>7.5</v>
      </c>
      <c r="X1841" t="s">
        <v>102</v>
      </c>
      <c r="Y1841" t="b">
        <v>0</v>
      </c>
    </row>
    <row r="1842" spans="1:25" x14ac:dyDescent="0.55000000000000004">
      <c r="A1842" t="s">
        <v>94</v>
      </c>
      <c r="B1842" t="s">
        <v>428</v>
      </c>
      <c r="C1842" t="s">
        <v>292</v>
      </c>
      <c r="D1842" t="s">
        <v>174</v>
      </c>
      <c r="E1842" t="s">
        <v>211</v>
      </c>
      <c r="F1842" t="s">
        <v>99</v>
      </c>
      <c r="G1842">
        <v>15718</v>
      </c>
      <c r="H1842" t="s">
        <v>437</v>
      </c>
      <c r="I1842">
        <v>2</v>
      </c>
      <c r="J1842" t="s">
        <v>115</v>
      </c>
      <c r="K1842" s="19">
        <v>0.97916666666666663</v>
      </c>
      <c r="L1842" s="19">
        <v>0.3125</v>
      </c>
      <c r="M1842">
        <v>7</v>
      </c>
      <c r="N1842">
        <v>456.43</v>
      </c>
      <c r="O1842">
        <v>64</v>
      </c>
      <c r="P1842">
        <v>76</v>
      </c>
      <c r="Q1842" t="s">
        <v>99</v>
      </c>
      <c r="R1842">
        <v>30</v>
      </c>
      <c r="S1842" s="19">
        <v>0.125</v>
      </c>
      <c r="T1842">
        <v>0</v>
      </c>
      <c r="U1842" s="19"/>
      <c r="V1842" t="s">
        <v>99</v>
      </c>
      <c r="W1842">
        <v>6.5</v>
      </c>
      <c r="X1842" t="s">
        <v>102</v>
      </c>
      <c r="Y1842" t="b">
        <v>0</v>
      </c>
    </row>
    <row r="1843" spans="1:25" x14ac:dyDescent="0.55000000000000004">
      <c r="A1843" t="s">
        <v>94</v>
      </c>
      <c r="B1843" t="s">
        <v>428</v>
      </c>
      <c r="C1843" t="s">
        <v>292</v>
      </c>
      <c r="D1843" t="s">
        <v>174</v>
      </c>
      <c r="E1843" t="s">
        <v>211</v>
      </c>
      <c r="F1843" t="s">
        <v>99</v>
      </c>
      <c r="G1843">
        <v>15718</v>
      </c>
      <c r="H1843" t="s">
        <v>437</v>
      </c>
      <c r="I1843">
        <v>2</v>
      </c>
      <c r="J1843" t="s">
        <v>116</v>
      </c>
      <c r="K1843" s="19">
        <v>0.97916666666666663</v>
      </c>
      <c r="L1843" s="19">
        <v>0.3125</v>
      </c>
      <c r="M1843">
        <v>8</v>
      </c>
      <c r="N1843">
        <v>313.36</v>
      </c>
      <c r="O1843">
        <v>64</v>
      </c>
      <c r="P1843">
        <v>76</v>
      </c>
      <c r="Q1843" t="s">
        <v>99</v>
      </c>
      <c r="R1843">
        <v>30</v>
      </c>
      <c r="S1843" s="19">
        <v>0.16666666666666666</v>
      </c>
      <c r="T1843">
        <v>0</v>
      </c>
      <c r="U1843" s="19"/>
      <c r="V1843" t="s">
        <v>99</v>
      </c>
      <c r="W1843">
        <v>7.5</v>
      </c>
      <c r="X1843" t="s">
        <v>102</v>
      </c>
      <c r="Y1843" t="b">
        <v>0</v>
      </c>
    </row>
    <row r="1844" spans="1:25" x14ac:dyDescent="0.55000000000000004">
      <c r="A1844" t="s">
        <v>94</v>
      </c>
      <c r="B1844" t="s">
        <v>428</v>
      </c>
      <c r="C1844" t="s">
        <v>292</v>
      </c>
      <c r="D1844" t="s">
        <v>174</v>
      </c>
      <c r="E1844" t="s">
        <v>211</v>
      </c>
      <c r="F1844" t="s">
        <v>99</v>
      </c>
      <c r="G1844">
        <v>15718</v>
      </c>
      <c r="H1844" t="s">
        <v>437</v>
      </c>
      <c r="I1844">
        <v>2</v>
      </c>
      <c r="J1844" t="s">
        <v>103</v>
      </c>
      <c r="K1844" s="19">
        <v>0.97916666666666663</v>
      </c>
      <c r="L1844" s="19">
        <v>0.3125</v>
      </c>
      <c r="M1844">
        <v>8</v>
      </c>
      <c r="N1844">
        <v>302.82</v>
      </c>
      <c r="O1844">
        <v>64</v>
      </c>
      <c r="P1844">
        <v>76</v>
      </c>
      <c r="Q1844" t="s">
        <v>99</v>
      </c>
      <c r="R1844">
        <v>30</v>
      </c>
      <c r="S1844" s="19">
        <v>0.16666666666666666</v>
      </c>
      <c r="T1844">
        <v>0</v>
      </c>
      <c r="U1844" s="19"/>
      <c r="V1844" t="s">
        <v>99</v>
      </c>
      <c r="W1844">
        <v>7.5</v>
      </c>
      <c r="X1844" t="s">
        <v>102</v>
      </c>
      <c r="Y1844" t="b">
        <v>0</v>
      </c>
    </row>
    <row r="1845" spans="1:25" x14ac:dyDescent="0.55000000000000004">
      <c r="A1845" t="s">
        <v>94</v>
      </c>
      <c r="B1845" t="s">
        <v>428</v>
      </c>
      <c r="C1845" t="s">
        <v>292</v>
      </c>
      <c r="D1845" t="s">
        <v>174</v>
      </c>
      <c r="E1845" t="s">
        <v>211</v>
      </c>
      <c r="F1845" t="s">
        <v>99</v>
      </c>
      <c r="G1845">
        <v>18460</v>
      </c>
      <c r="H1845" t="s">
        <v>438</v>
      </c>
      <c r="I1845">
        <v>2</v>
      </c>
      <c r="J1845" t="s">
        <v>107</v>
      </c>
      <c r="K1845" s="19">
        <v>0.95833333333333337</v>
      </c>
      <c r="L1845" s="19">
        <v>0.29166666666666669</v>
      </c>
      <c r="M1845">
        <v>8</v>
      </c>
      <c r="N1845">
        <v>363.51</v>
      </c>
      <c r="O1845">
        <v>30</v>
      </c>
      <c r="P1845">
        <v>76</v>
      </c>
      <c r="Q1845" t="s">
        <v>99</v>
      </c>
      <c r="R1845">
        <v>30</v>
      </c>
      <c r="S1845" s="19">
        <v>0.16666666666666666</v>
      </c>
      <c r="T1845">
        <v>0</v>
      </c>
      <c r="U1845" s="19"/>
      <c r="V1845" t="s">
        <v>99</v>
      </c>
      <c r="W1845">
        <v>7.5</v>
      </c>
      <c r="X1845" t="s">
        <v>102</v>
      </c>
      <c r="Y1845" t="b">
        <v>0</v>
      </c>
    </row>
    <row r="1846" spans="1:25" x14ac:dyDescent="0.55000000000000004">
      <c r="A1846" t="s">
        <v>94</v>
      </c>
      <c r="B1846" t="s">
        <v>428</v>
      </c>
      <c r="C1846" t="s">
        <v>292</v>
      </c>
      <c r="D1846" t="s">
        <v>174</v>
      </c>
      <c r="E1846" t="s">
        <v>211</v>
      </c>
      <c r="F1846" t="s">
        <v>99</v>
      </c>
      <c r="G1846">
        <v>18460</v>
      </c>
      <c r="H1846" t="s">
        <v>438</v>
      </c>
      <c r="I1846">
        <v>2</v>
      </c>
      <c r="J1846" t="s">
        <v>115</v>
      </c>
      <c r="K1846" s="19">
        <v>0.95833333333333337</v>
      </c>
      <c r="L1846" s="19">
        <v>0.29166666666666669</v>
      </c>
      <c r="M1846">
        <v>8</v>
      </c>
      <c r="N1846">
        <v>429.38</v>
      </c>
      <c r="O1846">
        <v>30</v>
      </c>
      <c r="P1846">
        <v>76</v>
      </c>
      <c r="Q1846" t="s">
        <v>99</v>
      </c>
      <c r="R1846">
        <v>30</v>
      </c>
      <c r="S1846" s="19">
        <v>0.16666666666666666</v>
      </c>
      <c r="T1846">
        <v>0</v>
      </c>
      <c r="U1846" s="19"/>
      <c r="V1846" t="s">
        <v>99</v>
      </c>
      <c r="W1846">
        <v>7.5</v>
      </c>
      <c r="X1846" t="s">
        <v>102</v>
      </c>
      <c r="Y1846" t="b">
        <v>0</v>
      </c>
    </row>
    <row r="1847" spans="1:25" x14ac:dyDescent="0.55000000000000004">
      <c r="A1847" t="s">
        <v>94</v>
      </c>
      <c r="B1847" t="s">
        <v>428</v>
      </c>
      <c r="C1847" t="s">
        <v>292</v>
      </c>
      <c r="D1847" t="s">
        <v>174</v>
      </c>
      <c r="E1847" t="s">
        <v>211</v>
      </c>
      <c r="F1847" t="s">
        <v>99</v>
      </c>
      <c r="G1847">
        <v>18460</v>
      </c>
      <c r="H1847" t="s">
        <v>438</v>
      </c>
      <c r="I1847">
        <v>2</v>
      </c>
      <c r="J1847" t="s">
        <v>116</v>
      </c>
      <c r="K1847" s="19">
        <v>0.95833333333333337</v>
      </c>
      <c r="L1847" s="19">
        <v>0.29166666666666669</v>
      </c>
      <c r="M1847">
        <v>8</v>
      </c>
      <c r="N1847">
        <v>307.64999999999998</v>
      </c>
      <c r="O1847">
        <v>30</v>
      </c>
      <c r="P1847">
        <v>76</v>
      </c>
      <c r="Q1847" t="s">
        <v>99</v>
      </c>
      <c r="R1847">
        <v>30</v>
      </c>
      <c r="S1847" s="19">
        <v>0.16666666666666666</v>
      </c>
      <c r="T1847">
        <v>0</v>
      </c>
      <c r="U1847" s="19"/>
      <c r="V1847" t="s">
        <v>99</v>
      </c>
      <c r="W1847">
        <v>7.5</v>
      </c>
      <c r="X1847" t="s">
        <v>102</v>
      </c>
      <c r="Y1847" t="b">
        <v>0</v>
      </c>
    </row>
    <row r="1848" spans="1:25" x14ac:dyDescent="0.55000000000000004">
      <c r="A1848" t="s">
        <v>94</v>
      </c>
      <c r="B1848" t="s">
        <v>428</v>
      </c>
      <c r="C1848" t="s">
        <v>292</v>
      </c>
      <c r="D1848" t="s">
        <v>174</v>
      </c>
      <c r="E1848" t="s">
        <v>211</v>
      </c>
      <c r="F1848" t="s">
        <v>99</v>
      </c>
      <c r="G1848">
        <v>18460</v>
      </c>
      <c r="H1848" t="s">
        <v>438</v>
      </c>
      <c r="I1848">
        <v>2</v>
      </c>
      <c r="J1848" t="s">
        <v>103</v>
      </c>
      <c r="K1848" s="19">
        <v>0.95833333333333337</v>
      </c>
      <c r="L1848" s="19">
        <v>0.29166666666666669</v>
      </c>
      <c r="M1848">
        <v>8</v>
      </c>
      <c r="N1848">
        <v>287.64</v>
      </c>
      <c r="O1848">
        <v>30</v>
      </c>
      <c r="P1848">
        <v>76</v>
      </c>
      <c r="Q1848" t="s">
        <v>99</v>
      </c>
      <c r="R1848">
        <v>30</v>
      </c>
      <c r="S1848" s="19">
        <v>0.16666666666666666</v>
      </c>
      <c r="T1848">
        <v>0</v>
      </c>
      <c r="U1848" s="19"/>
      <c r="V1848" t="s">
        <v>99</v>
      </c>
      <c r="W1848">
        <v>7.5</v>
      </c>
      <c r="X1848" t="s">
        <v>102</v>
      </c>
      <c r="Y1848" t="b">
        <v>0</v>
      </c>
    </row>
    <row r="1849" spans="1:25" x14ac:dyDescent="0.55000000000000004">
      <c r="A1849" t="s">
        <v>94</v>
      </c>
      <c r="B1849" t="s">
        <v>428</v>
      </c>
      <c r="C1849" t="s">
        <v>292</v>
      </c>
      <c r="D1849" t="s">
        <v>174</v>
      </c>
      <c r="E1849" t="s">
        <v>211</v>
      </c>
      <c r="F1849" t="s">
        <v>99</v>
      </c>
      <c r="G1849">
        <v>21749</v>
      </c>
      <c r="H1849" t="s">
        <v>430</v>
      </c>
      <c r="I1849">
        <v>2</v>
      </c>
      <c r="J1849" t="s">
        <v>101</v>
      </c>
      <c r="K1849" s="19">
        <v>0.97916666666666663</v>
      </c>
      <c r="L1849" s="19">
        <v>0.3125</v>
      </c>
      <c r="M1849">
        <v>8</v>
      </c>
      <c r="N1849">
        <v>306.36</v>
      </c>
      <c r="O1849">
        <v>76</v>
      </c>
      <c r="P1849">
        <v>76</v>
      </c>
      <c r="Q1849" t="s">
        <v>99</v>
      </c>
      <c r="R1849">
        <v>30</v>
      </c>
      <c r="S1849" s="19">
        <v>0.16666666666666666</v>
      </c>
      <c r="T1849">
        <v>0</v>
      </c>
      <c r="U1849" s="19"/>
      <c r="V1849" t="s">
        <v>99</v>
      </c>
      <c r="W1849">
        <v>7.5</v>
      </c>
      <c r="X1849" t="s">
        <v>102</v>
      </c>
      <c r="Y1849" t="b">
        <v>0</v>
      </c>
    </row>
    <row r="1850" spans="1:25" x14ac:dyDescent="0.55000000000000004">
      <c r="A1850" t="s">
        <v>94</v>
      </c>
      <c r="B1850" t="s">
        <v>428</v>
      </c>
      <c r="C1850" t="s">
        <v>292</v>
      </c>
      <c r="D1850" t="s">
        <v>174</v>
      </c>
      <c r="E1850" t="s">
        <v>211</v>
      </c>
      <c r="F1850" t="s">
        <v>99</v>
      </c>
      <c r="G1850">
        <v>21749</v>
      </c>
      <c r="H1850" t="s">
        <v>430</v>
      </c>
      <c r="I1850">
        <v>2</v>
      </c>
      <c r="J1850" t="s">
        <v>104</v>
      </c>
      <c r="K1850" s="19">
        <v>0.97916666666666663</v>
      </c>
      <c r="L1850" s="19">
        <v>0.3125</v>
      </c>
      <c r="M1850">
        <v>8</v>
      </c>
      <c r="N1850">
        <v>306.36</v>
      </c>
      <c r="O1850">
        <v>76</v>
      </c>
      <c r="P1850">
        <v>76</v>
      </c>
      <c r="Q1850" t="s">
        <v>99</v>
      </c>
      <c r="R1850">
        <v>30</v>
      </c>
      <c r="S1850" s="19">
        <v>0.16666666666666666</v>
      </c>
      <c r="T1850">
        <v>0</v>
      </c>
      <c r="U1850" s="19"/>
      <c r="V1850" t="s">
        <v>99</v>
      </c>
      <c r="W1850">
        <v>7.5</v>
      </c>
      <c r="X1850" t="s">
        <v>102</v>
      </c>
      <c r="Y1850" t="b">
        <v>0</v>
      </c>
    </row>
    <row r="1851" spans="1:25" x14ac:dyDescent="0.55000000000000004">
      <c r="A1851" t="s">
        <v>94</v>
      </c>
      <c r="B1851" t="s">
        <v>428</v>
      </c>
      <c r="C1851" t="s">
        <v>292</v>
      </c>
      <c r="D1851" t="s">
        <v>174</v>
      </c>
      <c r="E1851" t="s">
        <v>211</v>
      </c>
      <c r="F1851" t="s">
        <v>99</v>
      </c>
      <c r="G1851">
        <v>21749</v>
      </c>
      <c r="H1851" t="s">
        <v>430</v>
      </c>
      <c r="I1851">
        <v>2</v>
      </c>
      <c r="J1851" t="s">
        <v>105</v>
      </c>
      <c r="K1851" s="19">
        <v>0.97916666666666663</v>
      </c>
      <c r="L1851" s="19">
        <v>0.3125</v>
      </c>
      <c r="M1851">
        <v>8</v>
      </c>
      <c r="N1851">
        <v>306.36</v>
      </c>
      <c r="O1851">
        <v>76</v>
      </c>
      <c r="P1851">
        <v>76</v>
      </c>
      <c r="Q1851" t="s">
        <v>99</v>
      </c>
      <c r="R1851">
        <v>30</v>
      </c>
      <c r="S1851" s="19">
        <v>0.16666666666666666</v>
      </c>
      <c r="T1851">
        <v>0</v>
      </c>
      <c r="U1851" s="19"/>
      <c r="V1851" t="s">
        <v>99</v>
      </c>
      <c r="W1851">
        <v>7.5</v>
      </c>
      <c r="X1851" t="s">
        <v>102</v>
      </c>
      <c r="Y1851" t="b">
        <v>0</v>
      </c>
    </row>
    <row r="1852" spans="1:25" x14ac:dyDescent="0.55000000000000004">
      <c r="A1852" t="s">
        <v>94</v>
      </c>
      <c r="B1852" t="s">
        <v>428</v>
      </c>
      <c r="C1852" t="s">
        <v>292</v>
      </c>
      <c r="D1852" t="s">
        <v>174</v>
      </c>
      <c r="E1852" t="s">
        <v>211</v>
      </c>
      <c r="F1852" t="s">
        <v>99</v>
      </c>
      <c r="G1852">
        <v>24310</v>
      </c>
      <c r="H1852" t="s">
        <v>434</v>
      </c>
      <c r="I1852">
        <v>2</v>
      </c>
      <c r="J1852" t="s">
        <v>101</v>
      </c>
      <c r="K1852" s="19">
        <v>0.95833333333333337</v>
      </c>
      <c r="L1852" s="19">
        <v>0.29166666666666669</v>
      </c>
      <c r="M1852">
        <v>8</v>
      </c>
      <c r="N1852">
        <v>302.82</v>
      </c>
      <c r="O1852">
        <v>64</v>
      </c>
      <c r="P1852">
        <v>76</v>
      </c>
      <c r="Q1852" t="s">
        <v>99</v>
      </c>
      <c r="R1852">
        <v>30</v>
      </c>
      <c r="S1852" s="19">
        <v>0.16666666666666666</v>
      </c>
      <c r="T1852">
        <v>0</v>
      </c>
      <c r="U1852" s="19"/>
      <c r="V1852" t="s">
        <v>99</v>
      </c>
      <c r="W1852">
        <v>7.5</v>
      </c>
      <c r="X1852" t="s">
        <v>102</v>
      </c>
      <c r="Y1852" t="b">
        <v>0</v>
      </c>
    </row>
    <row r="1853" spans="1:25" x14ac:dyDescent="0.55000000000000004">
      <c r="A1853" t="s">
        <v>94</v>
      </c>
      <c r="B1853" t="s">
        <v>428</v>
      </c>
      <c r="C1853" t="s">
        <v>292</v>
      </c>
      <c r="D1853" t="s">
        <v>174</v>
      </c>
      <c r="E1853" t="s">
        <v>211</v>
      </c>
      <c r="F1853" t="s">
        <v>99</v>
      </c>
      <c r="G1853">
        <v>24310</v>
      </c>
      <c r="H1853" t="s">
        <v>434</v>
      </c>
      <c r="I1853">
        <v>2</v>
      </c>
      <c r="J1853" t="s">
        <v>104</v>
      </c>
      <c r="K1853" s="19">
        <v>0.95833333333333337</v>
      </c>
      <c r="L1853" s="19">
        <v>0.29166666666666669</v>
      </c>
      <c r="M1853">
        <v>8</v>
      </c>
      <c r="N1853">
        <v>302.82</v>
      </c>
      <c r="O1853">
        <v>64</v>
      </c>
      <c r="P1853">
        <v>76</v>
      </c>
      <c r="Q1853" t="s">
        <v>99</v>
      </c>
      <c r="R1853">
        <v>30</v>
      </c>
      <c r="S1853" s="19">
        <v>0.16666666666666666</v>
      </c>
      <c r="T1853">
        <v>0</v>
      </c>
      <c r="U1853" s="19"/>
      <c r="V1853" t="s">
        <v>99</v>
      </c>
      <c r="W1853">
        <v>7.5</v>
      </c>
      <c r="X1853" t="s">
        <v>102</v>
      </c>
      <c r="Y1853" t="b">
        <v>0</v>
      </c>
    </row>
    <row r="1854" spans="1:25" x14ac:dyDescent="0.55000000000000004">
      <c r="A1854" t="s">
        <v>94</v>
      </c>
      <c r="B1854" t="s">
        <v>428</v>
      </c>
      <c r="C1854" t="s">
        <v>292</v>
      </c>
      <c r="D1854" t="s">
        <v>174</v>
      </c>
      <c r="E1854" t="s">
        <v>211</v>
      </c>
      <c r="F1854" t="s">
        <v>99</v>
      </c>
      <c r="G1854">
        <v>24310</v>
      </c>
      <c r="H1854" t="s">
        <v>434</v>
      </c>
      <c r="I1854">
        <v>2</v>
      </c>
      <c r="J1854" t="s">
        <v>105</v>
      </c>
      <c r="K1854" s="19">
        <v>0.95833333333333337</v>
      </c>
      <c r="L1854" s="19">
        <v>0.29166666666666669</v>
      </c>
      <c r="M1854">
        <v>8</v>
      </c>
      <c r="N1854">
        <v>302.82</v>
      </c>
      <c r="O1854">
        <v>64</v>
      </c>
      <c r="P1854">
        <v>76</v>
      </c>
      <c r="Q1854" t="s">
        <v>99</v>
      </c>
      <c r="R1854">
        <v>30</v>
      </c>
      <c r="S1854" s="19">
        <v>0.16666666666666666</v>
      </c>
      <c r="T1854">
        <v>0</v>
      </c>
      <c r="U1854" s="19"/>
      <c r="V1854" t="s">
        <v>99</v>
      </c>
      <c r="W1854">
        <v>7.5</v>
      </c>
      <c r="X1854" t="s">
        <v>102</v>
      </c>
      <c r="Y1854" t="b">
        <v>0</v>
      </c>
    </row>
    <row r="1855" spans="1:25" x14ac:dyDescent="0.55000000000000004">
      <c r="A1855" t="s">
        <v>94</v>
      </c>
      <c r="B1855" t="s">
        <v>428</v>
      </c>
      <c r="C1855" t="s">
        <v>292</v>
      </c>
      <c r="D1855" t="s">
        <v>174</v>
      </c>
      <c r="E1855" t="s">
        <v>211</v>
      </c>
      <c r="F1855" t="s">
        <v>99</v>
      </c>
      <c r="G1855">
        <v>24890</v>
      </c>
      <c r="H1855" t="s">
        <v>436</v>
      </c>
      <c r="I1855">
        <v>1</v>
      </c>
      <c r="J1855" t="s">
        <v>101</v>
      </c>
      <c r="K1855" s="19">
        <v>0.97916666666666663</v>
      </c>
      <c r="L1855" s="19">
        <v>0.3125</v>
      </c>
      <c r="M1855">
        <v>8</v>
      </c>
      <c r="N1855">
        <v>302.82</v>
      </c>
      <c r="O1855">
        <v>76</v>
      </c>
      <c r="P1855">
        <v>76</v>
      </c>
      <c r="Q1855" t="s">
        <v>99</v>
      </c>
      <c r="R1855">
        <v>30</v>
      </c>
      <c r="S1855" s="19">
        <v>0.16666666666666666</v>
      </c>
      <c r="T1855">
        <v>0</v>
      </c>
      <c r="U1855" s="19"/>
      <c r="V1855" t="s">
        <v>99</v>
      </c>
      <c r="W1855">
        <v>7.5</v>
      </c>
      <c r="X1855" t="s">
        <v>102</v>
      </c>
      <c r="Y1855" t="b">
        <v>0</v>
      </c>
    </row>
    <row r="1856" spans="1:25" x14ac:dyDescent="0.55000000000000004">
      <c r="A1856" t="s">
        <v>94</v>
      </c>
      <c r="B1856" t="s">
        <v>428</v>
      </c>
      <c r="C1856" t="s">
        <v>292</v>
      </c>
      <c r="D1856" t="s">
        <v>174</v>
      </c>
      <c r="E1856" t="s">
        <v>211</v>
      </c>
      <c r="F1856" t="s">
        <v>99</v>
      </c>
      <c r="G1856">
        <v>24890</v>
      </c>
      <c r="H1856" t="s">
        <v>436</v>
      </c>
      <c r="I1856">
        <v>1</v>
      </c>
      <c r="J1856" t="s">
        <v>103</v>
      </c>
      <c r="K1856" s="19">
        <v>0.97916666666666663</v>
      </c>
      <c r="L1856" s="19">
        <v>0.3125</v>
      </c>
      <c r="M1856">
        <v>8</v>
      </c>
      <c r="N1856">
        <v>302.82</v>
      </c>
      <c r="O1856">
        <v>76</v>
      </c>
      <c r="P1856">
        <v>76</v>
      </c>
      <c r="Q1856" t="s">
        <v>99</v>
      </c>
      <c r="R1856">
        <v>30</v>
      </c>
      <c r="S1856" s="19">
        <v>0.16666666666666666</v>
      </c>
      <c r="T1856">
        <v>0</v>
      </c>
      <c r="U1856" s="19"/>
      <c r="V1856" t="s">
        <v>99</v>
      </c>
      <c r="W1856">
        <v>7.5</v>
      </c>
      <c r="X1856" t="s">
        <v>102</v>
      </c>
      <c r="Y1856" t="b">
        <v>0</v>
      </c>
    </row>
    <row r="1857" spans="1:25" x14ac:dyDescent="0.55000000000000004">
      <c r="A1857" t="s">
        <v>94</v>
      </c>
      <c r="B1857" t="s">
        <v>428</v>
      </c>
      <c r="C1857" t="s">
        <v>292</v>
      </c>
      <c r="D1857" t="s">
        <v>174</v>
      </c>
      <c r="E1857" t="s">
        <v>211</v>
      </c>
      <c r="F1857" t="s">
        <v>99</v>
      </c>
      <c r="G1857">
        <v>24890</v>
      </c>
      <c r="H1857" t="s">
        <v>436</v>
      </c>
      <c r="I1857">
        <v>1</v>
      </c>
      <c r="J1857" t="s">
        <v>104</v>
      </c>
      <c r="K1857" s="19">
        <v>0.97916666666666663</v>
      </c>
      <c r="L1857" s="19">
        <v>0.3125</v>
      </c>
      <c r="M1857">
        <v>8</v>
      </c>
      <c r="N1857">
        <v>302.82</v>
      </c>
      <c r="O1857">
        <v>76</v>
      </c>
      <c r="P1857">
        <v>76</v>
      </c>
      <c r="Q1857" t="s">
        <v>99</v>
      </c>
      <c r="R1857">
        <v>30</v>
      </c>
      <c r="S1857" s="19">
        <v>0.125</v>
      </c>
      <c r="U1857" s="19"/>
      <c r="V1857" t="s">
        <v>99</v>
      </c>
      <c r="W1857">
        <v>7.5</v>
      </c>
      <c r="X1857" t="s">
        <v>102</v>
      </c>
      <c r="Y1857" t="b">
        <v>0</v>
      </c>
    </row>
    <row r="1858" spans="1:25" x14ac:dyDescent="0.55000000000000004">
      <c r="A1858" t="s">
        <v>94</v>
      </c>
      <c r="B1858" t="s">
        <v>428</v>
      </c>
      <c r="C1858" t="s">
        <v>292</v>
      </c>
      <c r="D1858" t="s">
        <v>174</v>
      </c>
      <c r="E1858" t="s">
        <v>211</v>
      </c>
      <c r="F1858" t="s">
        <v>99</v>
      </c>
      <c r="G1858">
        <v>24890</v>
      </c>
      <c r="H1858" t="s">
        <v>436</v>
      </c>
      <c r="I1858">
        <v>1</v>
      </c>
      <c r="J1858" t="s">
        <v>105</v>
      </c>
      <c r="K1858" s="19">
        <v>0.97916666666666663</v>
      </c>
      <c r="L1858" s="19">
        <v>0.3125</v>
      </c>
      <c r="M1858">
        <v>8</v>
      </c>
      <c r="N1858">
        <v>302.82</v>
      </c>
      <c r="O1858">
        <v>76</v>
      </c>
      <c r="P1858">
        <v>76</v>
      </c>
      <c r="Q1858" t="s">
        <v>99</v>
      </c>
      <c r="R1858">
        <v>30</v>
      </c>
      <c r="S1858" s="19">
        <v>0.16666666666666666</v>
      </c>
      <c r="T1858">
        <v>0</v>
      </c>
      <c r="U1858" s="19"/>
      <c r="V1858" t="s">
        <v>99</v>
      </c>
      <c r="W1858">
        <v>7.5</v>
      </c>
      <c r="X1858" t="s">
        <v>102</v>
      </c>
      <c r="Y1858" t="b">
        <v>0</v>
      </c>
    </row>
    <row r="1859" spans="1:25" x14ac:dyDescent="0.55000000000000004">
      <c r="A1859" t="s">
        <v>94</v>
      </c>
      <c r="B1859" t="s">
        <v>428</v>
      </c>
      <c r="C1859" t="s">
        <v>292</v>
      </c>
      <c r="D1859" t="s">
        <v>174</v>
      </c>
      <c r="E1859" t="s">
        <v>222</v>
      </c>
      <c r="F1859" t="s">
        <v>99</v>
      </c>
      <c r="H1859" t="s">
        <v>99</v>
      </c>
      <c r="I1859">
        <v>1</v>
      </c>
      <c r="J1859" t="s">
        <v>107</v>
      </c>
      <c r="K1859" s="19">
        <v>0.625</v>
      </c>
      <c r="L1859" s="19">
        <v>0.97916666666666663</v>
      </c>
      <c r="M1859">
        <v>8.5</v>
      </c>
      <c r="N1859">
        <v>300.14999999999998</v>
      </c>
      <c r="O1859">
        <v>0</v>
      </c>
      <c r="P1859">
        <v>0</v>
      </c>
      <c r="Q1859" t="s">
        <v>99</v>
      </c>
      <c r="R1859">
        <v>30</v>
      </c>
      <c r="S1859" s="19">
        <v>0.8125</v>
      </c>
      <c r="T1859">
        <v>0</v>
      </c>
      <c r="U1859" s="19"/>
      <c r="V1859" t="s">
        <v>99</v>
      </c>
      <c r="W1859">
        <v>8</v>
      </c>
      <c r="X1859" t="s">
        <v>102</v>
      </c>
      <c r="Y1859" t="b">
        <v>0</v>
      </c>
    </row>
    <row r="1860" spans="1:25" x14ac:dyDescent="0.55000000000000004">
      <c r="A1860" t="s">
        <v>94</v>
      </c>
      <c r="B1860" t="s">
        <v>428</v>
      </c>
      <c r="C1860" t="s">
        <v>292</v>
      </c>
      <c r="D1860" t="s">
        <v>174</v>
      </c>
      <c r="E1860" t="s">
        <v>222</v>
      </c>
      <c r="F1860" t="s">
        <v>99</v>
      </c>
      <c r="H1860" t="s">
        <v>99</v>
      </c>
      <c r="I1860">
        <v>1</v>
      </c>
      <c r="J1860" t="s">
        <v>101</v>
      </c>
      <c r="K1860" s="19">
        <v>0.625</v>
      </c>
      <c r="L1860" s="19">
        <v>0.875</v>
      </c>
      <c r="M1860">
        <v>6</v>
      </c>
      <c r="N1860">
        <v>206.35</v>
      </c>
      <c r="O1860">
        <v>0</v>
      </c>
      <c r="P1860">
        <v>0</v>
      </c>
      <c r="Q1860" t="s">
        <v>99</v>
      </c>
      <c r="R1860">
        <v>30</v>
      </c>
      <c r="S1860" s="19">
        <v>0.8125</v>
      </c>
      <c r="T1860">
        <v>0</v>
      </c>
      <c r="U1860" s="19"/>
      <c r="V1860" t="s">
        <v>99</v>
      </c>
      <c r="W1860">
        <v>5.5</v>
      </c>
      <c r="X1860" t="s">
        <v>102</v>
      </c>
      <c r="Y1860" t="b">
        <v>0</v>
      </c>
    </row>
    <row r="1861" spans="1:25" x14ac:dyDescent="0.55000000000000004">
      <c r="A1861" t="s">
        <v>94</v>
      </c>
      <c r="B1861" t="s">
        <v>428</v>
      </c>
      <c r="C1861" t="s">
        <v>292</v>
      </c>
      <c r="D1861" t="s">
        <v>174</v>
      </c>
      <c r="E1861" t="s">
        <v>222</v>
      </c>
      <c r="F1861" t="s">
        <v>99</v>
      </c>
      <c r="H1861" t="s">
        <v>99</v>
      </c>
      <c r="I1861">
        <v>1</v>
      </c>
      <c r="J1861" t="s">
        <v>115</v>
      </c>
      <c r="K1861" s="19">
        <v>0.625</v>
      </c>
      <c r="L1861" s="19">
        <v>0.875</v>
      </c>
      <c r="M1861">
        <v>6</v>
      </c>
      <c r="N1861">
        <v>275.14</v>
      </c>
      <c r="O1861">
        <v>0</v>
      </c>
      <c r="P1861">
        <v>0</v>
      </c>
      <c r="Q1861" t="s">
        <v>99</v>
      </c>
      <c r="R1861">
        <v>30</v>
      </c>
      <c r="S1861" s="19">
        <v>0.8125</v>
      </c>
      <c r="T1861">
        <v>0</v>
      </c>
      <c r="U1861" s="19"/>
      <c r="V1861" t="s">
        <v>99</v>
      </c>
      <c r="W1861">
        <v>5.5</v>
      </c>
      <c r="X1861" t="s">
        <v>102</v>
      </c>
      <c r="Y1861" t="b">
        <v>0</v>
      </c>
    </row>
    <row r="1862" spans="1:25" x14ac:dyDescent="0.55000000000000004">
      <c r="A1862" t="s">
        <v>94</v>
      </c>
      <c r="B1862" t="s">
        <v>428</v>
      </c>
      <c r="C1862" t="s">
        <v>292</v>
      </c>
      <c r="D1862" t="s">
        <v>174</v>
      </c>
      <c r="E1862" t="s">
        <v>222</v>
      </c>
      <c r="F1862" t="s">
        <v>99</v>
      </c>
      <c r="H1862" t="s">
        <v>99</v>
      </c>
      <c r="I1862">
        <v>1</v>
      </c>
      <c r="J1862" t="s">
        <v>115</v>
      </c>
      <c r="K1862" s="19">
        <v>0.625</v>
      </c>
      <c r="L1862" s="19">
        <v>0.875</v>
      </c>
      <c r="M1862">
        <v>6</v>
      </c>
      <c r="N1862">
        <v>258.56</v>
      </c>
      <c r="O1862">
        <v>0</v>
      </c>
      <c r="P1862">
        <v>0</v>
      </c>
      <c r="Q1862" t="s">
        <v>99</v>
      </c>
      <c r="R1862">
        <v>30</v>
      </c>
      <c r="S1862" s="19">
        <v>0.85416666666666663</v>
      </c>
      <c r="T1862">
        <v>0</v>
      </c>
      <c r="U1862" s="19"/>
      <c r="V1862" t="s">
        <v>99</v>
      </c>
      <c r="W1862">
        <v>5.5</v>
      </c>
      <c r="X1862" t="s">
        <v>102</v>
      </c>
      <c r="Y1862" t="b">
        <v>0</v>
      </c>
    </row>
    <row r="1863" spans="1:25" x14ac:dyDescent="0.55000000000000004">
      <c r="A1863" t="s">
        <v>94</v>
      </c>
      <c r="B1863" t="s">
        <v>428</v>
      </c>
      <c r="C1863" t="s">
        <v>292</v>
      </c>
      <c r="D1863" t="s">
        <v>174</v>
      </c>
      <c r="E1863" t="s">
        <v>222</v>
      </c>
      <c r="F1863" t="s">
        <v>99</v>
      </c>
      <c r="H1863" t="s">
        <v>99</v>
      </c>
      <c r="I1863">
        <v>1</v>
      </c>
      <c r="J1863" t="s">
        <v>115</v>
      </c>
      <c r="K1863" s="19">
        <v>0.625</v>
      </c>
      <c r="L1863" s="19">
        <v>0.97916666666666663</v>
      </c>
      <c r="M1863">
        <v>8.5</v>
      </c>
      <c r="N1863">
        <v>400.2</v>
      </c>
      <c r="O1863">
        <v>0</v>
      </c>
      <c r="P1863">
        <v>0</v>
      </c>
      <c r="Q1863" t="s">
        <v>99</v>
      </c>
      <c r="R1863">
        <v>30</v>
      </c>
      <c r="S1863" s="19">
        <v>0.8125</v>
      </c>
      <c r="T1863">
        <v>0</v>
      </c>
      <c r="U1863" s="19"/>
      <c r="V1863" t="s">
        <v>99</v>
      </c>
      <c r="W1863">
        <v>8</v>
      </c>
      <c r="X1863" t="s">
        <v>102</v>
      </c>
      <c r="Y1863" t="b">
        <v>0</v>
      </c>
    </row>
    <row r="1864" spans="1:25" x14ac:dyDescent="0.55000000000000004">
      <c r="A1864" t="s">
        <v>94</v>
      </c>
      <c r="B1864" t="s">
        <v>428</v>
      </c>
      <c r="C1864" t="s">
        <v>292</v>
      </c>
      <c r="D1864" t="s">
        <v>174</v>
      </c>
      <c r="E1864" t="s">
        <v>222</v>
      </c>
      <c r="F1864" t="s">
        <v>99</v>
      </c>
      <c r="H1864" t="s">
        <v>99</v>
      </c>
      <c r="I1864">
        <v>1</v>
      </c>
      <c r="J1864" t="s">
        <v>116</v>
      </c>
      <c r="K1864" s="19">
        <v>0.625</v>
      </c>
      <c r="L1864" s="19">
        <v>0.875</v>
      </c>
      <c r="M1864">
        <v>6</v>
      </c>
      <c r="N1864">
        <v>320.99</v>
      </c>
      <c r="O1864">
        <v>0</v>
      </c>
      <c r="P1864">
        <v>0</v>
      </c>
      <c r="Q1864" t="s">
        <v>99</v>
      </c>
      <c r="R1864">
        <v>30</v>
      </c>
      <c r="S1864" s="19">
        <v>0.8125</v>
      </c>
      <c r="T1864">
        <v>0</v>
      </c>
      <c r="U1864" s="19"/>
      <c r="V1864" t="s">
        <v>99</v>
      </c>
      <c r="W1864">
        <v>5.5</v>
      </c>
      <c r="X1864" t="s">
        <v>102</v>
      </c>
      <c r="Y1864" t="b">
        <v>0</v>
      </c>
    </row>
    <row r="1865" spans="1:25" x14ac:dyDescent="0.55000000000000004">
      <c r="A1865" t="s">
        <v>94</v>
      </c>
      <c r="B1865" t="s">
        <v>428</v>
      </c>
      <c r="C1865" t="s">
        <v>292</v>
      </c>
      <c r="D1865" t="s">
        <v>174</v>
      </c>
      <c r="E1865" t="s">
        <v>222</v>
      </c>
      <c r="F1865" t="s">
        <v>99</v>
      </c>
      <c r="H1865" t="s">
        <v>99</v>
      </c>
      <c r="I1865">
        <v>1</v>
      </c>
      <c r="J1865" t="s">
        <v>116</v>
      </c>
      <c r="K1865" s="19">
        <v>0.625</v>
      </c>
      <c r="L1865" s="19">
        <v>0.875</v>
      </c>
      <c r="M1865">
        <v>6</v>
      </c>
      <c r="N1865">
        <v>313.87</v>
      </c>
      <c r="O1865">
        <v>0</v>
      </c>
      <c r="P1865">
        <v>0</v>
      </c>
      <c r="Q1865" t="s">
        <v>99</v>
      </c>
      <c r="R1865">
        <v>30</v>
      </c>
      <c r="S1865" s="19">
        <v>0.85416666666666663</v>
      </c>
      <c r="T1865">
        <v>0</v>
      </c>
      <c r="U1865" s="19"/>
      <c r="V1865" t="s">
        <v>99</v>
      </c>
      <c r="W1865">
        <v>5.5</v>
      </c>
      <c r="X1865" t="s">
        <v>102</v>
      </c>
      <c r="Y1865" t="b">
        <v>0</v>
      </c>
    </row>
    <row r="1866" spans="1:25" x14ac:dyDescent="0.55000000000000004">
      <c r="A1866" t="s">
        <v>94</v>
      </c>
      <c r="B1866" t="s">
        <v>428</v>
      </c>
      <c r="C1866" t="s">
        <v>292</v>
      </c>
      <c r="D1866" t="s">
        <v>174</v>
      </c>
      <c r="E1866" t="s">
        <v>222</v>
      </c>
      <c r="F1866" t="s">
        <v>99</v>
      </c>
      <c r="H1866" t="s">
        <v>99</v>
      </c>
      <c r="I1866">
        <v>1</v>
      </c>
      <c r="J1866" t="s">
        <v>116</v>
      </c>
      <c r="K1866" s="19">
        <v>0.625</v>
      </c>
      <c r="L1866" s="19">
        <v>0.97916666666666663</v>
      </c>
      <c r="M1866">
        <v>8.5</v>
      </c>
      <c r="N1866">
        <v>466.9</v>
      </c>
      <c r="O1866">
        <v>0</v>
      </c>
      <c r="P1866">
        <v>0</v>
      </c>
      <c r="Q1866" t="s">
        <v>99</v>
      </c>
      <c r="R1866">
        <v>30</v>
      </c>
      <c r="S1866" s="19">
        <v>0.8125</v>
      </c>
      <c r="T1866">
        <v>0</v>
      </c>
      <c r="U1866" s="19"/>
      <c r="V1866" t="s">
        <v>99</v>
      </c>
      <c r="W1866">
        <v>8</v>
      </c>
      <c r="X1866" t="s">
        <v>102</v>
      </c>
      <c r="Y1866" t="b">
        <v>0</v>
      </c>
    </row>
    <row r="1867" spans="1:25" x14ac:dyDescent="0.55000000000000004">
      <c r="A1867" t="s">
        <v>94</v>
      </c>
      <c r="B1867" t="s">
        <v>428</v>
      </c>
      <c r="C1867" t="s">
        <v>292</v>
      </c>
      <c r="D1867" t="s">
        <v>174</v>
      </c>
      <c r="E1867" t="s">
        <v>222</v>
      </c>
      <c r="F1867" t="s">
        <v>99</v>
      </c>
      <c r="H1867" t="s">
        <v>99</v>
      </c>
      <c r="I1867">
        <v>1</v>
      </c>
      <c r="J1867" t="s">
        <v>104</v>
      </c>
      <c r="K1867" s="19">
        <v>0.625</v>
      </c>
      <c r="L1867" s="19">
        <v>0.875</v>
      </c>
      <c r="M1867">
        <v>6</v>
      </c>
      <c r="N1867">
        <v>193.92</v>
      </c>
      <c r="O1867">
        <v>0</v>
      </c>
      <c r="P1867">
        <v>0</v>
      </c>
      <c r="Q1867" t="s">
        <v>99</v>
      </c>
      <c r="R1867">
        <v>30</v>
      </c>
      <c r="S1867" s="19">
        <v>0.85416666666666663</v>
      </c>
      <c r="T1867">
        <v>0</v>
      </c>
      <c r="U1867" s="19"/>
      <c r="V1867" t="s">
        <v>99</v>
      </c>
      <c r="W1867">
        <v>5.5</v>
      </c>
      <c r="X1867" t="s">
        <v>102</v>
      </c>
      <c r="Y1867" t="b">
        <v>0</v>
      </c>
    </row>
    <row r="1868" spans="1:25" x14ac:dyDescent="0.55000000000000004">
      <c r="A1868" t="s">
        <v>94</v>
      </c>
      <c r="B1868" t="s">
        <v>428</v>
      </c>
      <c r="C1868" t="s">
        <v>292</v>
      </c>
      <c r="D1868" t="s">
        <v>174</v>
      </c>
      <c r="E1868" t="s">
        <v>222</v>
      </c>
      <c r="F1868" t="s">
        <v>99</v>
      </c>
      <c r="H1868" t="s">
        <v>99</v>
      </c>
      <c r="I1868">
        <v>1</v>
      </c>
      <c r="J1868" t="s">
        <v>105</v>
      </c>
      <c r="K1868" s="19">
        <v>0.625</v>
      </c>
      <c r="L1868" s="19">
        <v>0.97916666666666663</v>
      </c>
      <c r="M1868">
        <v>8.5</v>
      </c>
      <c r="N1868">
        <v>300.14999999999998</v>
      </c>
      <c r="O1868">
        <v>0</v>
      </c>
      <c r="P1868">
        <v>0</v>
      </c>
      <c r="Q1868" t="s">
        <v>99</v>
      </c>
      <c r="R1868">
        <v>30</v>
      </c>
      <c r="S1868" s="19">
        <v>0.8125</v>
      </c>
      <c r="T1868">
        <v>0</v>
      </c>
      <c r="U1868" s="19"/>
      <c r="V1868" t="s">
        <v>99</v>
      </c>
      <c r="W1868">
        <v>8</v>
      </c>
      <c r="X1868" t="s">
        <v>102</v>
      </c>
      <c r="Y1868" t="b">
        <v>0</v>
      </c>
    </row>
    <row r="1869" spans="1:25" x14ac:dyDescent="0.55000000000000004">
      <c r="A1869" t="s">
        <v>94</v>
      </c>
      <c r="B1869" t="s">
        <v>428</v>
      </c>
      <c r="C1869" t="s">
        <v>292</v>
      </c>
      <c r="D1869" t="s">
        <v>174</v>
      </c>
      <c r="E1869" t="s">
        <v>222</v>
      </c>
      <c r="F1869" t="s">
        <v>99</v>
      </c>
      <c r="H1869" t="s">
        <v>99</v>
      </c>
      <c r="I1869">
        <v>2</v>
      </c>
      <c r="J1869" t="s">
        <v>107</v>
      </c>
      <c r="K1869" s="19">
        <v>0.625</v>
      </c>
      <c r="L1869" s="19">
        <v>0.875</v>
      </c>
      <c r="M1869">
        <v>6</v>
      </c>
      <c r="N1869">
        <v>206.35</v>
      </c>
      <c r="O1869">
        <v>0</v>
      </c>
      <c r="P1869">
        <v>0</v>
      </c>
      <c r="Q1869" t="s">
        <v>99</v>
      </c>
      <c r="R1869">
        <v>30</v>
      </c>
      <c r="S1869" s="19">
        <v>0.83333333333333337</v>
      </c>
      <c r="T1869">
        <v>0</v>
      </c>
      <c r="U1869" s="19"/>
      <c r="V1869" t="s">
        <v>99</v>
      </c>
      <c r="W1869">
        <v>5.5</v>
      </c>
      <c r="X1869" t="s">
        <v>102</v>
      </c>
      <c r="Y1869" t="b">
        <v>0</v>
      </c>
    </row>
    <row r="1870" spans="1:25" x14ac:dyDescent="0.55000000000000004">
      <c r="A1870" t="s">
        <v>94</v>
      </c>
      <c r="B1870" t="s">
        <v>428</v>
      </c>
      <c r="C1870" t="s">
        <v>292</v>
      </c>
      <c r="D1870" t="s">
        <v>174</v>
      </c>
      <c r="E1870" t="s">
        <v>222</v>
      </c>
      <c r="F1870" t="s">
        <v>99</v>
      </c>
      <c r="H1870" t="s">
        <v>99</v>
      </c>
      <c r="I1870">
        <v>2</v>
      </c>
      <c r="J1870" t="s">
        <v>107</v>
      </c>
      <c r="K1870" s="19">
        <v>0.625</v>
      </c>
      <c r="L1870" s="19">
        <v>0.97916666666666663</v>
      </c>
      <c r="M1870">
        <v>8.5</v>
      </c>
      <c r="N1870">
        <v>300.14999999999998</v>
      </c>
      <c r="O1870">
        <v>0</v>
      </c>
      <c r="P1870">
        <v>0</v>
      </c>
      <c r="Q1870" t="s">
        <v>99</v>
      </c>
      <c r="R1870">
        <v>30</v>
      </c>
      <c r="S1870" s="19">
        <v>0.8125</v>
      </c>
      <c r="T1870">
        <v>0</v>
      </c>
      <c r="U1870" s="19"/>
      <c r="V1870" t="s">
        <v>99</v>
      </c>
      <c r="W1870">
        <v>8</v>
      </c>
      <c r="X1870" t="s">
        <v>102</v>
      </c>
      <c r="Y1870" t="b">
        <v>0</v>
      </c>
    </row>
    <row r="1871" spans="1:25" x14ac:dyDescent="0.55000000000000004">
      <c r="A1871" t="s">
        <v>94</v>
      </c>
      <c r="B1871" t="s">
        <v>428</v>
      </c>
      <c r="C1871" t="s">
        <v>292</v>
      </c>
      <c r="D1871" t="s">
        <v>174</v>
      </c>
      <c r="E1871" t="s">
        <v>222</v>
      </c>
      <c r="F1871" t="s">
        <v>99</v>
      </c>
      <c r="H1871" t="s">
        <v>99</v>
      </c>
      <c r="I1871">
        <v>2</v>
      </c>
      <c r="J1871" t="s">
        <v>101</v>
      </c>
      <c r="K1871" s="19">
        <v>0.60416666666666663</v>
      </c>
      <c r="L1871" s="19">
        <v>0.95833333333333337</v>
      </c>
      <c r="M1871">
        <v>8.5</v>
      </c>
      <c r="N1871">
        <v>282.06</v>
      </c>
      <c r="O1871">
        <v>0</v>
      </c>
      <c r="P1871">
        <v>0</v>
      </c>
      <c r="Q1871" t="s">
        <v>99</v>
      </c>
      <c r="R1871">
        <v>30</v>
      </c>
      <c r="S1871" s="19">
        <v>0.8125</v>
      </c>
      <c r="T1871">
        <v>0</v>
      </c>
      <c r="U1871" s="19"/>
      <c r="V1871" t="s">
        <v>99</v>
      </c>
      <c r="W1871">
        <v>8</v>
      </c>
      <c r="X1871" t="s">
        <v>102</v>
      </c>
      <c r="Y1871" t="b">
        <v>0</v>
      </c>
    </row>
    <row r="1872" spans="1:25" x14ac:dyDescent="0.55000000000000004">
      <c r="A1872" t="s">
        <v>94</v>
      </c>
      <c r="B1872" t="s">
        <v>428</v>
      </c>
      <c r="C1872" t="s">
        <v>292</v>
      </c>
      <c r="D1872" t="s">
        <v>174</v>
      </c>
      <c r="E1872" t="s">
        <v>222</v>
      </c>
      <c r="F1872" t="s">
        <v>99</v>
      </c>
      <c r="H1872" t="s">
        <v>99</v>
      </c>
      <c r="I1872">
        <v>2</v>
      </c>
      <c r="J1872" t="s">
        <v>101</v>
      </c>
      <c r="K1872" s="19">
        <v>0.625</v>
      </c>
      <c r="L1872" s="19">
        <v>0.875</v>
      </c>
      <c r="M1872">
        <v>6</v>
      </c>
      <c r="N1872">
        <v>201.77</v>
      </c>
      <c r="O1872">
        <v>0</v>
      </c>
      <c r="P1872">
        <v>0</v>
      </c>
      <c r="Q1872" t="s">
        <v>99</v>
      </c>
      <c r="R1872">
        <v>30</v>
      </c>
      <c r="S1872" s="19">
        <v>0.85416666666666663</v>
      </c>
      <c r="T1872">
        <v>0</v>
      </c>
      <c r="U1872" s="19"/>
      <c r="V1872" t="s">
        <v>99</v>
      </c>
      <c r="W1872">
        <v>5.5</v>
      </c>
      <c r="X1872" t="s">
        <v>102</v>
      </c>
      <c r="Y1872" t="b">
        <v>0</v>
      </c>
    </row>
    <row r="1873" spans="1:25" x14ac:dyDescent="0.55000000000000004">
      <c r="A1873" t="s">
        <v>94</v>
      </c>
      <c r="B1873" t="s">
        <v>428</v>
      </c>
      <c r="C1873" t="s">
        <v>292</v>
      </c>
      <c r="D1873" t="s">
        <v>174</v>
      </c>
      <c r="E1873" t="s">
        <v>222</v>
      </c>
      <c r="F1873" t="s">
        <v>99</v>
      </c>
      <c r="H1873" t="s">
        <v>99</v>
      </c>
      <c r="I1873">
        <v>2</v>
      </c>
      <c r="J1873" t="s">
        <v>101</v>
      </c>
      <c r="K1873" s="19">
        <v>0.625</v>
      </c>
      <c r="L1873" s="19">
        <v>0.97916666666666663</v>
      </c>
      <c r="M1873">
        <v>8.5</v>
      </c>
      <c r="N1873">
        <v>300.14999999999998</v>
      </c>
      <c r="O1873">
        <v>0</v>
      </c>
      <c r="P1873">
        <v>0</v>
      </c>
      <c r="Q1873" t="s">
        <v>99</v>
      </c>
      <c r="R1873">
        <v>30</v>
      </c>
      <c r="S1873" s="19">
        <v>0.8125</v>
      </c>
      <c r="T1873">
        <v>0</v>
      </c>
      <c r="U1873" s="19"/>
      <c r="V1873" t="s">
        <v>99</v>
      </c>
      <c r="W1873">
        <v>8</v>
      </c>
      <c r="X1873" t="s">
        <v>102</v>
      </c>
      <c r="Y1873" t="b">
        <v>0</v>
      </c>
    </row>
    <row r="1874" spans="1:25" x14ac:dyDescent="0.55000000000000004">
      <c r="A1874" t="s">
        <v>94</v>
      </c>
      <c r="B1874" t="s">
        <v>428</v>
      </c>
      <c r="C1874" t="s">
        <v>292</v>
      </c>
      <c r="D1874" t="s">
        <v>174</v>
      </c>
      <c r="E1874" t="s">
        <v>222</v>
      </c>
      <c r="F1874" t="s">
        <v>99</v>
      </c>
      <c r="H1874" t="s">
        <v>99</v>
      </c>
      <c r="I1874">
        <v>2</v>
      </c>
      <c r="J1874" t="s">
        <v>115</v>
      </c>
      <c r="K1874" s="19">
        <v>0.625</v>
      </c>
      <c r="L1874" s="19">
        <v>0.875</v>
      </c>
      <c r="M1874">
        <v>6</v>
      </c>
      <c r="N1874">
        <v>269.02999999999997</v>
      </c>
      <c r="O1874">
        <v>0</v>
      </c>
      <c r="P1874">
        <v>0</v>
      </c>
      <c r="Q1874" t="s">
        <v>99</v>
      </c>
      <c r="R1874">
        <v>30</v>
      </c>
      <c r="S1874" s="19">
        <v>0.83333333333333337</v>
      </c>
      <c r="T1874">
        <v>0</v>
      </c>
      <c r="U1874" s="19"/>
      <c r="V1874" t="s">
        <v>99</v>
      </c>
      <c r="W1874">
        <v>5.5</v>
      </c>
      <c r="X1874" t="s">
        <v>102</v>
      </c>
      <c r="Y1874" t="b">
        <v>0</v>
      </c>
    </row>
    <row r="1875" spans="1:25" x14ac:dyDescent="0.55000000000000004">
      <c r="A1875" t="s">
        <v>94</v>
      </c>
      <c r="B1875" t="s">
        <v>428</v>
      </c>
      <c r="C1875" t="s">
        <v>292</v>
      </c>
      <c r="D1875" t="s">
        <v>174</v>
      </c>
      <c r="E1875" t="s">
        <v>222</v>
      </c>
      <c r="F1875" t="s">
        <v>99</v>
      </c>
      <c r="H1875" t="s">
        <v>99</v>
      </c>
      <c r="I1875">
        <v>2</v>
      </c>
      <c r="J1875" t="s">
        <v>115</v>
      </c>
      <c r="K1875" s="19">
        <v>0.625</v>
      </c>
      <c r="L1875" s="19">
        <v>0.97916666666666663</v>
      </c>
      <c r="M1875">
        <v>8.5</v>
      </c>
      <c r="N1875">
        <v>400.2</v>
      </c>
      <c r="O1875">
        <v>0</v>
      </c>
      <c r="P1875">
        <v>0</v>
      </c>
      <c r="Q1875" t="s">
        <v>99</v>
      </c>
      <c r="R1875">
        <v>30</v>
      </c>
      <c r="S1875" s="19">
        <v>0.8125</v>
      </c>
      <c r="T1875">
        <v>0</v>
      </c>
      <c r="U1875" s="19"/>
      <c r="V1875" t="s">
        <v>99</v>
      </c>
      <c r="W1875">
        <v>8</v>
      </c>
      <c r="X1875" t="s">
        <v>102</v>
      </c>
      <c r="Y1875" t="b">
        <v>0</v>
      </c>
    </row>
    <row r="1876" spans="1:25" x14ac:dyDescent="0.55000000000000004">
      <c r="A1876" t="s">
        <v>94</v>
      </c>
      <c r="B1876" t="s">
        <v>428</v>
      </c>
      <c r="C1876" t="s">
        <v>292</v>
      </c>
      <c r="D1876" t="s">
        <v>174</v>
      </c>
      <c r="E1876" t="s">
        <v>222</v>
      </c>
      <c r="F1876" t="s">
        <v>99</v>
      </c>
      <c r="H1876" t="s">
        <v>99</v>
      </c>
      <c r="I1876">
        <v>2</v>
      </c>
      <c r="J1876" t="s">
        <v>103</v>
      </c>
      <c r="K1876" s="19">
        <v>0.60416666666666663</v>
      </c>
      <c r="L1876" s="19">
        <v>0.95833333333333337</v>
      </c>
      <c r="M1876">
        <v>8.5</v>
      </c>
      <c r="N1876">
        <v>300.14999999999998</v>
      </c>
      <c r="O1876">
        <v>0</v>
      </c>
      <c r="P1876">
        <v>0</v>
      </c>
      <c r="Q1876" t="s">
        <v>99</v>
      </c>
      <c r="R1876">
        <v>30</v>
      </c>
      <c r="S1876" s="19">
        <v>0.8125</v>
      </c>
      <c r="T1876">
        <v>0</v>
      </c>
      <c r="U1876" s="19"/>
      <c r="V1876" t="s">
        <v>99</v>
      </c>
      <c r="W1876">
        <v>8</v>
      </c>
      <c r="X1876" t="s">
        <v>102</v>
      </c>
      <c r="Y1876" t="b">
        <v>0</v>
      </c>
    </row>
    <row r="1877" spans="1:25" x14ac:dyDescent="0.55000000000000004">
      <c r="A1877" t="s">
        <v>94</v>
      </c>
      <c r="B1877" t="s">
        <v>428</v>
      </c>
      <c r="C1877" t="s">
        <v>292</v>
      </c>
      <c r="D1877" t="s">
        <v>174</v>
      </c>
      <c r="E1877" t="s">
        <v>222</v>
      </c>
      <c r="F1877" t="s">
        <v>99</v>
      </c>
      <c r="H1877" t="s">
        <v>99</v>
      </c>
      <c r="I1877">
        <v>2</v>
      </c>
      <c r="J1877" t="s">
        <v>104</v>
      </c>
      <c r="K1877" s="19">
        <v>0.60416666666666663</v>
      </c>
      <c r="L1877" s="19">
        <v>0.95833333333333337</v>
      </c>
      <c r="M1877">
        <v>8.5</v>
      </c>
      <c r="N1877">
        <v>282.06</v>
      </c>
      <c r="O1877">
        <v>0</v>
      </c>
      <c r="P1877">
        <v>0</v>
      </c>
      <c r="Q1877" t="s">
        <v>99</v>
      </c>
      <c r="R1877">
        <v>30</v>
      </c>
      <c r="S1877" s="19">
        <v>0.8125</v>
      </c>
      <c r="T1877">
        <v>0</v>
      </c>
      <c r="U1877" s="19"/>
      <c r="V1877" t="s">
        <v>99</v>
      </c>
      <c r="W1877">
        <v>8</v>
      </c>
      <c r="X1877" t="s">
        <v>102</v>
      </c>
      <c r="Y1877" t="b">
        <v>0</v>
      </c>
    </row>
    <row r="1878" spans="1:25" x14ac:dyDescent="0.55000000000000004">
      <c r="A1878" t="s">
        <v>94</v>
      </c>
      <c r="B1878" t="s">
        <v>428</v>
      </c>
      <c r="C1878" t="s">
        <v>292</v>
      </c>
      <c r="D1878" t="s">
        <v>174</v>
      </c>
      <c r="E1878" t="s">
        <v>222</v>
      </c>
      <c r="F1878" t="s">
        <v>99</v>
      </c>
      <c r="H1878" t="s">
        <v>99</v>
      </c>
      <c r="I1878">
        <v>2</v>
      </c>
      <c r="J1878" t="s">
        <v>104</v>
      </c>
      <c r="K1878" s="19">
        <v>0.625</v>
      </c>
      <c r="L1878" s="19">
        <v>0.875</v>
      </c>
      <c r="M1878">
        <v>6</v>
      </c>
      <c r="N1878">
        <v>193.92</v>
      </c>
      <c r="O1878">
        <v>0</v>
      </c>
      <c r="P1878">
        <v>0</v>
      </c>
      <c r="Q1878" t="s">
        <v>99</v>
      </c>
      <c r="R1878">
        <v>30</v>
      </c>
      <c r="S1878" s="19">
        <v>0.85416666666666663</v>
      </c>
      <c r="T1878">
        <v>0</v>
      </c>
      <c r="U1878" s="19"/>
      <c r="V1878" t="s">
        <v>99</v>
      </c>
      <c r="W1878">
        <v>5.5</v>
      </c>
      <c r="X1878" t="s">
        <v>102</v>
      </c>
      <c r="Y1878" t="b">
        <v>0</v>
      </c>
    </row>
    <row r="1879" spans="1:25" x14ac:dyDescent="0.55000000000000004">
      <c r="A1879" t="s">
        <v>94</v>
      </c>
      <c r="B1879" t="s">
        <v>428</v>
      </c>
      <c r="C1879" t="s">
        <v>292</v>
      </c>
      <c r="D1879" t="s">
        <v>174</v>
      </c>
      <c r="E1879" t="s">
        <v>222</v>
      </c>
      <c r="F1879" t="s">
        <v>99</v>
      </c>
      <c r="G1879">
        <v>15718</v>
      </c>
      <c r="H1879" t="s">
        <v>437</v>
      </c>
      <c r="I1879">
        <v>1</v>
      </c>
      <c r="J1879" t="s">
        <v>103</v>
      </c>
      <c r="K1879" s="19">
        <v>0.625</v>
      </c>
      <c r="L1879" s="19">
        <v>0.875</v>
      </c>
      <c r="M1879">
        <v>6</v>
      </c>
      <c r="N1879">
        <v>217.24</v>
      </c>
      <c r="O1879">
        <v>64</v>
      </c>
      <c r="P1879">
        <v>76</v>
      </c>
      <c r="Q1879" t="s">
        <v>99</v>
      </c>
      <c r="R1879">
        <v>30</v>
      </c>
      <c r="S1879" s="19">
        <v>0.8125</v>
      </c>
      <c r="T1879">
        <v>0</v>
      </c>
      <c r="U1879" s="19"/>
      <c r="V1879" t="s">
        <v>99</v>
      </c>
      <c r="W1879">
        <v>5.5</v>
      </c>
      <c r="X1879" t="s">
        <v>102</v>
      </c>
      <c r="Y1879" t="b">
        <v>0</v>
      </c>
    </row>
    <row r="1880" spans="1:25" x14ac:dyDescent="0.55000000000000004">
      <c r="A1880" t="s">
        <v>94</v>
      </c>
      <c r="B1880" t="s">
        <v>428</v>
      </c>
      <c r="C1880" t="s">
        <v>292</v>
      </c>
      <c r="D1880" t="s">
        <v>174</v>
      </c>
      <c r="E1880" t="s">
        <v>222</v>
      </c>
      <c r="F1880" t="s">
        <v>99</v>
      </c>
      <c r="G1880">
        <v>15718</v>
      </c>
      <c r="H1880" t="s">
        <v>437</v>
      </c>
      <c r="I1880">
        <v>1</v>
      </c>
      <c r="J1880" t="s">
        <v>105</v>
      </c>
      <c r="K1880" s="19">
        <v>0.625</v>
      </c>
      <c r="L1880" s="19">
        <v>0.875</v>
      </c>
      <c r="M1880">
        <v>6</v>
      </c>
      <c r="N1880">
        <v>217.24</v>
      </c>
      <c r="O1880">
        <v>64</v>
      </c>
      <c r="P1880">
        <v>76</v>
      </c>
      <c r="Q1880" t="s">
        <v>99</v>
      </c>
      <c r="R1880">
        <v>30</v>
      </c>
      <c r="S1880" s="19">
        <v>0.8125</v>
      </c>
      <c r="T1880">
        <v>0</v>
      </c>
      <c r="U1880" s="19"/>
      <c r="V1880" t="s">
        <v>99</v>
      </c>
      <c r="W1880">
        <v>5.5</v>
      </c>
      <c r="X1880" t="s">
        <v>102</v>
      </c>
      <c r="Y1880" t="b">
        <v>0</v>
      </c>
    </row>
    <row r="1881" spans="1:25" x14ac:dyDescent="0.55000000000000004">
      <c r="A1881" t="s">
        <v>94</v>
      </c>
      <c r="B1881" t="s">
        <v>428</v>
      </c>
      <c r="C1881" t="s">
        <v>292</v>
      </c>
      <c r="D1881" t="s">
        <v>174</v>
      </c>
      <c r="E1881" t="s">
        <v>222</v>
      </c>
      <c r="F1881" t="s">
        <v>99</v>
      </c>
      <c r="G1881">
        <v>15718</v>
      </c>
      <c r="H1881" t="s">
        <v>437</v>
      </c>
      <c r="I1881">
        <v>2</v>
      </c>
      <c r="J1881" t="s">
        <v>105</v>
      </c>
      <c r="K1881" s="19">
        <v>0.625</v>
      </c>
      <c r="L1881" s="19">
        <v>0.875</v>
      </c>
      <c r="M1881">
        <v>6</v>
      </c>
      <c r="N1881">
        <v>217.24</v>
      </c>
      <c r="O1881">
        <v>64</v>
      </c>
      <c r="P1881">
        <v>76</v>
      </c>
      <c r="Q1881" t="s">
        <v>99</v>
      </c>
      <c r="R1881">
        <v>30</v>
      </c>
      <c r="S1881" s="19">
        <v>0.83333333333333337</v>
      </c>
      <c r="T1881">
        <v>0</v>
      </c>
      <c r="U1881" s="19"/>
      <c r="V1881" t="s">
        <v>99</v>
      </c>
      <c r="W1881">
        <v>5.5</v>
      </c>
      <c r="X1881" t="s">
        <v>102</v>
      </c>
      <c r="Y1881" t="b">
        <v>0</v>
      </c>
    </row>
    <row r="1882" spans="1:25" x14ac:dyDescent="0.55000000000000004">
      <c r="A1882" t="s">
        <v>94</v>
      </c>
      <c r="B1882" t="s">
        <v>428</v>
      </c>
      <c r="C1882" t="s">
        <v>292</v>
      </c>
      <c r="D1882" t="s">
        <v>174</v>
      </c>
      <c r="E1882" t="s">
        <v>222</v>
      </c>
      <c r="F1882" t="s">
        <v>99</v>
      </c>
      <c r="G1882">
        <v>15933</v>
      </c>
      <c r="H1882" t="s">
        <v>439</v>
      </c>
      <c r="I1882">
        <v>1</v>
      </c>
      <c r="J1882" t="s">
        <v>101</v>
      </c>
      <c r="K1882" s="19">
        <v>0.625</v>
      </c>
      <c r="L1882" s="19">
        <v>0.875</v>
      </c>
      <c r="M1882">
        <v>6</v>
      </c>
      <c r="N1882">
        <v>217.24</v>
      </c>
      <c r="O1882">
        <v>40</v>
      </c>
      <c r="P1882">
        <v>76</v>
      </c>
      <c r="Q1882" t="s">
        <v>99</v>
      </c>
      <c r="R1882">
        <v>30</v>
      </c>
      <c r="S1882" s="19">
        <v>0.8125</v>
      </c>
      <c r="T1882">
        <v>0</v>
      </c>
      <c r="U1882" s="19"/>
      <c r="V1882" t="s">
        <v>99</v>
      </c>
      <c r="W1882">
        <v>5.5</v>
      </c>
      <c r="X1882" t="s">
        <v>102</v>
      </c>
      <c r="Y1882" t="b">
        <v>0</v>
      </c>
    </row>
    <row r="1883" spans="1:25" x14ac:dyDescent="0.55000000000000004">
      <c r="A1883" t="s">
        <v>94</v>
      </c>
      <c r="B1883" t="s">
        <v>428</v>
      </c>
      <c r="C1883" t="s">
        <v>292</v>
      </c>
      <c r="D1883" t="s">
        <v>174</v>
      </c>
      <c r="E1883" t="s">
        <v>222</v>
      </c>
      <c r="F1883" t="s">
        <v>99</v>
      </c>
      <c r="G1883">
        <v>15933</v>
      </c>
      <c r="H1883" t="s">
        <v>439</v>
      </c>
      <c r="I1883">
        <v>1</v>
      </c>
      <c r="J1883" t="s">
        <v>103</v>
      </c>
      <c r="K1883" s="19">
        <v>0.625</v>
      </c>
      <c r="L1883" s="19">
        <v>0.875</v>
      </c>
      <c r="M1883">
        <v>6</v>
      </c>
      <c r="N1883">
        <v>217.24</v>
      </c>
      <c r="O1883">
        <v>40</v>
      </c>
      <c r="P1883">
        <v>76</v>
      </c>
      <c r="Q1883" t="s">
        <v>99</v>
      </c>
      <c r="R1883">
        <v>30</v>
      </c>
      <c r="S1883" s="19">
        <v>0.83333333333333337</v>
      </c>
      <c r="T1883">
        <v>0</v>
      </c>
      <c r="U1883" s="19"/>
      <c r="V1883" t="s">
        <v>99</v>
      </c>
      <c r="W1883">
        <v>5.5</v>
      </c>
      <c r="X1883" t="s">
        <v>102</v>
      </c>
      <c r="Y1883" t="b">
        <v>0</v>
      </c>
    </row>
    <row r="1884" spans="1:25" x14ac:dyDescent="0.55000000000000004">
      <c r="A1884" t="s">
        <v>94</v>
      </c>
      <c r="B1884" t="s">
        <v>428</v>
      </c>
      <c r="C1884" t="s">
        <v>292</v>
      </c>
      <c r="D1884" t="s">
        <v>174</v>
      </c>
      <c r="E1884" t="s">
        <v>222</v>
      </c>
      <c r="F1884" t="s">
        <v>99</v>
      </c>
      <c r="G1884">
        <v>15933</v>
      </c>
      <c r="H1884" t="s">
        <v>439</v>
      </c>
      <c r="I1884">
        <v>1</v>
      </c>
      <c r="J1884" t="s">
        <v>104</v>
      </c>
      <c r="K1884" s="19">
        <v>0.60416666666666663</v>
      </c>
      <c r="L1884" s="19">
        <v>0.95833333333333337</v>
      </c>
      <c r="M1884">
        <v>8.5</v>
      </c>
      <c r="N1884">
        <v>315.99</v>
      </c>
      <c r="O1884">
        <v>40</v>
      </c>
      <c r="P1884">
        <v>76</v>
      </c>
      <c r="Q1884" t="s">
        <v>99</v>
      </c>
      <c r="R1884">
        <v>30</v>
      </c>
      <c r="S1884" s="19">
        <v>0.8125</v>
      </c>
      <c r="T1884">
        <v>0</v>
      </c>
      <c r="U1884" s="19"/>
      <c r="V1884" t="s">
        <v>99</v>
      </c>
      <c r="W1884">
        <v>8</v>
      </c>
      <c r="X1884" t="s">
        <v>102</v>
      </c>
      <c r="Y1884" t="b">
        <v>0</v>
      </c>
    </row>
    <row r="1885" spans="1:25" x14ac:dyDescent="0.55000000000000004">
      <c r="A1885" t="s">
        <v>94</v>
      </c>
      <c r="B1885" t="s">
        <v>428</v>
      </c>
      <c r="C1885" t="s">
        <v>292</v>
      </c>
      <c r="D1885" t="s">
        <v>174</v>
      </c>
      <c r="E1885" t="s">
        <v>222</v>
      </c>
      <c r="F1885" t="s">
        <v>99</v>
      </c>
      <c r="G1885">
        <v>15933</v>
      </c>
      <c r="H1885" t="s">
        <v>439</v>
      </c>
      <c r="I1885">
        <v>1</v>
      </c>
      <c r="J1885" t="s">
        <v>105</v>
      </c>
      <c r="K1885" s="19">
        <v>0.625</v>
      </c>
      <c r="L1885" s="19">
        <v>0.875</v>
      </c>
      <c r="M1885">
        <v>6</v>
      </c>
      <c r="N1885">
        <v>217.24</v>
      </c>
      <c r="O1885">
        <v>40</v>
      </c>
      <c r="P1885">
        <v>76</v>
      </c>
      <c r="Q1885" t="s">
        <v>99</v>
      </c>
      <c r="R1885">
        <v>30</v>
      </c>
      <c r="S1885" s="19">
        <v>0.83333333333333337</v>
      </c>
      <c r="T1885">
        <v>0</v>
      </c>
      <c r="U1885" s="19"/>
      <c r="V1885" t="s">
        <v>99</v>
      </c>
      <c r="W1885">
        <v>5.5</v>
      </c>
      <c r="X1885" t="s">
        <v>102</v>
      </c>
      <c r="Y1885" t="b">
        <v>0</v>
      </c>
    </row>
    <row r="1886" spans="1:25" x14ac:dyDescent="0.55000000000000004">
      <c r="A1886" t="s">
        <v>94</v>
      </c>
      <c r="B1886" t="s">
        <v>428</v>
      </c>
      <c r="C1886" t="s">
        <v>292</v>
      </c>
      <c r="D1886" t="s">
        <v>174</v>
      </c>
      <c r="E1886" t="s">
        <v>222</v>
      </c>
      <c r="F1886" t="s">
        <v>99</v>
      </c>
      <c r="G1886">
        <v>15933</v>
      </c>
      <c r="H1886" t="s">
        <v>439</v>
      </c>
      <c r="I1886">
        <v>2</v>
      </c>
      <c r="J1886" t="s">
        <v>101</v>
      </c>
      <c r="K1886" s="19">
        <v>0.625</v>
      </c>
      <c r="L1886" s="19">
        <v>0.875</v>
      </c>
      <c r="M1886">
        <v>6</v>
      </c>
      <c r="N1886">
        <v>217.24</v>
      </c>
      <c r="O1886">
        <v>40</v>
      </c>
      <c r="P1886">
        <v>76</v>
      </c>
      <c r="Q1886" t="s">
        <v>99</v>
      </c>
      <c r="R1886">
        <v>30</v>
      </c>
      <c r="S1886" s="19">
        <v>0.8125</v>
      </c>
      <c r="T1886">
        <v>0</v>
      </c>
      <c r="U1886" s="19"/>
      <c r="V1886" t="s">
        <v>99</v>
      </c>
      <c r="W1886">
        <v>5.5</v>
      </c>
      <c r="X1886" t="s">
        <v>102</v>
      </c>
      <c r="Y1886" t="b">
        <v>0</v>
      </c>
    </row>
    <row r="1887" spans="1:25" x14ac:dyDescent="0.55000000000000004">
      <c r="A1887" t="s">
        <v>94</v>
      </c>
      <c r="B1887" t="s">
        <v>428</v>
      </c>
      <c r="C1887" t="s">
        <v>292</v>
      </c>
      <c r="D1887" t="s">
        <v>174</v>
      </c>
      <c r="E1887" t="s">
        <v>222</v>
      </c>
      <c r="F1887" t="s">
        <v>99</v>
      </c>
      <c r="G1887">
        <v>15933</v>
      </c>
      <c r="H1887" t="s">
        <v>439</v>
      </c>
      <c r="I1887">
        <v>2</v>
      </c>
      <c r="J1887" t="s">
        <v>103</v>
      </c>
      <c r="K1887" s="19">
        <v>0.625</v>
      </c>
      <c r="L1887" s="19">
        <v>0.875</v>
      </c>
      <c r="M1887">
        <v>6</v>
      </c>
      <c r="N1887">
        <v>217.24</v>
      </c>
      <c r="O1887">
        <v>40</v>
      </c>
      <c r="P1887">
        <v>76</v>
      </c>
      <c r="Q1887" t="s">
        <v>99</v>
      </c>
      <c r="R1887">
        <v>30</v>
      </c>
      <c r="S1887" s="19">
        <v>0.8125</v>
      </c>
      <c r="T1887">
        <v>0</v>
      </c>
      <c r="U1887" s="19"/>
      <c r="V1887" t="s">
        <v>99</v>
      </c>
      <c r="W1887">
        <v>5.5</v>
      </c>
      <c r="X1887" t="s">
        <v>102</v>
      </c>
      <c r="Y1887" t="b">
        <v>0</v>
      </c>
    </row>
    <row r="1888" spans="1:25" x14ac:dyDescent="0.55000000000000004">
      <c r="A1888" t="s">
        <v>94</v>
      </c>
      <c r="B1888" t="s">
        <v>428</v>
      </c>
      <c r="C1888" t="s">
        <v>292</v>
      </c>
      <c r="D1888" t="s">
        <v>174</v>
      </c>
      <c r="E1888" t="s">
        <v>222</v>
      </c>
      <c r="F1888" t="s">
        <v>99</v>
      </c>
      <c r="G1888">
        <v>15933</v>
      </c>
      <c r="H1888" t="s">
        <v>439</v>
      </c>
      <c r="I1888">
        <v>2</v>
      </c>
      <c r="J1888" t="s">
        <v>104</v>
      </c>
      <c r="K1888" s="19">
        <v>0.625</v>
      </c>
      <c r="L1888" s="19">
        <v>0.97916666666666663</v>
      </c>
      <c r="M1888">
        <v>8.5</v>
      </c>
      <c r="N1888">
        <v>315.99</v>
      </c>
      <c r="O1888">
        <v>40</v>
      </c>
      <c r="P1888">
        <v>76</v>
      </c>
      <c r="Q1888" t="s">
        <v>99</v>
      </c>
      <c r="R1888">
        <v>30</v>
      </c>
      <c r="S1888" s="19">
        <v>0.8125</v>
      </c>
      <c r="T1888">
        <v>0</v>
      </c>
      <c r="U1888" s="19"/>
      <c r="V1888" t="s">
        <v>99</v>
      </c>
      <c r="W1888">
        <v>8</v>
      </c>
      <c r="X1888" t="s">
        <v>102</v>
      </c>
      <c r="Y1888" t="b">
        <v>0</v>
      </c>
    </row>
    <row r="1889" spans="1:25" x14ac:dyDescent="0.55000000000000004">
      <c r="A1889" t="s">
        <v>94</v>
      </c>
      <c r="B1889" t="s">
        <v>428</v>
      </c>
      <c r="C1889" t="s">
        <v>292</v>
      </c>
      <c r="D1889" t="s">
        <v>174</v>
      </c>
      <c r="E1889" t="s">
        <v>222</v>
      </c>
      <c r="F1889" t="s">
        <v>99</v>
      </c>
      <c r="G1889">
        <v>15933</v>
      </c>
      <c r="H1889" t="s">
        <v>439</v>
      </c>
      <c r="I1889">
        <v>2</v>
      </c>
      <c r="J1889" t="s">
        <v>105</v>
      </c>
      <c r="K1889" s="19">
        <v>0.625</v>
      </c>
      <c r="L1889" s="19">
        <v>0.97916666666666663</v>
      </c>
      <c r="M1889">
        <v>8.5</v>
      </c>
      <c r="N1889">
        <v>315.99</v>
      </c>
      <c r="O1889">
        <v>40</v>
      </c>
      <c r="P1889">
        <v>76</v>
      </c>
      <c r="Q1889" t="s">
        <v>99</v>
      </c>
      <c r="R1889">
        <v>30</v>
      </c>
      <c r="S1889" s="19">
        <v>0.8125</v>
      </c>
      <c r="T1889">
        <v>0</v>
      </c>
      <c r="U1889" s="19"/>
      <c r="V1889" t="s">
        <v>99</v>
      </c>
      <c r="W1889">
        <v>8</v>
      </c>
      <c r="X1889" t="s">
        <v>102</v>
      </c>
      <c r="Y1889" t="b">
        <v>0</v>
      </c>
    </row>
    <row r="1890" spans="1:25" x14ac:dyDescent="0.55000000000000004">
      <c r="A1890" t="s">
        <v>94</v>
      </c>
      <c r="B1890" t="s">
        <v>428</v>
      </c>
      <c r="C1890" t="s">
        <v>292</v>
      </c>
      <c r="D1890" t="s">
        <v>174</v>
      </c>
      <c r="E1890" t="s">
        <v>222</v>
      </c>
      <c r="F1890" t="s">
        <v>99</v>
      </c>
      <c r="G1890">
        <v>18063</v>
      </c>
      <c r="H1890" t="s">
        <v>429</v>
      </c>
      <c r="I1890">
        <v>2</v>
      </c>
      <c r="J1890" t="s">
        <v>107</v>
      </c>
      <c r="K1890" s="19">
        <v>0.625</v>
      </c>
      <c r="L1890" s="19">
        <v>0.875</v>
      </c>
      <c r="M1890">
        <v>6</v>
      </c>
      <c r="N1890">
        <v>217.24</v>
      </c>
      <c r="O1890">
        <v>64</v>
      </c>
      <c r="P1890">
        <v>76</v>
      </c>
      <c r="Q1890" t="s">
        <v>99</v>
      </c>
      <c r="R1890">
        <v>30</v>
      </c>
      <c r="S1890" s="19">
        <v>0.8125</v>
      </c>
      <c r="T1890">
        <v>0</v>
      </c>
      <c r="U1890" s="19"/>
      <c r="V1890" t="s">
        <v>99</v>
      </c>
      <c r="W1890">
        <v>5.5</v>
      </c>
      <c r="X1890" t="s">
        <v>102</v>
      </c>
      <c r="Y1890" t="b">
        <v>0</v>
      </c>
    </row>
    <row r="1891" spans="1:25" x14ac:dyDescent="0.55000000000000004">
      <c r="A1891" t="s">
        <v>94</v>
      </c>
      <c r="B1891" t="s">
        <v>428</v>
      </c>
      <c r="C1891" t="s">
        <v>292</v>
      </c>
      <c r="D1891" t="s">
        <v>174</v>
      </c>
      <c r="E1891" t="s">
        <v>222</v>
      </c>
      <c r="F1891" t="s">
        <v>99</v>
      </c>
      <c r="G1891">
        <v>18063</v>
      </c>
      <c r="H1891" t="s">
        <v>429</v>
      </c>
      <c r="I1891">
        <v>2</v>
      </c>
      <c r="J1891" t="s">
        <v>115</v>
      </c>
      <c r="K1891" s="19">
        <v>0.625</v>
      </c>
      <c r="L1891" s="19">
        <v>0.875</v>
      </c>
      <c r="M1891">
        <v>6</v>
      </c>
      <c r="N1891">
        <v>289.66000000000003</v>
      </c>
      <c r="O1891">
        <v>64</v>
      </c>
      <c r="P1891">
        <v>76</v>
      </c>
      <c r="Q1891" t="s">
        <v>99</v>
      </c>
      <c r="R1891">
        <v>30</v>
      </c>
      <c r="S1891" s="19">
        <v>0.8125</v>
      </c>
      <c r="T1891">
        <v>0</v>
      </c>
      <c r="U1891" s="19"/>
      <c r="V1891" t="s">
        <v>99</v>
      </c>
      <c r="W1891">
        <v>5.5</v>
      </c>
      <c r="X1891" t="s">
        <v>102</v>
      </c>
      <c r="Y1891" t="b">
        <v>0</v>
      </c>
    </row>
    <row r="1892" spans="1:25" x14ac:dyDescent="0.55000000000000004">
      <c r="A1892" t="s">
        <v>94</v>
      </c>
      <c r="B1892" t="s">
        <v>428</v>
      </c>
      <c r="C1892" t="s">
        <v>292</v>
      </c>
      <c r="D1892" t="s">
        <v>174</v>
      </c>
      <c r="E1892" t="s">
        <v>222</v>
      </c>
      <c r="F1892" t="s">
        <v>99</v>
      </c>
      <c r="G1892">
        <v>18063</v>
      </c>
      <c r="H1892" t="s">
        <v>429</v>
      </c>
      <c r="I1892">
        <v>2</v>
      </c>
      <c r="J1892" t="s">
        <v>116</v>
      </c>
      <c r="K1892" s="19">
        <v>0.625</v>
      </c>
      <c r="L1892" s="19">
        <v>0.97916666666666663</v>
      </c>
      <c r="M1892">
        <v>8.5</v>
      </c>
      <c r="N1892">
        <v>491.54</v>
      </c>
      <c r="O1892">
        <v>64</v>
      </c>
      <c r="P1892">
        <v>76</v>
      </c>
      <c r="Q1892" t="s">
        <v>99</v>
      </c>
      <c r="R1892">
        <v>30</v>
      </c>
      <c r="S1892" s="19">
        <v>0.8125</v>
      </c>
      <c r="T1892">
        <v>0</v>
      </c>
      <c r="U1892" s="19"/>
      <c r="V1892" t="s">
        <v>99</v>
      </c>
      <c r="W1892">
        <v>8</v>
      </c>
      <c r="X1892" t="s">
        <v>102</v>
      </c>
      <c r="Y1892" t="b">
        <v>0</v>
      </c>
    </row>
    <row r="1893" spans="1:25" x14ac:dyDescent="0.55000000000000004">
      <c r="A1893" t="s">
        <v>94</v>
      </c>
      <c r="B1893" t="s">
        <v>428</v>
      </c>
      <c r="C1893" t="s">
        <v>292</v>
      </c>
      <c r="D1893" t="s">
        <v>174</v>
      </c>
      <c r="E1893" t="s">
        <v>222</v>
      </c>
      <c r="F1893" t="s">
        <v>99</v>
      </c>
      <c r="G1893">
        <v>18063</v>
      </c>
      <c r="H1893" t="s">
        <v>429</v>
      </c>
      <c r="I1893">
        <v>2</v>
      </c>
      <c r="J1893" t="s">
        <v>103</v>
      </c>
      <c r="K1893" s="19">
        <v>0.625</v>
      </c>
      <c r="L1893" s="19">
        <v>0.97916666666666663</v>
      </c>
      <c r="M1893">
        <v>8.5</v>
      </c>
      <c r="N1893">
        <v>315.99</v>
      </c>
      <c r="O1893">
        <v>64</v>
      </c>
      <c r="P1893">
        <v>76</v>
      </c>
      <c r="Q1893" t="s">
        <v>99</v>
      </c>
      <c r="R1893">
        <v>30</v>
      </c>
      <c r="S1893" s="19">
        <v>0.8125</v>
      </c>
      <c r="T1893">
        <v>0</v>
      </c>
      <c r="U1893" s="19"/>
      <c r="V1893" t="s">
        <v>99</v>
      </c>
      <c r="W1893">
        <v>8</v>
      </c>
      <c r="X1893" t="s">
        <v>102</v>
      </c>
      <c r="Y1893" t="b">
        <v>0</v>
      </c>
    </row>
    <row r="1894" spans="1:25" x14ac:dyDescent="0.55000000000000004">
      <c r="A1894" t="s">
        <v>94</v>
      </c>
      <c r="B1894" t="s">
        <v>428</v>
      </c>
      <c r="C1894" t="s">
        <v>292</v>
      </c>
      <c r="D1894" t="s">
        <v>174</v>
      </c>
      <c r="E1894" t="s">
        <v>222</v>
      </c>
      <c r="F1894" t="s">
        <v>99</v>
      </c>
      <c r="G1894">
        <v>18063</v>
      </c>
      <c r="H1894" t="s">
        <v>429</v>
      </c>
      <c r="I1894">
        <v>2</v>
      </c>
      <c r="J1894" t="s">
        <v>105</v>
      </c>
      <c r="K1894" s="19">
        <v>0.625</v>
      </c>
      <c r="L1894" s="19">
        <v>0.875</v>
      </c>
      <c r="M1894">
        <v>6</v>
      </c>
      <c r="N1894">
        <v>217.24</v>
      </c>
      <c r="O1894">
        <v>64</v>
      </c>
      <c r="P1894">
        <v>76</v>
      </c>
      <c r="Q1894" t="s">
        <v>99</v>
      </c>
      <c r="R1894">
        <v>30</v>
      </c>
      <c r="S1894" s="19">
        <v>0.8125</v>
      </c>
      <c r="T1894">
        <v>0</v>
      </c>
      <c r="U1894" s="19"/>
      <c r="V1894" t="s">
        <v>99</v>
      </c>
      <c r="W1894">
        <v>5.5</v>
      </c>
      <c r="X1894" t="s">
        <v>102</v>
      </c>
      <c r="Y1894" t="b">
        <v>0</v>
      </c>
    </row>
    <row r="1895" spans="1:25" x14ac:dyDescent="0.55000000000000004">
      <c r="A1895" t="s">
        <v>94</v>
      </c>
      <c r="B1895" t="s">
        <v>428</v>
      </c>
      <c r="C1895" t="s">
        <v>292</v>
      </c>
      <c r="D1895" t="s">
        <v>174</v>
      </c>
      <c r="E1895" t="s">
        <v>222</v>
      </c>
      <c r="F1895" t="s">
        <v>99</v>
      </c>
      <c r="G1895">
        <v>21876</v>
      </c>
      <c r="H1895" t="s">
        <v>304</v>
      </c>
      <c r="I1895">
        <v>1</v>
      </c>
      <c r="J1895" t="s">
        <v>107</v>
      </c>
      <c r="K1895" s="19">
        <v>0.625</v>
      </c>
      <c r="L1895" s="19">
        <v>0.875</v>
      </c>
      <c r="M1895">
        <v>6</v>
      </c>
      <c r="N1895">
        <v>217.24</v>
      </c>
      <c r="O1895">
        <v>64</v>
      </c>
      <c r="P1895">
        <v>76</v>
      </c>
      <c r="Q1895" t="s">
        <v>99</v>
      </c>
      <c r="R1895">
        <v>30</v>
      </c>
      <c r="S1895" s="19">
        <v>0.8125</v>
      </c>
      <c r="T1895">
        <v>0</v>
      </c>
      <c r="U1895" s="19"/>
      <c r="V1895" t="s">
        <v>99</v>
      </c>
      <c r="W1895">
        <v>5.5</v>
      </c>
      <c r="X1895" t="s">
        <v>102</v>
      </c>
      <c r="Y1895" t="b">
        <v>0</v>
      </c>
    </row>
    <row r="1896" spans="1:25" x14ac:dyDescent="0.55000000000000004">
      <c r="A1896" t="s">
        <v>94</v>
      </c>
      <c r="B1896" t="s">
        <v>428</v>
      </c>
      <c r="C1896" t="s">
        <v>292</v>
      </c>
      <c r="D1896" t="s">
        <v>174</v>
      </c>
      <c r="E1896" t="s">
        <v>222</v>
      </c>
      <c r="F1896" t="s">
        <v>99</v>
      </c>
      <c r="G1896">
        <v>21876</v>
      </c>
      <c r="H1896" t="s">
        <v>304</v>
      </c>
      <c r="I1896">
        <v>2</v>
      </c>
      <c r="J1896" t="s">
        <v>116</v>
      </c>
      <c r="K1896" s="19">
        <v>0.625</v>
      </c>
      <c r="L1896" s="19">
        <v>0.875</v>
      </c>
      <c r="M1896">
        <v>6</v>
      </c>
      <c r="N1896">
        <v>337.93</v>
      </c>
      <c r="O1896">
        <v>64</v>
      </c>
      <c r="P1896">
        <v>76</v>
      </c>
      <c r="Q1896" t="s">
        <v>99</v>
      </c>
      <c r="R1896">
        <v>30</v>
      </c>
      <c r="S1896" s="19">
        <v>0.83333333333333337</v>
      </c>
      <c r="T1896">
        <v>0</v>
      </c>
      <c r="U1896" s="19"/>
      <c r="V1896" t="s">
        <v>99</v>
      </c>
      <c r="W1896">
        <v>5.5</v>
      </c>
      <c r="X1896" t="s">
        <v>102</v>
      </c>
      <c r="Y1896" t="b">
        <v>0</v>
      </c>
    </row>
    <row r="1897" spans="1:25" x14ac:dyDescent="0.55000000000000004">
      <c r="A1897" t="s">
        <v>94</v>
      </c>
      <c r="B1897" t="s">
        <v>428</v>
      </c>
      <c r="C1897" t="s">
        <v>292</v>
      </c>
      <c r="D1897" t="s">
        <v>174</v>
      </c>
      <c r="E1897" t="s">
        <v>222</v>
      </c>
      <c r="F1897" t="s">
        <v>99</v>
      </c>
      <c r="G1897">
        <v>21876</v>
      </c>
      <c r="H1897" t="s">
        <v>304</v>
      </c>
      <c r="I1897">
        <v>2</v>
      </c>
      <c r="J1897" t="s">
        <v>104</v>
      </c>
      <c r="K1897" s="19">
        <v>0.625</v>
      </c>
      <c r="L1897" s="19">
        <v>0.875</v>
      </c>
      <c r="M1897">
        <v>6</v>
      </c>
      <c r="N1897">
        <v>217.24</v>
      </c>
      <c r="O1897">
        <v>64</v>
      </c>
      <c r="P1897">
        <v>76</v>
      </c>
      <c r="Q1897" t="s">
        <v>99</v>
      </c>
      <c r="R1897">
        <v>30</v>
      </c>
      <c r="S1897" s="19">
        <v>0.8125</v>
      </c>
      <c r="T1897">
        <v>0</v>
      </c>
      <c r="U1897" s="19"/>
      <c r="V1897" t="s">
        <v>99</v>
      </c>
      <c r="W1897">
        <v>5.5</v>
      </c>
      <c r="X1897" t="s">
        <v>102</v>
      </c>
      <c r="Y1897" t="b">
        <v>0</v>
      </c>
    </row>
    <row r="1898" spans="1:25" x14ac:dyDescent="0.55000000000000004">
      <c r="A1898" t="s">
        <v>94</v>
      </c>
      <c r="B1898" t="s">
        <v>428</v>
      </c>
      <c r="C1898" t="s">
        <v>292</v>
      </c>
      <c r="D1898" t="s">
        <v>174</v>
      </c>
      <c r="E1898" t="s">
        <v>222</v>
      </c>
      <c r="F1898" t="s">
        <v>99</v>
      </c>
      <c r="G1898">
        <v>23134</v>
      </c>
      <c r="H1898" t="s">
        <v>433</v>
      </c>
      <c r="I1898">
        <v>1</v>
      </c>
      <c r="J1898" t="s">
        <v>107</v>
      </c>
      <c r="K1898" s="19">
        <v>0.625</v>
      </c>
      <c r="L1898" s="19">
        <v>0.875</v>
      </c>
      <c r="M1898">
        <v>6</v>
      </c>
      <c r="N1898">
        <v>217.24</v>
      </c>
      <c r="O1898">
        <v>76</v>
      </c>
      <c r="P1898">
        <v>76</v>
      </c>
      <c r="Q1898" t="s">
        <v>99</v>
      </c>
      <c r="R1898">
        <v>30</v>
      </c>
      <c r="S1898" s="19">
        <v>0.83333333333333337</v>
      </c>
      <c r="T1898">
        <v>0</v>
      </c>
      <c r="U1898" s="19"/>
      <c r="V1898" t="s">
        <v>99</v>
      </c>
      <c r="W1898">
        <v>5.5</v>
      </c>
      <c r="X1898" t="s">
        <v>102</v>
      </c>
      <c r="Y1898" t="b">
        <v>0</v>
      </c>
    </row>
    <row r="1899" spans="1:25" x14ac:dyDescent="0.55000000000000004">
      <c r="A1899" t="s">
        <v>94</v>
      </c>
      <c r="B1899" t="s">
        <v>428</v>
      </c>
      <c r="C1899" t="s">
        <v>292</v>
      </c>
      <c r="D1899" t="s">
        <v>174</v>
      </c>
      <c r="E1899" t="s">
        <v>222</v>
      </c>
      <c r="F1899" t="s">
        <v>99</v>
      </c>
      <c r="G1899">
        <v>23134</v>
      </c>
      <c r="H1899" t="s">
        <v>433</v>
      </c>
      <c r="I1899">
        <v>1</v>
      </c>
      <c r="J1899" t="s">
        <v>115</v>
      </c>
      <c r="K1899" s="19">
        <v>0.60416666666666663</v>
      </c>
      <c r="L1899" s="19">
        <v>0.95833333333333337</v>
      </c>
      <c r="M1899">
        <v>8.5</v>
      </c>
      <c r="N1899">
        <v>421.32</v>
      </c>
      <c r="O1899">
        <v>76</v>
      </c>
      <c r="P1899">
        <v>76</v>
      </c>
      <c r="Q1899" t="s">
        <v>99</v>
      </c>
      <c r="R1899">
        <v>30</v>
      </c>
      <c r="S1899" s="19">
        <v>0.8125</v>
      </c>
      <c r="T1899">
        <v>0</v>
      </c>
      <c r="U1899" s="19"/>
      <c r="V1899" t="s">
        <v>99</v>
      </c>
      <c r="W1899">
        <v>8</v>
      </c>
      <c r="X1899" t="s">
        <v>102</v>
      </c>
      <c r="Y1899" t="b">
        <v>0</v>
      </c>
    </row>
    <row r="1900" spans="1:25" x14ac:dyDescent="0.55000000000000004">
      <c r="A1900" t="s">
        <v>94</v>
      </c>
      <c r="B1900" t="s">
        <v>428</v>
      </c>
      <c r="C1900" t="s">
        <v>292</v>
      </c>
      <c r="D1900" t="s">
        <v>174</v>
      </c>
      <c r="E1900" t="s">
        <v>222</v>
      </c>
      <c r="F1900" t="s">
        <v>99</v>
      </c>
      <c r="G1900">
        <v>23134</v>
      </c>
      <c r="H1900" t="s">
        <v>433</v>
      </c>
      <c r="I1900">
        <v>1</v>
      </c>
      <c r="J1900" t="s">
        <v>116</v>
      </c>
      <c r="K1900" s="19">
        <v>0.60416666666666663</v>
      </c>
      <c r="L1900" s="19">
        <v>0.95833333333333337</v>
      </c>
      <c r="M1900">
        <v>8.5</v>
      </c>
      <c r="N1900">
        <v>491.54</v>
      </c>
      <c r="O1900">
        <v>76</v>
      </c>
      <c r="P1900">
        <v>76</v>
      </c>
      <c r="Q1900" t="s">
        <v>99</v>
      </c>
      <c r="R1900">
        <v>30</v>
      </c>
      <c r="S1900" s="19">
        <v>0.8125</v>
      </c>
      <c r="T1900">
        <v>0</v>
      </c>
      <c r="U1900" s="19"/>
      <c r="V1900" t="s">
        <v>99</v>
      </c>
      <c r="W1900">
        <v>8</v>
      </c>
      <c r="X1900" t="s">
        <v>102</v>
      </c>
      <c r="Y1900" t="b">
        <v>0</v>
      </c>
    </row>
    <row r="1901" spans="1:25" x14ac:dyDescent="0.55000000000000004">
      <c r="A1901" t="s">
        <v>94</v>
      </c>
      <c r="B1901" t="s">
        <v>428</v>
      </c>
      <c r="C1901" t="s">
        <v>292</v>
      </c>
      <c r="D1901" t="s">
        <v>174</v>
      </c>
      <c r="E1901" t="s">
        <v>222</v>
      </c>
      <c r="F1901" t="s">
        <v>99</v>
      </c>
      <c r="G1901">
        <v>23134</v>
      </c>
      <c r="H1901" t="s">
        <v>433</v>
      </c>
      <c r="I1901">
        <v>1</v>
      </c>
      <c r="J1901" t="s">
        <v>103</v>
      </c>
      <c r="K1901" s="19">
        <v>0.60416666666666663</v>
      </c>
      <c r="L1901" s="19">
        <v>0.95833333333333337</v>
      </c>
      <c r="M1901">
        <v>8.5</v>
      </c>
      <c r="N1901">
        <v>315.99</v>
      </c>
      <c r="O1901">
        <v>76</v>
      </c>
      <c r="P1901">
        <v>76</v>
      </c>
      <c r="Q1901" t="s">
        <v>99</v>
      </c>
      <c r="R1901">
        <v>30</v>
      </c>
      <c r="S1901" s="19">
        <v>0.8125</v>
      </c>
      <c r="T1901">
        <v>0</v>
      </c>
      <c r="U1901" s="19"/>
      <c r="V1901" t="s">
        <v>99</v>
      </c>
      <c r="W1901">
        <v>8</v>
      </c>
      <c r="X1901" t="s">
        <v>102</v>
      </c>
      <c r="Y1901" t="b">
        <v>0</v>
      </c>
    </row>
    <row r="1902" spans="1:25" x14ac:dyDescent="0.55000000000000004">
      <c r="A1902" t="s">
        <v>94</v>
      </c>
      <c r="B1902" t="s">
        <v>428</v>
      </c>
      <c r="C1902" t="s">
        <v>292</v>
      </c>
      <c r="D1902" t="s">
        <v>174</v>
      </c>
      <c r="E1902" t="s">
        <v>222</v>
      </c>
      <c r="F1902" t="s">
        <v>99</v>
      </c>
      <c r="G1902">
        <v>23134</v>
      </c>
      <c r="H1902" t="s">
        <v>433</v>
      </c>
      <c r="I1902">
        <v>1</v>
      </c>
      <c r="J1902" t="s">
        <v>105</v>
      </c>
      <c r="K1902" s="19">
        <v>0.60416666666666663</v>
      </c>
      <c r="L1902" s="19">
        <v>0.95833333333333337</v>
      </c>
      <c r="M1902">
        <v>8.5</v>
      </c>
      <c r="N1902">
        <v>315.99</v>
      </c>
      <c r="O1902">
        <v>76</v>
      </c>
      <c r="P1902">
        <v>76</v>
      </c>
      <c r="Q1902" t="s">
        <v>99</v>
      </c>
      <c r="R1902">
        <v>30</v>
      </c>
      <c r="S1902" s="19">
        <v>0.8125</v>
      </c>
      <c r="T1902">
        <v>0</v>
      </c>
      <c r="U1902" s="19"/>
      <c r="V1902" t="s">
        <v>99</v>
      </c>
      <c r="W1902">
        <v>8</v>
      </c>
      <c r="X1902" t="s">
        <v>102</v>
      </c>
      <c r="Y1902" t="b">
        <v>0</v>
      </c>
    </row>
    <row r="1903" spans="1:25" x14ac:dyDescent="0.55000000000000004">
      <c r="A1903" t="s">
        <v>94</v>
      </c>
      <c r="B1903" t="s">
        <v>428</v>
      </c>
      <c r="C1903" t="s">
        <v>292</v>
      </c>
      <c r="D1903" t="s">
        <v>174</v>
      </c>
      <c r="E1903" t="s">
        <v>222</v>
      </c>
      <c r="F1903" t="s">
        <v>99</v>
      </c>
      <c r="G1903">
        <v>23134</v>
      </c>
      <c r="H1903" t="s">
        <v>433</v>
      </c>
      <c r="I1903">
        <v>2</v>
      </c>
      <c r="J1903" t="s">
        <v>107</v>
      </c>
      <c r="K1903" s="19">
        <v>0.60416666666666663</v>
      </c>
      <c r="L1903" s="19">
        <v>0.95833333333333337</v>
      </c>
      <c r="M1903">
        <v>8.5</v>
      </c>
      <c r="N1903">
        <v>315.99</v>
      </c>
      <c r="O1903">
        <v>76</v>
      </c>
      <c r="P1903">
        <v>76</v>
      </c>
      <c r="Q1903" t="s">
        <v>99</v>
      </c>
      <c r="R1903">
        <v>30</v>
      </c>
      <c r="S1903" s="19">
        <v>0.8125</v>
      </c>
      <c r="T1903">
        <v>0</v>
      </c>
      <c r="U1903" s="19"/>
      <c r="V1903" t="s">
        <v>99</v>
      </c>
      <c r="W1903">
        <v>8</v>
      </c>
      <c r="X1903" t="s">
        <v>102</v>
      </c>
      <c r="Y1903" t="b">
        <v>0</v>
      </c>
    </row>
    <row r="1904" spans="1:25" x14ac:dyDescent="0.55000000000000004">
      <c r="A1904" t="s">
        <v>94</v>
      </c>
      <c r="B1904" t="s">
        <v>428</v>
      </c>
      <c r="C1904" t="s">
        <v>292</v>
      </c>
      <c r="D1904" t="s">
        <v>174</v>
      </c>
      <c r="E1904" t="s">
        <v>222</v>
      </c>
      <c r="F1904" t="s">
        <v>99</v>
      </c>
      <c r="G1904">
        <v>23134</v>
      </c>
      <c r="H1904" t="s">
        <v>433</v>
      </c>
      <c r="I1904">
        <v>2</v>
      </c>
      <c r="J1904" t="s">
        <v>115</v>
      </c>
      <c r="K1904" s="19">
        <v>0.60416666666666663</v>
      </c>
      <c r="L1904" s="19">
        <v>0.95833333333333337</v>
      </c>
      <c r="M1904">
        <v>8.5</v>
      </c>
      <c r="N1904">
        <v>421.32</v>
      </c>
      <c r="O1904">
        <v>76</v>
      </c>
      <c r="P1904">
        <v>76</v>
      </c>
      <c r="Q1904" t="s">
        <v>99</v>
      </c>
      <c r="R1904">
        <v>30</v>
      </c>
      <c r="S1904" s="19">
        <v>0.8125</v>
      </c>
      <c r="T1904">
        <v>0</v>
      </c>
      <c r="U1904" s="19"/>
      <c r="V1904" t="s">
        <v>99</v>
      </c>
      <c r="W1904">
        <v>8</v>
      </c>
      <c r="X1904" t="s">
        <v>102</v>
      </c>
      <c r="Y1904" t="b">
        <v>0</v>
      </c>
    </row>
    <row r="1905" spans="1:25" x14ac:dyDescent="0.55000000000000004">
      <c r="A1905" t="s">
        <v>94</v>
      </c>
      <c r="B1905" t="s">
        <v>428</v>
      </c>
      <c r="C1905" t="s">
        <v>292</v>
      </c>
      <c r="D1905" t="s">
        <v>174</v>
      </c>
      <c r="E1905" t="s">
        <v>222</v>
      </c>
      <c r="F1905" t="s">
        <v>99</v>
      </c>
      <c r="G1905">
        <v>23134</v>
      </c>
      <c r="H1905" t="s">
        <v>433</v>
      </c>
      <c r="I1905">
        <v>2</v>
      </c>
      <c r="J1905" t="s">
        <v>116</v>
      </c>
      <c r="K1905" s="19">
        <v>0.60416666666666663</v>
      </c>
      <c r="L1905" s="19">
        <v>0.95833333333333337</v>
      </c>
      <c r="M1905">
        <v>8.5</v>
      </c>
      <c r="N1905">
        <v>491.54</v>
      </c>
      <c r="O1905">
        <v>76</v>
      </c>
      <c r="P1905">
        <v>76</v>
      </c>
      <c r="Q1905" t="s">
        <v>99</v>
      </c>
      <c r="R1905">
        <v>30</v>
      </c>
      <c r="S1905" s="19">
        <v>0.8125</v>
      </c>
      <c r="T1905">
        <v>0</v>
      </c>
      <c r="U1905" s="19"/>
      <c r="V1905" t="s">
        <v>99</v>
      </c>
      <c r="W1905">
        <v>8</v>
      </c>
      <c r="X1905" t="s">
        <v>102</v>
      </c>
      <c r="Y1905" t="b">
        <v>0</v>
      </c>
    </row>
    <row r="1906" spans="1:25" x14ac:dyDescent="0.55000000000000004">
      <c r="A1906" t="s">
        <v>94</v>
      </c>
      <c r="B1906" t="s">
        <v>428</v>
      </c>
      <c r="C1906" t="s">
        <v>292</v>
      </c>
      <c r="D1906" t="s">
        <v>174</v>
      </c>
      <c r="E1906" t="s">
        <v>222</v>
      </c>
      <c r="F1906" t="s">
        <v>99</v>
      </c>
      <c r="G1906">
        <v>23134</v>
      </c>
      <c r="H1906" t="s">
        <v>433</v>
      </c>
      <c r="I1906">
        <v>2</v>
      </c>
      <c r="J1906" t="s">
        <v>103</v>
      </c>
      <c r="K1906" s="19">
        <v>0.625</v>
      </c>
      <c r="L1906" s="19">
        <v>0.875</v>
      </c>
      <c r="M1906">
        <v>6</v>
      </c>
      <c r="N1906">
        <v>386.21</v>
      </c>
      <c r="O1906">
        <v>76</v>
      </c>
      <c r="P1906">
        <v>76</v>
      </c>
      <c r="Q1906" t="s">
        <v>99</v>
      </c>
      <c r="R1906">
        <v>30</v>
      </c>
      <c r="S1906" s="19">
        <v>0.83333333333333337</v>
      </c>
      <c r="T1906">
        <v>0</v>
      </c>
      <c r="U1906" s="19"/>
      <c r="V1906" t="s">
        <v>99</v>
      </c>
      <c r="W1906">
        <v>5.5</v>
      </c>
      <c r="X1906" t="s">
        <v>102</v>
      </c>
      <c r="Y1906" t="b">
        <v>0</v>
      </c>
    </row>
    <row r="1907" spans="1:25" x14ac:dyDescent="0.55000000000000004">
      <c r="A1907" t="s">
        <v>94</v>
      </c>
      <c r="B1907" t="s">
        <v>428</v>
      </c>
      <c r="C1907" t="s">
        <v>292</v>
      </c>
      <c r="D1907" t="s">
        <v>174</v>
      </c>
      <c r="E1907" t="s">
        <v>222</v>
      </c>
      <c r="F1907" t="s">
        <v>99</v>
      </c>
      <c r="G1907">
        <v>23134</v>
      </c>
      <c r="H1907" t="s">
        <v>433</v>
      </c>
      <c r="I1907">
        <v>2</v>
      </c>
      <c r="J1907" t="s">
        <v>105</v>
      </c>
      <c r="K1907" s="19">
        <v>0.60416666666666663</v>
      </c>
      <c r="L1907" s="19">
        <v>0.95833333333333337</v>
      </c>
      <c r="M1907">
        <v>8.5</v>
      </c>
      <c r="N1907">
        <v>421.32</v>
      </c>
      <c r="O1907">
        <v>76</v>
      </c>
      <c r="P1907">
        <v>76</v>
      </c>
      <c r="Q1907" t="s">
        <v>99</v>
      </c>
      <c r="R1907">
        <v>30</v>
      </c>
      <c r="S1907" s="19">
        <v>0.8125</v>
      </c>
      <c r="T1907">
        <v>0</v>
      </c>
      <c r="U1907" s="19"/>
      <c r="V1907" t="s">
        <v>99</v>
      </c>
      <c r="W1907">
        <v>8</v>
      </c>
      <c r="X1907" t="s">
        <v>102</v>
      </c>
      <c r="Y1907" t="b">
        <v>0</v>
      </c>
    </row>
    <row r="1908" spans="1:25" x14ac:dyDescent="0.55000000000000004">
      <c r="A1908" t="s">
        <v>94</v>
      </c>
      <c r="B1908" t="s">
        <v>428</v>
      </c>
      <c r="C1908" t="s">
        <v>292</v>
      </c>
      <c r="D1908" t="s">
        <v>174</v>
      </c>
      <c r="E1908" t="s">
        <v>222</v>
      </c>
      <c r="F1908" t="s">
        <v>99</v>
      </c>
      <c r="G1908">
        <v>24310</v>
      </c>
      <c r="H1908" t="s">
        <v>434</v>
      </c>
      <c r="I1908">
        <v>1</v>
      </c>
      <c r="J1908" t="s">
        <v>107</v>
      </c>
      <c r="K1908" s="19">
        <v>0.60416666666666663</v>
      </c>
      <c r="L1908" s="19">
        <v>0.95833333333333337</v>
      </c>
      <c r="M1908">
        <v>8.5</v>
      </c>
      <c r="N1908">
        <v>315.99</v>
      </c>
      <c r="O1908">
        <v>64</v>
      </c>
      <c r="P1908">
        <v>76</v>
      </c>
      <c r="Q1908" t="s">
        <v>99</v>
      </c>
      <c r="R1908">
        <v>30</v>
      </c>
      <c r="S1908" s="19">
        <v>0.8125</v>
      </c>
      <c r="T1908">
        <v>0</v>
      </c>
      <c r="U1908" s="19"/>
      <c r="V1908" t="s">
        <v>99</v>
      </c>
      <c r="W1908">
        <v>8</v>
      </c>
      <c r="X1908" t="s">
        <v>102</v>
      </c>
      <c r="Y1908" t="b">
        <v>0</v>
      </c>
    </row>
    <row r="1909" spans="1:25" x14ac:dyDescent="0.55000000000000004">
      <c r="A1909" t="s">
        <v>94</v>
      </c>
      <c r="B1909" t="s">
        <v>428</v>
      </c>
      <c r="C1909" t="s">
        <v>292</v>
      </c>
      <c r="D1909" t="s">
        <v>174</v>
      </c>
      <c r="E1909" t="s">
        <v>222</v>
      </c>
      <c r="F1909" t="s">
        <v>99</v>
      </c>
      <c r="G1909">
        <v>24310</v>
      </c>
      <c r="H1909" t="s">
        <v>434</v>
      </c>
      <c r="I1909">
        <v>1</v>
      </c>
      <c r="J1909" t="s">
        <v>101</v>
      </c>
      <c r="K1909" s="19">
        <v>0.60416666666666663</v>
      </c>
      <c r="L1909" s="19">
        <v>0.95833333333333337</v>
      </c>
      <c r="M1909">
        <v>8.5</v>
      </c>
      <c r="N1909">
        <v>315.99</v>
      </c>
      <c r="O1909">
        <v>64</v>
      </c>
      <c r="P1909">
        <v>76</v>
      </c>
      <c r="Q1909" t="s">
        <v>99</v>
      </c>
      <c r="R1909">
        <v>30</v>
      </c>
      <c r="S1909" s="19">
        <v>0.8125</v>
      </c>
      <c r="T1909">
        <v>0</v>
      </c>
      <c r="U1909" s="19"/>
      <c r="V1909" t="s">
        <v>99</v>
      </c>
      <c r="W1909">
        <v>8</v>
      </c>
      <c r="X1909" t="s">
        <v>102</v>
      </c>
      <c r="Y1909" t="b">
        <v>0</v>
      </c>
    </row>
    <row r="1910" spans="1:25" x14ac:dyDescent="0.55000000000000004">
      <c r="A1910" t="s">
        <v>94</v>
      </c>
      <c r="B1910" t="s">
        <v>428</v>
      </c>
      <c r="C1910" t="s">
        <v>292</v>
      </c>
      <c r="D1910" t="s">
        <v>174</v>
      </c>
      <c r="E1910" t="s">
        <v>222</v>
      </c>
      <c r="F1910" t="s">
        <v>99</v>
      </c>
      <c r="G1910">
        <v>24310</v>
      </c>
      <c r="H1910" t="s">
        <v>434</v>
      </c>
      <c r="I1910">
        <v>1</v>
      </c>
      <c r="J1910" t="s">
        <v>103</v>
      </c>
      <c r="K1910" s="19">
        <v>0.625</v>
      </c>
      <c r="L1910" s="19">
        <v>0.97916666666666663</v>
      </c>
      <c r="M1910">
        <v>8.5</v>
      </c>
      <c r="N1910">
        <v>315.99</v>
      </c>
      <c r="O1910">
        <v>64</v>
      </c>
      <c r="P1910">
        <v>76</v>
      </c>
      <c r="Q1910" t="s">
        <v>99</v>
      </c>
      <c r="R1910">
        <v>30</v>
      </c>
      <c r="S1910" s="19">
        <v>0.8125</v>
      </c>
      <c r="T1910">
        <v>0</v>
      </c>
      <c r="U1910" s="19"/>
      <c r="V1910" t="s">
        <v>99</v>
      </c>
      <c r="W1910">
        <v>8</v>
      </c>
      <c r="X1910" t="s">
        <v>102</v>
      </c>
      <c r="Y1910" t="b">
        <v>0</v>
      </c>
    </row>
    <row r="1911" spans="1:25" x14ac:dyDescent="0.55000000000000004">
      <c r="A1911" t="s">
        <v>94</v>
      </c>
      <c r="B1911" t="s">
        <v>428</v>
      </c>
      <c r="C1911" t="s">
        <v>292</v>
      </c>
      <c r="D1911" t="s">
        <v>174</v>
      </c>
      <c r="E1911" t="s">
        <v>222</v>
      </c>
      <c r="F1911" t="s">
        <v>99</v>
      </c>
      <c r="G1911">
        <v>24310</v>
      </c>
      <c r="H1911" t="s">
        <v>434</v>
      </c>
      <c r="I1911">
        <v>1</v>
      </c>
      <c r="J1911" t="s">
        <v>104</v>
      </c>
      <c r="K1911" s="19">
        <v>0.625</v>
      </c>
      <c r="L1911" s="19">
        <v>0.875</v>
      </c>
      <c r="M1911">
        <v>6</v>
      </c>
      <c r="N1911">
        <v>217.24</v>
      </c>
      <c r="O1911">
        <v>64</v>
      </c>
      <c r="P1911">
        <v>76</v>
      </c>
      <c r="Q1911" t="s">
        <v>99</v>
      </c>
      <c r="R1911">
        <v>30</v>
      </c>
      <c r="S1911" s="19">
        <v>0.8125</v>
      </c>
      <c r="T1911">
        <v>0</v>
      </c>
      <c r="U1911" s="19"/>
      <c r="V1911" t="s">
        <v>99</v>
      </c>
      <c r="W1911">
        <v>5.5</v>
      </c>
      <c r="X1911" t="s">
        <v>102</v>
      </c>
      <c r="Y1911" t="b">
        <v>0</v>
      </c>
    </row>
    <row r="1912" spans="1:25" x14ac:dyDescent="0.55000000000000004">
      <c r="A1912" t="s">
        <v>94</v>
      </c>
      <c r="B1912" t="s">
        <v>428</v>
      </c>
      <c r="C1912" t="s">
        <v>292</v>
      </c>
      <c r="D1912" t="s">
        <v>174</v>
      </c>
      <c r="E1912" t="s">
        <v>222</v>
      </c>
      <c r="F1912" t="s">
        <v>99</v>
      </c>
      <c r="G1912">
        <v>24648</v>
      </c>
      <c r="H1912" t="s">
        <v>435</v>
      </c>
      <c r="I1912">
        <v>1</v>
      </c>
      <c r="J1912" t="s">
        <v>101</v>
      </c>
      <c r="K1912" s="19">
        <v>0.625</v>
      </c>
      <c r="L1912" s="19">
        <v>0.97916666666666663</v>
      </c>
      <c r="M1912">
        <v>8.5</v>
      </c>
      <c r="N1912">
        <v>319.68</v>
      </c>
      <c r="O1912">
        <v>76</v>
      </c>
      <c r="P1912">
        <v>76</v>
      </c>
      <c r="Q1912" t="s">
        <v>99</v>
      </c>
      <c r="R1912">
        <v>30</v>
      </c>
      <c r="S1912" s="19">
        <v>0.85416666666666663</v>
      </c>
      <c r="T1912">
        <v>0</v>
      </c>
      <c r="U1912" s="19"/>
      <c r="V1912" t="s">
        <v>99</v>
      </c>
      <c r="W1912">
        <v>8</v>
      </c>
      <c r="X1912" t="s">
        <v>102</v>
      </c>
      <c r="Y1912" t="b">
        <v>0</v>
      </c>
    </row>
    <row r="1913" spans="1:25" x14ac:dyDescent="0.55000000000000004">
      <c r="A1913" t="s">
        <v>94</v>
      </c>
      <c r="B1913" t="s">
        <v>428</v>
      </c>
      <c r="C1913" t="s">
        <v>292</v>
      </c>
      <c r="D1913" t="s">
        <v>174</v>
      </c>
      <c r="E1913" t="s">
        <v>222</v>
      </c>
      <c r="F1913" t="s">
        <v>99</v>
      </c>
      <c r="G1913">
        <v>24648</v>
      </c>
      <c r="H1913" t="s">
        <v>435</v>
      </c>
      <c r="I1913">
        <v>1</v>
      </c>
      <c r="J1913" t="s">
        <v>104</v>
      </c>
      <c r="K1913" s="19">
        <v>0.625</v>
      </c>
      <c r="L1913" s="19">
        <v>0.97916666666666663</v>
      </c>
      <c r="M1913">
        <v>8.5</v>
      </c>
      <c r="N1913">
        <v>319.68</v>
      </c>
      <c r="O1913">
        <v>76</v>
      </c>
      <c r="P1913">
        <v>76</v>
      </c>
      <c r="Q1913" t="s">
        <v>99</v>
      </c>
      <c r="R1913">
        <v>30</v>
      </c>
      <c r="S1913" s="19">
        <v>0.8125</v>
      </c>
      <c r="T1913">
        <v>0</v>
      </c>
      <c r="U1913" s="19"/>
      <c r="V1913" t="s">
        <v>99</v>
      </c>
      <c r="W1913">
        <v>8</v>
      </c>
      <c r="X1913" t="s">
        <v>102</v>
      </c>
      <c r="Y1913" t="b">
        <v>0</v>
      </c>
    </row>
    <row r="1914" spans="1:25" x14ac:dyDescent="0.55000000000000004">
      <c r="A1914" t="s">
        <v>94</v>
      </c>
      <c r="B1914" t="s">
        <v>428</v>
      </c>
      <c r="C1914" t="s">
        <v>292</v>
      </c>
      <c r="D1914" t="s">
        <v>174</v>
      </c>
      <c r="E1914" t="s">
        <v>222</v>
      </c>
      <c r="F1914" t="s">
        <v>99</v>
      </c>
      <c r="G1914">
        <v>24890</v>
      </c>
      <c r="H1914" t="s">
        <v>436</v>
      </c>
      <c r="I1914">
        <v>2</v>
      </c>
      <c r="J1914" t="s">
        <v>116</v>
      </c>
      <c r="K1914" s="19">
        <v>0.625</v>
      </c>
      <c r="L1914" s="19">
        <v>0.875</v>
      </c>
      <c r="M1914">
        <v>6</v>
      </c>
      <c r="N1914">
        <v>337.93</v>
      </c>
      <c r="O1914">
        <v>76</v>
      </c>
      <c r="P1914">
        <v>76</v>
      </c>
      <c r="Q1914" t="s">
        <v>99</v>
      </c>
      <c r="R1914">
        <v>30</v>
      </c>
      <c r="S1914" s="19">
        <v>0.8125</v>
      </c>
      <c r="T1914">
        <v>0</v>
      </c>
      <c r="U1914" s="19"/>
      <c r="V1914" t="s">
        <v>99</v>
      </c>
      <c r="W1914">
        <v>5.5</v>
      </c>
      <c r="X1914" t="s">
        <v>102</v>
      </c>
      <c r="Y1914" t="b">
        <v>0</v>
      </c>
    </row>
    <row r="1915" spans="1:25" x14ac:dyDescent="0.55000000000000004">
      <c r="A1915" t="s">
        <v>94</v>
      </c>
      <c r="B1915" t="s">
        <v>428</v>
      </c>
      <c r="C1915" t="s">
        <v>292</v>
      </c>
      <c r="D1915" t="s">
        <v>174</v>
      </c>
      <c r="E1915" t="s">
        <v>241</v>
      </c>
      <c r="F1915" t="s">
        <v>99</v>
      </c>
      <c r="G1915">
        <v>18421</v>
      </c>
      <c r="H1915" t="s">
        <v>440</v>
      </c>
      <c r="I1915">
        <v>1</v>
      </c>
      <c r="J1915" t="s">
        <v>107</v>
      </c>
      <c r="K1915" s="19">
        <v>0.35416666666666669</v>
      </c>
      <c r="L1915" s="19">
        <v>0.54166666666666663</v>
      </c>
      <c r="M1915">
        <v>4.5</v>
      </c>
      <c r="N1915">
        <v>268.36</v>
      </c>
      <c r="O1915">
        <v>76</v>
      </c>
      <c r="P1915">
        <v>76</v>
      </c>
      <c r="Q1915" t="s">
        <v>99</v>
      </c>
      <c r="R1915">
        <v>30</v>
      </c>
      <c r="S1915" s="19">
        <v>0.52083333333333337</v>
      </c>
      <c r="U1915" s="19">
        <v>0.41666666666666669</v>
      </c>
      <c r="V1915" t="s">
        <v>99</v>
      </c>
      <c r="W1915">
        <v>4</v>
      </c>
      <c r="X1915" t="s">
        <v>102</v>
      </c>
      <c r="Y1915" t="b">
        <v>0</v>
      </c>
    </row>
    <row r="1916" spans="1:25" x14ac:dyDescent="0.55000000000000004">
      <c r="A1916" t="s">
        <v>94</v>
      </c>
      <c r="B1916" t="s">
        <v>428</v>
      </c>
      <c r="C1916" t="s">
        <v>292</v>
      </c>
      <c r="D1916" t="s">
        <v>174</v>
      </c>
      <c r="E1916" t="s">
        <v>241</v>
      </c>
      <c r="F1916" t="s">
        <v>99</v>
      </c>
      <c r="G1916">
        <v>18421</v>
      </c>
      <c r="H1916" t="s">
        <v>440</v>
      </c>
      <c r="I1916">
        <v>1</v>
      </c>
      <c r="J1916" t="s">
        <v>101</v>
      </c>
      <c r="K1916" s="19">
        <v>0.35416666666666669</v>
      </c>
      <c r="L1916" s="19">
        <v>0.54166666666666663</v>
      </c>
      <c r="M1916">
        <v>4.5</v>
      </c>
      <c r="N1916">
        <v>268.36</v>
      </c>
      <c r="O1916">
        <v>76</v>
      </c>
      <c r="P1916">
        <v>76</v>
      </c>
      <c r="Q1916" t="s">
        <v>99</v>
      </c>
      <c r="R1916">
        <v>30</v>
      </c>
      <c r="S1916" s="19">
        <v>0.52083333333333337</v>
      </c>
      <c r="T1916">
        <v>0</v>
      </c>
      <c r="U1916" s="19">
        <v>0.41666666666666669</v>
      </c>
      <c r="V1916" t="s">
        <v>99</v>
      </c>
      <c r="W1916">
        <v>4</v>
      </c>
      <c r="X1916" t="s">
        <v>102</v>
      </c>
      <c r="Y1916" t="b">
        <v>0</v>
      </c>
    </row>
    <row r="1917" spans="1:25" x14ac:dyDescent="0.55000000000000004">
      <c r="A1917" t="s">
        <v>94</v>
      </c>
      <c r="B1917" t="s">
        <v>428</v>
      </c>
      <c r="C1917" t="s">
        <v>292</v>
      </c>
      <c r="D1917" t="s">
        <v>174</v>
      </c>
      <c r="E1917" t="s">
        <v>241</v>
      </c>
      <c r="F1917" t="s">
        <v>99</v>
      </c>
      <c r="G1917">
        <v>18421</v>
      </c>
      <c r="H1917" t="s">
        <v>440</v>
      </c>
      <c r="I1917">
        <v>1</v>
      </c>
      <c r="J1917" t="s">
        <v>103</v>
      </c>
      <c r="K1917" s="19">
        <v>0.35416666666666669</v>
      </c>
      <c r="L1917" s="19">
        <v>0.54166666666666663</v>
      </c>
      <c r="M1917">
        <v>4.5</v>
      </c>
      <c r="N1917">
        <v>268.36</v>
      </c>
      <c r="O1917">
        <v>76</v>
      </c>
      <c r="P1917">
        <v>76</v>
      </c>
      <c r="Q1917" t="s">
        <v>99</v>
      </c>
      <c r="R1917">
        <v>30</v>
      </c>
      <c r="S1917" s="19">
        <v>0.52083333333333337</v>
      </c>
      <c r="T1917">
        <v>0</v>
      </c>
      <c r="U1917" s="19"/>
      <c r="V1917" t="s">
        <v>99</v>
      </c>
      <c r="W1917">
        <v>4</v>
      </c>
      <c r="X1917" t="s">
        <v>102</v>
      </c>
      <c r="Y1917" t="b">
        <v>0</v>
      </c>
    </row>
    <row r="1918" spans="1:25" x14ac:dyDescent="0.55000000000000004">
      <c r="A1918" t="s">
        <v>94</v>
      </c>
      <c r="B1918" t="s">
        <v>428</v>
      </c>
      <c r="C1918" t="s">
        <v>292</v>
      </c>
      <c r="D1918" t="s">
        <v>174</v>
      </c>
      <c r="E1918" t="s">
        <v>241</v>
      </c>
      <c r="F1918" t="s">
        <v>99</v>
      </c>
      <c r="G1918">
        <v>18421</v>
      </c>
      <c r="H1918" t="s">
        <v>440</v>
      </c>
      <c r="I1918">
        <v>1</v>
      </c>
      <c r="J1918" t="s">
        <v>104</v>
      </c>
      <c r="K1918" s="19">
        <v>0.35416666666666669</v>
      </c>
      <c r="L1918" s="19">
        <v>0.54166666666666663</v>
      </c>
      <c r="M1918">
        <v>4.5</v>
      </c>
      <c r="N1918">
        <v>268.36</v>
      </c>
      <c r="O1918">
        <v>76</v>
      </c>
      <c r="P1918">
        <v>76</v>
      </c>
      <c r="Q1918" t="s">
        <v>99</v>
      </c>
      <c r="R1918">
        <v>30</v>
      </c>
      <c r="S1918" s="19">
        <v>0.52083333333333337</v>
      </c>
      <c r="T1918">
        <v>0</v>
      </c>
      <c r="U1918" s="19"/>
      <c r="V1918" t="s">
        <v>99</v>
      </c>
      <c r="W1918">
        <v>4</v>
      </c>
      <c r="X1918" t="s">
        <v>102</v>
      </c>
      <c r="Y1918" t="b">
        <v>0</v>
      </c>
    </row>
    <row r="1919" spans="1:25" x14ac:dyDescent="0.55000000000000004">
      <c r="A1919" t="s">
        <v>94</v>
      </c>
      <c r="B1919" t="s">
        <v>428</v>
      </c>
      <c r="C1919" t="s">
        <v>292</v>
      </c>
      <c r="D1919" t="s">
        <v>174</v>
      </c>
      <c r="E1919" t="s">
        <v>241</v>
      </c>
      <c r="F1919" t="s">
        <v>99</v>
      </c>
      <c r="G1919">
        <v>18421</v>
      </c>
      <c r="H1919" t="s">
        <v>440</v>
      </c>
      <c r="I1919">
        <v>1</v>
      </c>
      <c r="J1919" t="s">
        <v>105</v>
      </c>
      <c r="K1919" s="19">
        <v>0.35416666666666669</v>
      </c>
      <c r="L1919" s="19">
        <v>0.54166666666666663</v>
      </c>
      <c r="M1919">
        <v>4.5</v>
      </c>
      <c r="N1919">
        <v>268.36</v>
      </c>
      <c r="O1919">
        <v>76</v>
      </c>
      <c r="P1919">
        <v>76</v>
      </c>
      <c r="Q1919" t="s">
        <v>99</v>
      </c>
      <c r="R1919">
        <v>30</v>
      </c>
      <c r="S1919" s="19">
        <v>0.52083333333333337</v>
      </c>
      <c r="T1919">
        <v>0</v>
      </c>
      <c r="U1919" s="19"/>
      <c r="V1919" t="s">
        <v>99</v>
      </c>
      <c r="W1919">
        <v>4</v>
      </c>
      <c r="X1919" t="s">
        <v>102</v>
      </c>
      <c r="Y1919" t="b">
        <v>0</v>
      </c>
    </row>
    <row r="1920" spans="1:25" x14ac:dyDescent="0.55000000000000004">
      <c r="A1920" t="s">
        <v>94</v>
      </c>
      <c r="B1920" t="s">
        <v>428</v>
      </c>
      <c r="C1920" t="s">
        <v>292</v>
      </c>
      <c r="D1920" t="s">
        <v>174</v>
      </c>
      <c r="E1920" t="s">
        <v>241</v>
      </c>
      <c r="F1920" t="s">
        <v>99</v>
      </c>
      <c r="G1920">
        <v>18421</v>
      </c>
      <c r="H1920" t="s">
        <v>440</v>
      </c>
      <c r="I1920">
        <v>2</v>
      </c>
      <c r="J1920" t="s">
        <v>107</v>
      </c>
      <c r="K1920" s="19">
        <v>0.35416666666666669</v>
      </c>
      <c r="L1920" s="19">
        <v>0.54166666666666663</v>
      </c>
      <c r="M1920">
        <v>4.5</v>
      </c>
      <c r="N1920">
        <v>268.36</v>
      </c>
      <c r="O1920">
        <v>76</v>
      </c>
      <c r="P1920">
        <v>76</v>
      </c>
      <c r="Q1920" t="s">
        <v>99</v>
      </c>
      <c r="R1920">
        <v>30</v>
      </c>
      <c r="S1920" s="19">
        <v>0.52083333333333337</v>
      </c>
      <c r="U1920" s="19">
        <v>0.41666666666666669</v>
      </c>
      <c r="V1920" t="s">
        <v>99</v>
      </c>
      <c r="W1920">
        <v>4</v>
      </c>
      <c r="X1920" t="s">
        <v>102</v>
      </c>
      <c r="Y1920" t="b">
        <v>0</v>
      </c>
    </row>
    <row r="1921" spans="1:25" x14ac:dyDescent="0.55000000000000004">
      <c r="A1921" t="s">
        <v>94</v>
      </c>
      <c r="B1921" t="s">
        <v>428</v>
      </c>
      <c r="C1921" t="s">
        <v>292</v>
      </c>
      <c r="D1921" t="s">
        <v>174</v>
      </c>
      <c r="E1921" t="s">
        <v>241</v>
      </c>
      <c r="F1921" t="s">
        <v>99</v>
      </c>
      <c r="G1921">
        <v>18421</v>
      </c>
      <c r="H1921" t="s">
        <v>440</v>
      </c>
      <c r="I1921">
        <v>2</v>
      </c>
      <c r="J1921" t="s">
        <v>101</v>
      </c>
      <c r="K1921" s="19">
        <v>0.35416666666666669</v>
      </c>
      <c r="L1921" s="19">
        <v>0.54166666666666663</v>
      </c>
      <c r="M1921">
        <v>4.5</v>
      </c>
      <c r="N1921">
        <v>268.36</v>
      </c>
      <c r="O1921">
        <v>76</v>
      </c>
      <c r="P1921">
        <v>76</v>
      </c>
      <c r="Q1921" t="s">
        <v>99</v>
      </c>
      <c r="R1921">
        <v>30</v>
      </c>
      <c r="S1921" s="19">
        <v>0.52083333333333337</v>
      </c>
      <c r="T1921">
        <v>0</v>
      </c>
      <c r="U1921" s="19"/>
      <c r="V1921" t="s">
        <v>99</v>
      </c>
      <c r="W1921">
        <v>4</v>
      </c>
      <c r="X1921" t="s">
        <v>102</v>
      </c>
      <c r="Y1921" t="b">
        <v>0</v>
      </c>
    </row>
    <row r="1922" spans="1:25" x14ac:dyDescent="0.55000000000000004">
      <c r="A1922" t="s">
        <v>94</v>
      </c>
      <c r="B1922" t="s">
        <v>428</v>
      </c>
      <c r="C1922" t="s">
        <v>292</v>
      </c>
      <c r="D1922" t="s">
        <v>174</v>
      </c>
      <c r="E1922" t="s">
        <v>241</v>
      </c>
      <c r="F1922" t="s">
        <v>99</v>
      </c>
      <c r="G1922">
        <v>18421</v>
      </c>
      <c r="H1922" t="s">
        <v>440</v>
      </c>
      <c r="I1922">
        <v>2</v>
      </c>
      <c r="J1922" t="s">
        <v>103</v>
      </c>
      <c r="K1922" s="19">
        <v>0.35416666666666669</v>
      </c>
      <c r="L1922" s="19">
        <v>0.54166666666666663</v>
      </c>
      <c r="M1922">
        <v>4.5</v>
      </c>
      <c r="N1922">
        <v>268.36</v>
      </c>
      <c r="O1922">
        <v>76</v>
      </c>
      <c r="P1922">
        <v>76</v>
      </c>
      <c r="Q1922" t="s">
        <v>99</v>
      </c>
      <c r="R1922">
        <v>30</v>
      </c>
      <c r="S1922" s="19">
        <v>0.52083333333333337</v>
      </c>
      <c r="T1922">
        <v>0</v>
      </c>
      <c r="U1922" s="19"/>
      <c r="V1922" t="s">
        <v>99</v>
      </c>
      <c r="W1922">
        <v>4</v>
      </c>
      <c r="X1922" t="s">
        <v>102</v>
      </c>
      <c r="Y1922" t="b">
        <v>0</v>
      </c>
    </row>
    <row r="1923" spans="1:25" x14ac:dyDescent="0.55000000000000004">
      <c r="A1923" t="s">
        <v>94</v>
      </c>
      <c r="B1923" t="s">
        <v>428</v>
      </c>
      <c r="C1923" t="s">
        <v>292</v>
      </c>
      <c r="D1923" t="s">
        <v>174</v>
      </c>
      <c r="E1923" t="s">
        <v>241</v>
      </c>
      <c r="F1923" t="s">
        <v>99</v>
      </c>
      <c r="G1923">
        <v>18421</v>
      </c>
      <c r="H1923" t="s">
        <v>440</v>
      </c>
      <c r="I1923">
        <v>2</v>
      </c>
      <c r="J1923" t="s">
        <v>104</v>
      </c>
      <c r="K1923" s="19">
        <v>0.35416666666666669</v>
      </c>
      <c r="L1923" s="19">
        <v>0.54166666666666663</v>
      </c>
      <c r="M1923">
        <v>4.5</v>
      </c>
      <c r="N1923">
        <v>268.36</v>
      </c>
      <c r="O1923">
        <v>76</v>
      </c>
      <c r="P1923">
        <v>76</v>
      </c>
      <c r="Q1923" t="s">
        <v>99</v>
      </c>
      <c r="R1923">
        <v>30</v>
      </c>
      <c r="S1923" s="19">
        <v>0.52083333333333337</v>
      </c>
      <c r="T1923">
        <v>0</v>
      </c>
      <c r="U1923" s="19"/>
      <c r="V1923" t="s">
        <v>99</v>
      </c>
      <c r="W1923">
        <v>4</v>
      </c>
      <c r="X1923" t="s">
        <v>102</v>
      </c>
      <c r="Y1923" t="b">
        <v>0</v>
      </c>
    </row>
    <row r="1924" spans="1:25" x14ac:dyDescent="0.55000000000000004">
      <c r="A1924" t="s">
        <v>94</v>
      </c>
      <c r="B1924" t="s">
        <v>428</v>
      </c>
      <c r="C1924" t="s">
        <v>292</v>
      </c>
      <c r="D1924" t="s">
        <v>174</v>
      </c>
      <c r="E1924" t="s">
        <v>241</v>
      </c>
      <c r="F1924" t="s">
        <v>99</v>
      </c>
      <c r="G1924">
        <v>18421</v>
      </c>
      <c r="H1924" t="s">
        <v>440</v>
      </c>
      <c r="I1924">
        <v>2</v>
      </c>
      <c r="J1924" t="s">
        <v>105</v>
      </c>
      <c r="K1924" s="19">
        <v>0.35416666666666669</v>
      </c>
      <c r="L1924" s="19">
        <v>0.54166666666666663</v>
      </c>
      <c r="M1924">
        <v>4.5</v>
      </c>
      <c r="N1924">
        <v>268.36</v>
      </c>
      <c r="O1924">
        <v>76</v>
      </c>
      <c r="P1924">
        <v>76</v>
      </c>
      <c r="Q1924" t="s">
        <v>99</v>
      </c>
      <c r="R1924">
        <v>30</v>
      </c>
      <c r="S1924" s="19">
        <v>0.52083333333333337</v>
      </c>
      <c r="T1924">
        <v>0</v>
      </c>
      <c r="U1924" s="19"/>
      <c r="V1924" t="s">
        <v>99</v>
      </c>
      <c r="W1924">
        <v>4</v>
      </c>
      <c r="X1924" t="s">
        <v>102</v>
      </c>
      <c r="Y1924" t="b">
        <v>0</v>
      </c>
    </row>
    <row r="1925" spans="1:25" x14ac:dyDescent="0.55000000000000004">
      <c r="A1925" t="s">
        <v>94</v>
      </c>
      <c r="B1925" t="s">
        <v>428</v>
      </c>
      <c r="C1925" t="s">
        <v>292</v>
      </c>
      <c r="D1925" t="s">
        <v>174</v>
      </c>
      <c r="E1925" t="s">
        <v>243</v>
      </c>
      <c r="F1925" t="s">
        <v>99</v>
      </c>
      <c r="G1925">
        <v>18663</v>
      </c>
      <c r="H1925" t="s">
        <v>441</v>
      </c>
      <c r="I1925">
        <v>1</v>
      </c>
      <c r="J1925" t="s">
        <v>107</v>
      </c>
      <c r="K1925" s="19">
        <v>0.33333333333333331</v>
      </c>
      <c r="L1925" s="19">
        <v>0.70833333333333337</v>
      </c>
      <c r="M1925">
        <v>9</v>
      </c>
      <c r="N1925">
        <v>456.02</v>
      </c>
      <c r="O1925">
        <v>76</v>
      </c>
      <c r="P1925">
        <v>76</v>
      </c>
      <c r="Q1925" t="s">
        <v>99</v>
      </c>
      <c r="R1925">
        <v>30</v>
      </c>
      <c r="S1925" s="19">
        <v>0.47916666666666669</v>
      </c>
      <c r="T1925">
        <v>0</v>
      </c>
      <c r="U1925" s="19"/>
      <c r="V1925" t="s">
        <v>99</v>
      </c>
      <c r="W1925">
        <v>8.5</v>
      </c>
      <c r="X1925" t="s">
        <v>102</v>
      </c>
      <c r="Y1925" t="b">
        <v>0</v>
      </c>
    </row>
    <row r="1926" spans="1:25" x14ac:dyDescent="0.55000000000000004">
      <c r="A1926" t="s">
        <v>94</v>
      </c>
      <c r="B1926" t="s">
        <v>428</v>
      </c>
      <c r="C1926" t="s">
        <v>292</v>
      </c>
      <c r="D1926" t="s">
        <v>174</v>
      </c>
      <c r="E1926" t="s">
        <v>243</v>
      </c>
      <c r="F1926" t="s">
        <v>99</v>
      </c>
      <c r="G1926">
        <v>18663</v>
      </c>
      <c r="H1926" t="s">
        <v>441</v>
      </c>
      <c r="I1926">
        <v>1</v>
      </c>
      <c r="J1926" t="s">
        <v>101</v>
      </c>
      <c r="K1926" s="19">
        <v>0.33333333333333331</v>
      </c>
      <c r="L1926" s="19">
        <v>0.72916666666666663</v>
      </c>
      <c r="M1926">
        <v>9.5</v>
      </c>
      <c r="N1926">
        <v>482.85</v>
      </c>
      <c r="O1926">
        <v>76</v>
      </c>
      <c r="P1926">
        <v>76</v>
      </c>
      <c r="Q1926" t="s">
        <v>99</v>
      </c>
      <c r="R1926">
        <v>30</v>
      </c>
      <c r="S1926" s="19">
        <v>0.47916666666666669</v>
      </c>
      <c r="T1926">
        <v>0</v>
      </c>
      <c r="U1926" s="19"/>
      <c r="V1926" t="s">
        <v>99</v>
      </c>
      <c r="W1926">
        <v>9</v>
      </c>
      <c r="X1926" t="s">
        <v>102</v>
      </c>
      <c r="Y1926" t="b">
        <v>0</v>
      </c>
    </row>
    <row r="1927" spans="1:25" x14ac:dyDescent="0.55000000000000004">
      <c r="A1927" t="s">
        <v>94</v>
      </c>
      <c r="B1927" t="s">
        <v>428</v>
      </c>
      <c r="C1927" t="s">
        <v>292</v>
      </c>
      <c r="D1927" t="s">
        <v>174</v>
      </c>
      <c r="E1927" t="s">
        <v>243</v>
      </c>
      <c r="F1927" t="s">
        <v>99</v>
      </c>
      <c r="G1927">
        <v>18663</v>
      </c>
      <c r="H1927" t="s">
        <v>441</v>
      </c>
      <c r="I1927">
        <v>1</v>
      </c>
      <c r="J1927" t="s">
        <v>103</v>
      </c>
      <c r="K1927" s="19">
        <v>0.33333333333333331</v>
      </c>
      <c r="L1927" s="19">
        <v>0.70833333333333337</v>
      </c>
      <c r="M1927">
        <v>9</v>
      </c>
      <c r="N1927">
        <v>456.02</v>
      </c>
      <c r="O1927">
        <v>76</v>
      </c>
      <c r="P1927">
        <v>76</v>
      </c>
      <c r="Q1927" t="s">
        <v>99</v>
      </c>
      <c r="R1927">
        <v>30</v>
      </c>
      <c r="S1927" s="19">
        <v>0.47916666666666669</v>
      </c>
      <c r="T1927">
        <v>0</v>
      </c>
      <c r="U1927" s="19"/>
      <c r="V1927" t="s">
        <v>99</v>
      </c>
      <c r="W1927">
        <v>8.5</v>
      </c>
      <c r="X1927" t="s">
        <v>102</v>
      </c>
      <c r="Y1927" t="b">
        <v>0</v>
      </c>
    </row>
    <row r="1928" spans="1:25" x14ac:dyDescent="0.55000000000000004">
      <c r="A1928" t="s">
        <v>94</v>
      </c>
      <c r="B1928" t="s">
        <v>428</v>
      </c>
      <c r="C1928" t="s">
        <v>292</v>
      </c>
      <c r="D1928" t="s">
        <v>174</v>
      </c>
      <c r="E1928" t="s">
        <v>243</v>
      </c>
      <c r="F1928" t="s">
        <v>99</v>
      </c>
      <c r="G1928">
        <v>18663</v>
      </c>
      <c r="H1928" t="s">
        <v>441</v>
      </c>
      <c r="I1928">
        <v>1</v>
      </c>
      <c r="J1928" t="s">
        <v>104</v>
      </c>
      <c r="K1928" s="19">
        <v>0.33333333333333331</v>
      </c>
      <c r="L1928" s="19">
        <v>0.70833333333333337</v>
      </c>
      <c r="M1928">
        <v>9</v>
      </c>
      <c r="N1928">
        <v>456.02</v>
      </c>
      <c r="O1928">
        <v>76</v>
      </c>
      <c r="P1928">
        <v>76</v>
      </c>
      <c r="Q1928" t="s">
        <v>99</v>
      </c>
      <c r="R1928">
        <v>30</v>
      </c>
      <c r="S1928" s="19">
        <v>0.47916666666666669</v>
      </c>
      <c r="T1928">
        <v>0</v>
      </c>
      <c r="U1928" s="19"/>
      <c r="V1928" t="s">
        <v>99</v>
      </c>
      <c r="W1928">
        <v>8.5</v>
      </c>
      <c r="X1928" t="s">
        <v>102</v>
      </c>
      <c r="Y1928" t="b">
        <v>0</v>
      </c>
    </row>
    <row r="1929" spans="1:25" x14ac:dyDescent="0.55000000000000004">
      <c r="A1929" t="s">
        <v>94</v>
      </c>
      <c r="B1929" t="s">
        <v>428</v>
      </c>
      <c r="C1929" t="s">
        <v>292</v>
      </c>
      <c r="D1929" t="s">
        <v>174</v>
      </c>
      <c r="E1929" t="s">
        <v>243</v>
      </c>
      <c r="F1929" t="s">
        <v>99</v>
      </c>
      <c r="G1929">
        <v>18663</v>
      </c>
      <c r="H1929" t="s">
        <v>441</v>
      </c>
      <c r="I1929">
        <v>2</v>
      </c>
      <c r="J1929" t="s">
        <v>101</v>
      </c>
      <c r="K1929" s="19">
        <v>0.33333333333333331</v>
      </c>
      <c r="L1929" s="19">
        <v>0.70833333333333337</v>
      </c>
      <c r="M1929">
        <v>9</v>
      </c>
      <c r="N1929">
        <v>456.02</v>
      </c>
      <c r="O1929">
        <v>76</v>
      </c>
      <c r="P1929">
        <v>76</v>
      </c>
      <c r="Q1929" t="s">
        <v>99</v>
      </c>
      <c r="R1929">
        <v>30</v>
      </c>
      <c r="S1929" s="19">
        <v>0.47916666666666669</v>
      </c>
      <c r="T1929">
        <v>0</v>
      </c>
      <c r="U1929" s="19"/>
      <c r="V1929" t="s">
        <v>99</v>
      </c>
      <c r="W1929">
        <v>8.5</v>
      </c>
      <c r="X1929" t="s">
        <v>102</v>
      </c>
      <c r="Y1929" t="b">
        <v>0</v>
      </c>
    </row>
    <row r="1930" spans="1:25" x14ac:dyDescent="0.55000000000000004">
      <c r="A1930" t="s">
        <v>94</v>
      </c>
      <c r="B1930" t="s">
        <v>428</v>
      </c>
      <c r="C1930" t="s">
        <v>292</v>
      </c>
      <c r="D1930" t="s">
        <v>174</v>
      </c>
      <c r="E1930" t="s">
        <v>243</v>
      </c>
      <c r="F1930" t="s">
        <v>99</v>
      </c>
      <c r="G1930">
        <v>18663</v>
      </c>
      <c r="H1930" t="s">
        <v>441</v>
      </c>
      <c r="I1930">
        <v>2</v>
      </c>
      <c r="J1930" t="s">
        <v>115</v>
      </c>
      <c r="K1930" s="19">
        <v>0.27083333333333331</v>
      </c>
      <c r="L1930" s="19">
        <v>0.625</v>
      </c>
      <c r="M1930">
        <v>8.5</v>
      </c>
      <c r="N1930">
        <v>643.79999999999995</v>
      </c>
      <c r="O1930">
        <v>76</v>
      </c>
      <c r="P1930">
        <v>76</v>
      </c>
      <c r="Q1930" t="s">
        <v>99</v>
      </c>
      <c r="R1930">
        <v>30</v>
      </c>
      <c r="S1930" s="19">
        <v>0.47916666666666669</v>
      </c>
      <c r="T1930">
        <v>0</v>
      </c>
      <c r="U1930" s="19"/>
      <c r="V1930" t="s">
        <v>99</v>
      </c>
      <c r="W1930">
        <v>8</v>
      </c>
      <c r="X1930" t="s">
        <v>102</v>
      </c>
      <c r="Y1930" t="b">
        <v>0</v>
      </c>
    </row>
    <row r="1931" spans="1:25" x14ac:dyDescent="0.55000000000000004">
      <c r="A1931" t="s">
        <v>94</v>
      </c>
      <c r="B1931" t="s">
        <v>428</v>
      </c>
      <c r="C1931" t="s">
        <v>292</v>
      </c>
      <c r="D1931" t="s">
        <v>174</v>
      </c>
      <c r="E1931" t="s">
        <v>243</v>
      </c>
      <c r="F1931" t="s">
        <v>99</v>
      </c>
      <c r="G1931">
        <v>18663</v>
      </c>
      <c r="H1931" t="s">
        <v>441</v>
      </c>
      <c r="I1931">
        <v>2</v>
      </c>
      <c r="J1931" t="s">
        <v>116</v>
      </c>
      <c r="K1931" s="19">
        <v>0.27083333333333331</v>
      </c>
      <c r="L1931" s="19">
        <v>0.625</v>
      </c>
      <c r="M1931">
        <v>8.5</v>
      </c>
      <c r="N1931">
        <v>751.1</v>
      </c>
      <c r="O1931">
        <v>76</v>
      </c>
      <c r="P1931">
        <v>76</v>
      </c>
      <c r="Q1931" t="s">
        <v>99</v>
      </c>
      <c r="R1931">
        <v>30</v>
      </c>
      <c r="S1931" s="19">
        <v>0.47916666666666669</v>
      </c>
      <c r="T1931">
        <v>0</v>
      </c>
      <c r="U1931" s="19"/>
      <c r="V1931" t="s">
        <v>99</v>
      </c>
      <c r="W1931">
        <v>8</v>
      </c>
      <c r="X1931" t="s">
        <v>102</v>
      </c>
      <c r="Y1931" t="b">
        <v>0</v>
      </c>
    </row>
    <row r="1932" spans="1:25" x14ac:dyDescent="0.55000000000000004">
      <c r="A1932" t="s">
        <v>94</v>
      </c>
      <c r="B1932" t="s">
        <v>428</v>
      </c>
      <c r="C1932" t="s">
        <v>292</v>
      </c>
      <c r="D1932" t="s">
        <v>174</v>
      </c>
      <c r="E1932" t="s">
        <v>243</v>
      </c>
      <c r="F1932" t="s">
        <v>99</v>
      </c>
      <c r="G1932">
        <v>18663</v>
      </c>
      <c r="H1932" t="s">
        <v>441</v>
      </c>
      <c r="I1932">
        <v>2</v>
      </c>
      <c r="J1932" t="s">
        <v>104</v>
      </c>
      <c r="K1932" s="19">
        <v>0.33333333333333331</v>
      </c>
      <c r="L1932" s="19">
        <v>0.70833333333333337</v>
      </c>
      <c r="M1932">
        <v>9</v>
      </c>
      <c r="N1932">
        <v>456.02</v>
      </c>
      <c r="O1932">
        <v>76</v>
      </c>
      <c r="P1932">
        <v>76</v>
      </c>
      <c r="Q1932" t="s">
        <v>99</v>
      </c>
      <c r="R1932">
        <v>30</v>
      </c>
      <c r="S1932" s="19">
        <v>0.47916666666666669</v>
      </c>
      <c r="T1932">
        <v>0</v>
      </c>
      <c r="U1932" s="19"/>
      <c r="V1932" t="s">
        <v>99</v>
      </c>
      <c r="W1932">
        <v>8.5</v>
      </c>
      <c r="X1932" t="s">
        <v>102</v>
      </c>
      <c r="Y1932" t="b">
        <v>0</v>
      </c>
    </row>
    <row r="1933" spans="1:25" x14ac:dyDescent="0.55000000000000004">
      <c r="A1933" t="s">
        <v>94</v>
      </c>
      <c r="B1933" t="s">
        <v>428</v>
      </c>
      <c r="C1933" t="s">
        <v>292</v>
      </c>
      <c r="D1933" t="s">
        <v>174</v>
      </c>
      <c r="E1933" t="s">
        <v>243</v>
      </c>
      <c r="F1933" t="s">
        <v>99</v>
      </c>
      <c r="G1933">
        <v>18663</v>
      </c>
      <c r="H1933" t="s">
        <v>441</v>
      </c>
      <c r="I1933">
        <v>2</v>
      </c>
      <c r="J1933" t="s">
        <v>105</v>
      </c>
      <c r="K1933" s="19">
        <v>0.33333333333333331</v>
      </c>
      <c r="L1933" s="19">
        <v>0.70833333333333337</v>
      </c>
      <c r="M1933">
        <v>9</v>
      </c>
      <c r="N1933">
        <v>456.02</v>
      </c>
      <c r="O1933">
        <v>76</v>
      </c>
      <c r="P1933">
        <v>76</v>
      </c>
      <c r="Q1933" t="s">
        <v>99</v>
      </c>
      <c r="R1933">
        <v>30</v>
      </c>
      <c r="S1933" s="19">
        <v>0.47916666666666669</v>
      </c>
      <c r="T1933">
        <v>0</v>
      </c>
      <c r="U1933" s="19"/>
      <c r="V1933" t="s">
        <v>99</v>
      </c>
      <c r="W1933">
        <v>8.5</v>
      </c>
      <c r="X1933" t="s">
        <v>102</v>
      </c>
      <c r="Y1933" t="b">
        <v>0</v>
      </c>
    </row>
    <row r="1934" spans="1:25" x14ac:dyDescent="0.55000000000000004">
      <c r="A1934" t="s">
        <v>94</v>
      </c>
      <c r="B1934" t="s">
        <v>428</v>
      </c>
      <c r="C1934" t="s">
        <v>292</v>
      </c>
      <c r="D1934" t="s">
        <v>174</v>
      </c>
      <c r="E1934" t="s">
        <v>245</v>
      </c>
      <c r="F1934" t="s">
        <v>99</v>
      </c>
      <c r="H1934" t="s">
        <v>99</v>
      </c>
      <c r="I1934">
        <v>1</v>
      </c>
      <c r="J1934" t="s">
        <v>103</v>
      </c>
      <c r="K1934" s="19">
        <v>0.27083333333333331</v>
      </c>
      <c r="L1934" s="19">
        <v>0.625</v>
      </c>
      <c r="M1934">
        <v>8.5</v>
      </c>
      <c r="N1934">
        <v>301.2</v>
      </c>
      <c r="O1934">
        <v>0</v>
      </c>
      <c r="P1934">
        <v>0</v>
      </c>
      <c r="Q1934" t="s">
        <v>99</v>
      </c>
      <c r="R1934">
        <v>30</v>
      </c>
      <c r="S1934" s="19">
        <v>0.47916666666666669</v>
      </c>
      <c r="T1934">
        <v>0</v>
      </c>
      <c r="U1934" s="19"/>
      <c r="V1934" t="s">
        <v>99</v>
      </c>
      <c r="W1934">
        <v>8</v>
      </c>
      <c r="X1934" t="s">
        <v>102</v>
      </c>
      <c r="Y1934" t="b">
        <v>0</v>
      </c>
    </row>
    <row r="1935" spans="1:25" x14ac:dyDescent="0.55000000000000004">
      <c r="A1935" t="s">
        <v>94</v>
      </c>
      <c r="B1935" t="s">
        <v>428</v>
      </c>
      <c r="C1935" t="s">
        <v>292</v>
      </c>
      <c r="D1935" t="s">
        <v>174</v>
      </c>
      <c r="E1935" t="s">
        <v>245</v>
      </c>
      <c r="F1935" t="s">
        <v>99</v>
      </c>
      <c r="H1935" t="s">
        <v>99</v>
      </c>
      <c r="I1935">
        <v>2</v>
      </c>
      <c r="J1935" t="s">
        <v>104</v>
      </c>
      <c r="K1935" s="19">
        <v>0.27083333333333331</v>
      </c>
      <c r="L1935" s="19">
        <v>0.625</v>
      </c>
      <c r="M1935">
        <v>8.5</v>
      </c>
      <c r="N1935">
        <v>283.60000000000002</v>
      </c>
      <c r="O1935">
        <v>0</v>
      </c>
      <c r="P1935">
        <v>0</v>
      </c>
      <c r="Q1935" t="s">
        <v>99</v>
      </c>
      <c r="R1935">
        <v>30</v>
      </c>
      <c r="S1935" s="19">
        <v>0.47916666666666669</v>
      </c>
      <c r="T1935">
        <v>0</v>
      </c>
      <c r="U1935" s="19"/>
      <c r="V1935" t="s">
        <v>99</v>
      </c>
      <c r="W1935">
        <v>8</v>
      </c>
      <c r="X1935" t="s">
        <v>102</v>
      </c>
      <c r="Y1935" t="b">
        <v>0</v>
      </c>
    </row>
    <row r="1936" spans="1:25" x14ac:dyDescent="0.55000000000000004">
      <c r="A1936" t="s">
        <v>94</v>
      </c>
      <c r="B1936" t="s">
        <v>428</v>
      </c>
      <c r="C1936" t="s">
        <v>292</v>
      </c>
      <c r="D1936" t="s">
        <v>174</v>
      </c>
      <c r="E1936" t="s">
        <v>245</v>
      </c>
      <c r="F1936" t="s">
        <v>99</v>
      </c>
      <c r="G1936">
        <v>15697</v>
      </c>
      <c r="H1936" t="s">
        <v>442</v>
      </c>
      <c r="I1936">
        <v>1</v>
      </c>
      <c r="J1936" t="s">
        <v>107</v>
      </c>
      <c r="K1936" s="19">
        <v>0.27083333333333331</v>
      </c>
      <c r="L1936" s="19">
        <v>0.625</v>
      </c>
      <c r="M1936">
        <v>8.5</v>
      </c>
      <c r="N1936">
        <v>309.60000000000002</v>
      </c>
      <c r="O1936">
        <v>68</v>
      </c>
      <c r="P1936">
        <v>76</v>
      </c>
      <c r="Q1936" t="s">
        <v>99</v>
      </c>
      <c r="R1936">
        <v>30</v>
      </c>
      <c r="S1936" s="19">
        <v>0.47916666666666669</v>
      </c>
      <c r="T1936">
        <v>0</v>
      </c>
      <c r="U1936" s="19"/>
      <c r="V1936" t="s">
        <v>99</v>
      </c>
      <c r="W1936">
        <v>8</v>
      </c>
      <c r="X1936" t="s">
        <v>102</v>
      </c>
      <c r="Y1936" t="b">
        <v>0</v>
      </c>
    </row>
    <row r="1937" spans="1:25" x14ac:dyDescent="0.55000000000000004">
      <c r="A1937" t="s">
        <v>94</v>
      </c>
      <c r="B1937" t="s">
        <v>428</v>
      </c>
      <c r="C1937" t="s">
        <v>292</v>
      </c>
      <c r="D1937" t="s">
        <v>174</v>
      </c>
      <c r="E1937" t="s">
        <v>245</v>
      </c>
      <c r="F1937" t="s">
        <v>99</v>
      </c>
      <c r="G1937">
        <v>15697</v>
      </c>
      <c r="H1937" t="s">
        <v>442</v>
      </c>
      <c r="I1937">
        <v>1</v>
      </c>
      <c r="J1937" t="s">
        <v>101</v>
      </c>
      <c r="K1937" s="19">
        <v>0.27083333333333331</v>
      </c>
      <c r="L1937" s="19">
        <v>0.625</v>
      </c>
      <c r="M1937">
        <v>8.5</v>
      </c>
      <c r="N1937">
        <v>309.60000000000002</v>
      </c>
      <c r="O1937">
        <v>68</v>
      </c>
      <c r="P1937">
        <v>76</v>
      </c>
      <c r="Q1937" t="s">
        <v>99</v>
      </c>
      <c r="R1937">
        <v>30</v>
      </c>
      <c r="S1937" s="19">
        <v>0.47916666666666669</v>
      </c>
      <c r="T1937">
        <v>0</v>
      </c>
      <c r="U1937" s="19"/>
      <c r="V1937" t="s">
        <v>99</v>
      </c>
      <c r="W1937">
        <v>8</v>
      </c>
      <c r="X1937" t="s">
        <v>102</v>
      </c>
      <c r="Y1937" t="b">
        <v>0</v>
      </c>
    </row>
    <row r="1938" spans="1:25" x14ac:dyDescent="0.55000000000000004">
      <c r="A1938" t="s">
        <v>94</v>
      </c>
      <c r="B1938" t="s">
        <v>428</v>
      </c>
      <c r="C1938" t="s">
        <v>292</v>
      </c>
      <c r="D1938" t="s">
        <v>174</v>
      </c>
      <c r="E1938" t="s">
        <v>245</v>
      </c>
      <c r="F1938" t="s">
        <v>99</v>
      </c>
      <c r="G1938">
        <v>15697</v>
      </c>
      <c r="H1938" t="s">
        <v>442</v>
      </c>
      <c r="I1938">
        <v>1</v>
      </c>
      <c r="J1938" t="s">
        <v>115</v>
      </c>
      <c r="K1938" s="19">
        <v>0.27083333333333331</v>
      </c>
      <c r="L1938" s="19">
        <v>0.625</v>
      </c>
      <c r="M1938">
        <v>8.5</v>
      </c>
      <c r="N1938">
        <v>464.4</v>
      </c>
      <c r="O1938">
        <v>68</v>
      </c>
      <c r="P1938">
        <v>76</v>
      </c>
      <c r="Q1938" t="s">
        <v>99</v>
      </c>
      <c r="R1938">
        <v>30</v>
      </c>
      <c r="S1938" s="19">
        <v>0.47916666666666669</v>
      </c>
      <c r="T1938">
        <v>0</v>
      </c>
      <c r="U1938" s="19"/>
      <c r="V1938" t="s">
        <v>99</v>
      </c>
      <c r="W1938">
        <v>8</v>
      </c>
      <c r="X1938" t="s">
        <v>102</v>
      </c>
      <c r="Y1938" t="b">
        <v>0</v>
      </c>
    </row>
    <row r="1939" spans="1:25" x14ac:dyDescent="0.55000000000000004">
      <c r="A1939" t="s">
        <v>94</v>
      </c>
      <c r="B1939" t="s">
        <v>428</v>
      </c>
      <c r="C1939" t="s">
        <v>292</v>
      </c>
      <c r="D1939" t="s">
        <v>174</v>
      </c>
      <c r="E1939" t="s">
        <v>245</v>
      </c>
      <c r="F1939" t="s">
        <v>99</v>
      </c>
      <c r="G1939">
        <v>15697</v>
      </c>
      <c r="H1939" t="s">
        <v>442</v>
      </c>
      <c r="I1939">
        <v>1</v>
      </c>
      <c r="J1939" t="s">
        <v>116</v>
      </c>
      <c r="K1939" s="19">
        <v>0.27083333333333331</v>
      </c>
      <c r="L1939" s="19">
        <v>0.625</v>
      </c>
      <c r="M1939">
        <v>8.5</v>
      </c>
      <c r="N1939">
        <v>541.79999999999995</v>
      </c>
      <c r="O1939">
        <v>68</v>
      </c>
      <c r="P1939">
        <v>76</v>
      </c>
      <c r="Q1939" t="s">
        <v>99</v>
      </c>
      <c r="R1939">
        <v>30</v>
      </c>
      <c r="S1939" s="19">
        <v>0.47916666666666669</v>
      </c>
      <c r="T1939">
        <v>0</v>
      </c>
      <c r="U1939" s="19"/>
      <c r="V1939" t="s">
        <v>99</v>
      </c>
      <c r="W1939">
        <v>8</v>
      </c>
      <c r="X1939" t="s">
        <v>102</v>
      </c>
      <c r="Y1939" t="b">
        <v>0</v>
      </c>
    </row>
    <row r="1940" spans="1:25" x14ac:dyDescent="0.55000000000000004">
      <c r="A1940" t="s">
        <v>94</v>
      </c>
      <c r="B1940" t="s">
        <v>428</v>
      </c>
      <c r="C1940" t="s">
        <v>292</v>
      </c>
      <c r="D1940" t="s">
        <v>174</v>
      </c>
      <c r="E1940" t="s">
        <v>245</v>
      </c>
      <c r="F1940" t="s">
        <v>99</v>
      </c>
      <c r="G1940">
        <v>15697</v>
      </c>
      <c r="H1940" t="s">
        <v>442</v>
      </c>
      <c r="I1940">
        <v>1</v>
      </c>
      <c r="J1940" t="s">
        <v>104</v>
      </c>
      <c r="K1940" s="19">
        <v>0.27083333333333331</v>
      </c>
      <c r="L1940" s="19">
        <v>0.625</v>
      </c>
      <c r="M1940">
        <v>8.5</v>
      </c>
      <c r="N1940">
        <v>309.60000000000002</v>
      </c>
      <c r="O1940">
        <v>68</v>
      </c>
      <c r="P1940">
        <v>76</v>
      </c>
      <c r="Q1940" t="s">
        <v>99</v>
      </c>
      <c r="R1940">
        <v>30</v>
      </c>
      <c r="S1940" s="19">
        <v>0.47916666666666669</v>
      </c>
      <c r="T1940">
        <v>0</v>
      </c>
      <c r="U1940" s="19"/>
      <c r="V1940" t="s">
        <v>99</v>
      </c>
      <c r="W1940">
        <v>8</v>
      </c>
      <c r="X1940" t="s">
        <v>102</v>
      </c>
      <c r="Y1940" t="b">
        <v>0</v>
      </c>
    </row>
    <row r="1941" spans="1:25" x14ac:dyDescent="0.55000000000000004">
      <c r="A1941" t="s">
        <v>94</v>
      </c>
      <c r="B1941" t="s">
        <v>428</v>
      </c>
      <c r="C1941" t="s">
        <v>292</v>
      </c>
      <c r="D1941" t="s">
        <v>174</v>
      </c>
      <c r="E1941" t="s">
        <v>245</v>
      </c>
      <c r="F1941" t="s">
        <v>99</v>
      </c>
      <c r="G1941">
        <v>15697</v>
      </c>
      <c r="H1941" t="s">
        <v>442</v>
      </c>
      <c r="I1941">
        <v>1</v>
      </c>
      <c r="J1941" t="s">
        <v>105</v>
      </c>
      <c r="K1941" s="19">
        <v>0.27083333333333331</v>
      </c>
      <c r="L1941" s="19">
        <v>0.625</v>
      </c>
      <c r="M1941">
        <v>8.5</v>
      </c>
      <c r="N1941">
        <v>309.60000000000002</v>
      </c>
      <c r="O1941">
        <v>68</v>
      </c>
      <c r="P1941">
        <v>76</v>
      </c>
      <c r="Q1941" t="s">
        <v>99</v>
      </c>
      <c r="R1941">
        <v>30</v>
      </c>
      <c r="S1941" s="19">
        <v>0.47916666666666669</v>
      </c>
      <c r="T1941">
        <v>0</v>
      </c>
      <c r="U1941" s="19"/>
      <c r="V1941" t="s">
        <v>99</v>
      </c>
      <c r="W1941">
        <v>8</v>
      </c>
      <c r="X1941" t="s">
        <v>102</v>
      </c>
      <c r="Y1941" t="b">
        <v>0</v>
      </c>
    </row>
    <row r="1942" spans="1:25" x14ac:dyDescent="0.55000000000000004">
      <c r="A1942" t="s">
        <v>94</v>
      </c>
      <c r="B1942" t="s">
        <v>428</v>
      </c>
      <c r="C1942" t="s">
        <v>292</v>
      </c>
      <c r="D1942" t="s">
        <v>174</v>
      </c>
      <c r="E1942" t="s">
        <v>245</v>
      </c>
      <c r="F1942" t="s">
        <v>99</v>
      </c>
      <c r="G1942">
        <v>15697</v>
      </c>
      <c r="H1942" t="s">
        <v>442</v>
      </c>
      <c r="I1942">
        <v>2</v>
      </c>
      <c r="J1942" t="s">
        <v>101</v>
      </c>
      <c r="K1942" s="19">
        <v>0.27083333333333331</v>
      </c>
      <c r="L1942" s="19">
        <v>0.625</v>
      </c>
      <c r="M1942">
        <v>8.5</v>
      </c>
      <c r="N1942">
        <v>309.60000000000002</v>
      </c>
      <c r="O1942">
        <v>68</v>
      </c>
      <c r="P1942">
        <v>76</v>
      </c>
      <c r="Q1942" t="s">
        <v>99</v>
      </c>
      <c r="R1942">
        <v>30</v>
      </c>
      <c r="S1942" s="19">
        <v>0.47916666666666669</v>
      </c>
      <c r="T1942">
        <v>0</v>
      </c>
      <c r="U1942" s="19"/>
      <c r="V1942" t="s">
        <v>99</v>
      </c>
      <c r="W1942">
        <v>8</v>
      </c>
      <c r="X1942" t="s">
        <v>102</v>
      </c>
      <c r="Y1942" t="b">
        <v>0</v>
      </c>
    </row>
    <row r="1943" spans="1:25" x14ac:dyDescent="0.55000000000000004">
      <c r="A1943" t="s">
        <v>94</v>
      </c>
      <c r="B1943" t="s">
        <v>428</v>
      </c>
      <c r="C1943" t="s">
        <v>292</v>
      </c>
      <c r="D1943" t="s">
        <v>174</v>
      </c>
      <c r="E1943" t="s">
        <v>245</v>
      </c>
      <c r="F1943" t="s">
        <v>99</v>
      </c>
      <c r="G1943">
        <v>15719</v>
      </c>
      <c r="H1943" t="s">
        <v>443</v>
      </c>
      <c r="I1943">
        <v>2</v>
      </c>
      <c r="J1943" t="s">
        <v>107</v>
      </c>
      <c r="K1943" s="19">
        <v>0.27083333333333331</v>
      </c>
      <c r="L1943" s="19">
        <v>0.625</v>
      </c>
      <c r="M1943">
        <v>8.5</v>
      </c>
      <c r="N1943">
        <v>291.92</v>
      </c>
      <c r="O1943">
        <v>38</v>
      </c>
      <c r="P1943">
        <v>76</v>
      </c>
      <c r="Q1943" t="s">
        <v>99</v>
      </c>
      <c r="R1943">
        <v>30</v>
      </c>
      <c r="S1943" s="19">
        <v>0.47916666666666669</v>
      </c>
      <c r="T1943">
        <v>0</v>
      </c>
      <c r="U1943" s="19"/>
      <c r="V1943" t="s">
        <v>99</v>
      </c>
      <c r="W1943">
        <v>8</v>
      </c>
      <c r="X1943" t="s">
        <v>102</v>
      </c>
      <c r="Y1943" t="b">
        <v>0</v>
      </c>
    </row>
    <row r="1944" spans="1:25" x14ac:dyDescent="0.55000000000000004">
      <c r="A1944" t="s">
        <v>94</v>
      </c>
      <c r="B1944" t="s">
        <v>428</v>
      </c>
      <c r="C1944" t="s">
        <v>292</v>
      </c>
      <c r="D1944" t="s">
        <v>174</v>
      </c>
      <c r="E1944" t="s">
        <v>245</v>
      </c>
      <c r="F1944" t="s">
        <v>99</v>
      </c>
      <c r="G1944">
        <v>15719</v>
      </c>
      <c r="H1944" t="s">
        <v>443</v>
      </c>
      <c r="I1944">
        <v>2</v>
      </c>
      <c r="J1944" t="s">
        <v>115</v>
      </c>
      <c r="K1944" s="19">
        <v>0.27083333333333331</v>
      </c>
      <c r="L1944" s="19">
        <v>0.625</v>
      </c>
      <c r="M1944">
        <v>8.5</v>
      </c>
      <c r="N1944">
        <v>437.88</v>
      </c>
      <c r="O1944">
        <v>38</v>
      </c>
      <c r="P1944">
        <v>76</v>
      </c>
      <c r="Q1944" t="s">
        <v>99</v>
      </c>
      <c r="R1944">
        <v>30</v>
      </c>
      <c r="S1944" s="19">
        <v>0.47916666666666669</v>
      </c>
      <c r="T1944">
        <v>0</v>
      </c>
      <c r="U1944" s="19"/>
      <c r="V1944" t="s">
        <v>99</v>
      </c>
      <c r="W1944">
        <v>8</v>
      </c>
      <c r="X1944" t="s">
        <v>102</v>
      </c>
      <c r="Y1944" t="b">
        <v>0</v>
      </c>
    </row>
    <row r="1945" spans="1:25" x14ac:dyDescent="0.55000000000000004">
      <c r="A1945" t="s">
        <v>94</v>
      </c>
      <c r="B1945" t="s">
        <v>428</v>
      </c>
      <c r="C1945" t="s">
        <v>292</v>
      </c>
      <c r="D1945" t="s">
        <v>174</v>
      </c>
      <c r="E1945" t="s">
        <v>245</v>
      </c>
      <c r="F1945" t="s">
        <v>99</v>
      </c>
      <c r="G1945">
        <v>15719</v>
      </c>
      <c r="H1945" t="s">
        <v>443</v>
      </c>
      <c r="I1945">
        <v>2</v>
      </c>
      <c r="J1945" t="s">
        <v>116</v>
      </c>
      <c r="K1945" s="19">
        <v>0.27083333333333331</v>
      </c>
      <c r="L1945" s="19">
        <v>0.625</v>
      </c>
      <c r="M1945">
        <v>8.5</v>
      </c>
      <c r="N1945">
        <v>510.86</v>
      </c>
      <c r="O1945">
        <v>38</v>
      </c>
      <c r="P1945">
        <v>76</v>
      </c>
      <c r="Q1945" t="s">
        <v>99</v>
      </c>
      <c r="R1945">
        <v>30</v>
      </c>
      <c r="S1945" s="19">
        <v>0.47916666666666669</v>
      </c>
      <c r="T1945">
        <v>0</v>
      </c>
      <c r="U1945" s="19"/>
      <c r="V1945" t="s">
        <v>99</v>
      </c>
      <c r="W1945">
        <v>8</v>
      </c>
      <c r="X1945" t="s">
        <v>102</v>
      </c>
      <c r="Y1945" t="b">
        <v>0</v>
      </c>
    </row>
    <row r="1946" spans="1:25" x14ac:dyDescent="0.55000000000000004">
      <c r="A1946" t="s">
        <v>94</v>
      </c>
      <c r="B1946" t="s">
        <v>428</v>
      </c>
      <c r="C1946" t="s">
        <v>292</v>
      </c>
      <c r="D1946" t="s">
        <v>174</v>
      </c>
      <c r="E1946" t="s">
        <v>245</v>
      </c>
      <c r="F1946" t="s">
        <v>99</v>
      </c>
      <c r="G1946">
        <v>15719</v>
      </c>
      <c r="H1946" t="s">
        <v>443</v>
      </c>
      <c r="I1946">
        <v>2</v>
      </c>
      <c r="J1946" t="s">
        <v>103</v>
      </c>
      <c r="K1946" s="19">
        <v>0.27083333333333331</v>
      </c>
      <c r="L1946" s="19">
        <v>0.625</v>
      </c>
      <c r="M1946">
        <v>8.5</v>
      </c>
      <c r="N1946">
        <v>291.92</v>
      </c>
      <c r="O1946">
        <v>38</v>
      </c>
      <c r="P1946">
        <v>76</v>
      </c>
      <c r="Q1946" t="s">
        <v>99</v>
      </c>
      <c r="R1946">
        <v>30</v>
      </c>
      <c r="S1946" s="19">
        <v>0.47916666666666669</v>
      </c>
      <c r="T1946">
        <v>0</v>
      </c>
      <c r="U1946" s="19"/>
      <c r="V1946" t="s">
        <v>99</v>
      </c>
      <c r="W1946">
        <v>8</v>
      </c>
      <c r="X1946" t="s">
        <v>102</v>
      </c>
      <c r="Y1946" t="b">
        <v>0</v>
      </c>
    </row>
    <row r="1947" spans="1:25" x14ac:dyDescent="0.55000000000000004">
      <c r="A1947" t="s">
        <v>94</v>
      </c>
      <c r="B1947" t="s">
        <v>428</v>
      </c>
      <c r="C1947" t="s">
        <v>292</v>
      </c>
      <c r="D1947" t="s">
        <v>174</v>
      </c>
      <c r="E1947" t="s">
        <v>245</v>
      </c>
      <c r="F1947" t="s">
        <v>99</v>
      </c>
      <c r="G1947">
        <v>15719</v>
      </c>
      <c r="H1947" t="s">
        <v>443</v>
      </c>
      <c r="I1947">
        <v>2</v>
      </c>
      <c r="J1947" t="s">
        <v>105</v>
      </c>
      <c r="K1947" s="19">
        <v>0.27083333333333331</v>
      </c>
      <c r="L1947" s="19">
        <v>0.54166666666666663</v>
      </c>
      <c r="M1947">
        <v>6.5</v>
      </c>
      <c r="N1947">
        <v>218.94</v>
      </c>
      <c r="O1947">
        <v>38</v>
      </c>
      <c r="P1947">
        <v>76</v>
      </c>
      <c r="Q1947" t="s">
        <v>99</v>
      </c>
      <c r="R1947">
        <v>30</v>
      </c>
      <c r="S1947" s="19">
        <v>0.47916666666666669</v>
      </c>
      <c r="T1947">
        <v>0</v>
      </c>
      <c r="U1947" s="19"/>
      <c r="V1947" t="s">
        <v>99</v>
      </c>
      <c r="W1947">
        <v>6</v>
      </c>
      <c r="X1947" t="s">
        <v>102</v>
      </c>
      <c r="Y1947" t="b">
        <v>0</v>
      </c>
    </row>
    <row r="1948" spans="1:25" x14ac:dyDescent="0.55000000000000004">
      <c r="A1948" t="s">
        <v>94</v>
      </c>
      <c r="B1948" t="s">
        <v>428</v>
      </c>
      <c r="C1948" t="s">
        <v>292</v>
      </c>
      <c r="D1948" t="s">
        <v>174</v>
      </c>
      <c r="E1948" t="s">
        <v>258</v>
      </c>
      <c r="F1948" t="s">
        <v>99</v>
      </c>
      <c r="H1948" t="s">
        <v>99</v>
      </c>
      <c r="I1948">
        <v>1</v>
      </c>
      <c r="J1948" t="s">
        <v>107</v>
      </c>
      <c r="K1948" s="19">
        <v>0.60416666666666663</v>
      </c>
      <c r="L1948" s="19">
        <v>0.875</v>
      </c>
      <c r="M1948">
        <v>6.5</v>
      </c>
      <c r="N1948">
        <v>239.29</v>
      </c>
      <c r="O1948">
        <v>0</v>
      </c>
      <c r="P1948">
        <v>0</v>
      </c>
      <c r="Q1948" t="s">
        <v>99</v>
      </c>
      <c r="R1948">
        <v>30</v>
      </c>
      <c r="S1948" s="19">
        <v>0.8125</v>
      </c>
      <c r="T1948">
        <v>0</v>
      </c>
      <c r="U1948" s="19"/>
      <c r="V1948" t="s">
        <v>99</v>
      </c>
      <c r="W1948">
        <v>6</v>
      </c>
      <c r="X1948" t="s">
        <v>102</v>
      </c>
      <c r="Y1948" t="b">
        <v>0</v>
      </c>
    </row>
    <row r="1949" spans="1:25" x14ac:dyDescent="0.55000000000000004">
      <c r="A1949" t="s">
        <v>94</v>
      </c>
      <c r="B1949" t="s">
        <v>428</v>
      </c>
      <c r="C1949" t="s">
        <v>292</v>
      </c>
      <c r="D1949" t="s">
        <v>174</v>
      </c>
      <c r="E1949" t="s">
        <v>258</v>
      </c>
      <c r="F1949" t="s">
        <v>99</v>
      </c>
      <c r="H1949" t="s">
        <v>99</v>
      </c>
      <c r="I1949">
        <v>1</v>
      </c>
      <c r="J1949" t="s">
        <v>101</v>
      </c>
      <c r="K1949" s="19">
        <v>0.60416666666666663</v>
      </c>
      <c r="L1949" s="19">
        <v>0.875</v>
      </c>
      <c r="M1949">
        <v>6.5</v>
      </c>
      <c r="N1949">
        <v>239.29</v>
      </c>
      <c r="O1949">
        <v>0</v>
      </c>
      <c r="P1949">
        <v>0</v>
      </c>
      <c r="Q1949" t="s">
        <v>99</v>
      </c>
      <c r="R1949">
        <v>30</v>
      </c>
      <c r="S1949" s="19">
        <v>0.8125</v>
      </c>
      <c r="T1949">
        <v>0</v>
      </c>
      <c r="U1949" s="19"/>
      <c r="V1949" t="s">
        <v>99</v>
      </c>
      <c r="W1949">
        <v>6</v>
      </c>
      <c r="X1949" t="s">
        <v>102</v>
      </c>
      <c r="Y1949" t="b">
        <v>0</v>
      </c>
    </row>
    <row r="1950" spans="1:25" x14ac:dyDescent="0.55000000000000004">
      <c r="A1950" t="s">
        <v>94</v>
      </c>
      <c r="B1950" t="s">
        <v>428</v>
      </c>
      <c r="C1950" t="s">
        <v>292</v>
      </c>
      <c r="D1950" t="s">
        <v>174</v>
      </c>
      <c r="E1950" t="s">
        <v>258</v>
      </c>
      <c r="F1950" t="s">
        <v>99</v>
      </c>
      <c r="H1950" t="s">
        <v>99</v>
      </c>
      <c r="I1950">
        <v>1</v>
      </c>
      <c r="J1950" t="s">
        <v>115</v>
      </c>
      <c r="K1950" s="19">
        <v>0.60416666666666663</v>
      </c>
      <c r="L1950" s="19">
        <v>0.875</v>
      </c>
      <c r="M1950">
        <v>6.5</v>
      </c>
      <c r="N1950">
        <v>319.05</v>
      </c>
      <c r="O1950">
        <v>0</v>
      </c>
      <c r="P1950">
        <v>0</v>
      </c>
      <c r="Q1950" t="s">
        <v>99</v>
      </c>
      <c r="R1950">
        <v>30</v>
      </c>
      <c r="S1950" s="19">
        <v>0.8125</v>
      </c>
      <c r="T1950">
        <v>0</v>
      </c>
      <c r="U1950" s="19"/>
      <c r="V1950" t="s">
        <v>99</v>
      </c>
      <c r="W1950">
        <v>6</v>
      </c>
      <c r="X1950" t="s">
        <v>102</v>
      </c>
      <c r="Y1950" t="b">
        <v>0</v>
      </c>
    </row>
    <row r="1951" spans="1:25" x14ac:dyDescent="0.55000000000000004">
      <c r="A1951" t="s">
        <v>94</v>
      </c>
      <c r="B1951" t="s">
        <v>428</v>
      </c>
      <c r="C1951" t="s">
        <v>292</v>
      </c>
      <c r="D1951" t="s">
        <v>174</v>
      </c>
      <c r="E1951" t="s">
        <v>258</v>
      </c>
      <c r="F1951" t="s">
        <v>99</v>
      </c>
      <c r="H1951" t="s">
        <v>99</v>
      </c>
      <c r="I1951">
        <v>1</v>
      </c>
      <c r="J1951" t="s">
        <v>116</v>
      </c>
      <c r="K1951" s="19">
        <v>0.60416666666666663</v>
      </c>
      <c r="L1951" s="19">
        <v>0.875</v>
      </c>
      <c r="M1951">
        <v>6.5</v>
      </c>
      <c r="N1951">
        <v>372.23</v>
      </c>
      <c r="O1951">
        <v>0</v>
      </c>
      <c r="P1951">
        <v>0</v>
      </c>
      <c r="Q1951" t="s">
        <v>99</v>
      </c>
      <c r="R1951">
        <v>30</v>
      </c>
      <c r="S1951" s="19">
        <v>0.8125</v>
      </c>
      <c r="T1951">
        <v>0</v>
      </c>
      <c r="U1951" s="19"/>
      <c r="V1951" t="s">
        <v>99</v>
      </c>
      <c r="W1951">
        <v>6</v>
      </c>
      <c r="X1951" t="s">
        <v>102</v>
      </c>
      <c r="Y1951" t="b">
        <v>0</v>
      </c>
    </row>
    <row r="1952" spans="1:25" x14ac:dyDescent="0.55000000000000004">
      <c r="A1952" t="s">
        <v>94</v>
      </c>
      <c r="B1952" t="s">
        <v>428</v>
      </c>
      <c r="C1952" t="s">
        <v>292</v>
      </c>
      <c r="D1952" t="s">
        <v>174</v>
      </c>
      <c r="E1952" t="s">
        <v>258</v>
      </c>
      <c r="F1952" t="s">
        <v>99</v>
      </c>
      <c r="H1952" t="s">
        <v>99</v>
      </c>
      <c r="I1952">
        <v>1</v>
      </c>
      <c r="J1952" t="s">
        <v>103</v>
      </c>
      <c r="K1952" s="19">
        <v>0.60416666666666663</v>
      </c>
      <c r="L1952" s="19">
        <v>0.875</v>
      </c>
      <c r="M1952">
        <v>6.5</v>
      </c>
      <c r="N1952">
        <v>239.29</v>
      </c>
      <c r="O1952">
        <v>0</v>
      </c>
      <c r="P1952">
        <v>0</v>
      </c>
      <c r="Q1952" t="s">
        <v>99</v>
      </c>
      <c r="R1952">
        <v>30</v>
      </c>
      <c r="S1952" s="19">
        <v>0.8125</v>
      </c>
      <c r="T1952">
        <v>0</v>
      </c>
      <c r="U1952" s="19"/>
      <c r="V1952" t="s">
        <v>99</v>
      </c>
      <c r="W1952">
        <v>6</v>
      </c>
      <c r="X1952" t="s">
        <v>102</v>
      </c>
      <c r="Y1952" t="b">
        <v>0</v>
      </c>
    </row>
    <row r="1953" spans="1:25" x14ac:dyDescent="0.55000000000000004">
      <c r="A1953" t="s">
        <v>94</v>
      </c>
      <c r="B1953" t="s">
        <v>428</v>
      </c>
      <c r="C1953" t="s">
        <v>292</v>
      </c>
      <c r="D1953" t="s">
        <v>174</v>
      </c>
      <c r="E1953" t="s">
        <v>258</v>
      </c>
      <c r="F1953" t="s">
        <v>99</v>
      </c>
      <c r="H1953" t="s">
        <v>99</v>
      </c>
      <c r="I1953">
        <v>1</v>
      </c>
      <c r="J1953" t="s">
        <v>104</v>
      </c>
      <c r="K1953" s="19">
        <v>0.60416666666666663</v>
      </c>
      <c r="L1953" s="19">
        <v>0.875</v>
      </c>
      <c r="M1953">
        <v>6.5</v>
      </c>
      <c r="N1953">
        <v>239.29</v>
      </c>
      <c r="O1953">
        <v>0</v>
      </c>
      <c r="P1953">
        <v>0</v>
      </c>
      <c r="Q1953" t="s">
        <v>99</v>
      </c>
      <c r="R1953">
        <v>30</v>
      </c>
      <c r="S1953" s="19">
        <v>0.8125</v>
      </c>
      <c r="T1953">
        <v>0</v>
      </c>
      <c r="U1953" s="19"/>
      <c r="V1953" t="s">
        <v>99</v>
      </c>
      <c r="W1953">
        <v>6</v>
      </c>
      <c r="X1953" t="s">
        <v>102</v>
      </c>
      <c r="Y1953" t="b">
        <v>0</v>
      </c>
    </row>
    <row r="1954" spans="1:25" x14ac:dyDescent="0.55000000000000004">
      <c r="A1954" t="s">
        <v>94</v>
      </c>
      <c r="B1954" t="s">
        <v>428</v>
      </c>
      <c r="C1954" t="s">
        <v>292</v>
      </c>
      <c r="D1954" t="s">
        <v>174</v>
      </c>
      <c r="E1954" t="s">
        <v>258</v>
      </c>
      <c r="F1954" t="s">
        <v>99</v>
      </c>
      <c r="H1954" t="s">
        <v>99</v>
      </c>
      <c r="I1954">
        <v>1</v>
      </c>
      <c r="J1954" t="s">
        <v>105</v>
      </c>
      <c r="K1954" s="19">
        <v>0.54166666666666663</v>
      </c>
      <c r="L1954" s="19">
        <v>0.875</v>
      </c>
      <c r="M1954">
        <v>8</v>
      </c>
      <c r="N1954">
        <v>265.88</v>
      </c>
      <c r="O1954">
        <v>0</v>
      </c>
      <c r="P1954">
        <v>0</v>
      </c>
      <c r="Q1954" t="s">
        <v>99</v>
      </c>
      <c r="R1954">
        <v>30</v>
      </c>
      <c r="S1954" s="19">
        <v>0.75</v>
      </c>
      <c r="T1954">
        <v>0</v>
      </c>
      <c r="U1954" s="19"/>
      <c r="V1954" t="s">
        <v>99</v>
      </c>
      <c r="W1954">
        <v>7.5</v>
      </c>
      <c r="X1954" t="s">
        <v>102</v>
      </c>
      <c r="Y1954" t="b">
        <v>0</v>
      </c>
    </row>
    <row r="1955" spans="1:25" x14ac:dyDescent="0.55000000000000004">
      <c r="A1955" t="s">
        <v>94</v>
      </c>
      <c r="B1955" t="s">
        <v>428</v>
      </c>
      <c r="C1955" t="s">
        <v>292</v>
      </c>
      <c r="D1955" t="s">
        <v>174</v>
      </c>
      <c r="E1955" t="s">
        <v>258</v>
      </c>
      <c r="F1955" t="s">
        <v>99</v>
      </c>
      <c r="H1955" t="s">
        <v>99</v>
      </c>
      <c r="I1955">
        <v>2</v>
      </c>
      <c r="J1955" t="s">
        <v>101</v>
      </c>
      <c r="K1955" s="19">
        <v>0.60416666666666663</v>
      </c>
      <c r="L1955" s="19">
        <v>0.875</v>
      </c>
      <c r="M1955">
        <v>6.5</v>
      </c>
      <c r="N1955">
        <v>227.07</v>
      </c>
      <c r="O1955">
        <v>0</v>
      </c>
      <c r="P1955">
        <v>0</v>
      </c>
      <c r="Q1955" t="s">
        <v>99</v>
      </c>
      <c r="R1955">
        <v>30</v>
      </c>
      <c r="S1955" s="19">
        <v>0.8125</v>
      </c>
      <c r="T1955">
        <v>0</v>
      </c>
      <c r="U1955" s="19"/>
      <c r="V1955" t="s">
        <v>99</v>
      </c>
      <c r="W1955">
        <v>6</v>
      </c>
      <c r="X1955" t="s">
        <v>102</v>
      </c>
      <c r="Y1955" t="b">
        <v>0</v>
      </c>
    </row>
    <row r="1956" spans="1:25" x14ac:dyDescent="0.55000000000000004">
      <c r="A1956" t="s">
        <v>94</v>
      </c>
      <c r="B1956" t="s">
        <v>428</v>
      </c>
      <c r="C1956" t="s">
        <v>292</v>
      </c>
      <c r="D1956" t="s">
        <v>174</v>
      </c>
      <c r="E1956" t="s">
        <v>258</v>
      </c>
      <c r="F1956" t="s">
        <v>99</v>
      </c>
      <c r="H1956" t="s">
        <v>99</v>
      </c>
      <c r="I1956">
        <v>2</v>
      </c>
      <c r="J1956" t="s">
        <v>115</v>
      </c>
      <c r="K1956" s="19">
        <v>0.60416666666666663</v>
      </c>
      <c r="L1956" s="19">
        <v>0.875</v>
      </c>
      <c r="M1956">
        <v>6.5</v>
      </c>
      <c r="N1956">
        <v>531.75</v>
      </c>
      <c r="O1956">
        <v>0</v>
      </c>
      <c r="P1956">
        <v>0</v>
      </c>
      <c r="Q1956" t="s">
        <v>99</v>
      </c>
      <c r="R1956">
        <v>30</v>
      </c>
      <c r="S1956" s="19">
        <v>0.8125</v>
      </c>
      <c r="T1956">
        <v>0</v>
      </c>
      <c r="U1956" s="19"/>
      <c r="V1956" t="s">
        <v>99</v>
      </c>
      <c r="W1956">
        <v>6</v>
      </c>
      <c r="X1956" t="s">
        <v>102</v>
      </c>
      <c r="Y1956" t="b">
        <v>0</v>
      </c>
    </row>
    <row r="1957" spans="1:25" x14ac:dyDescent="0.55000000000000004">
      <c r="A1957" t="s">
        <v>94</v>
      </c>
      <c r="B1957" t="s">
        <v>428</v>
      </c>
      <c r="C1957" t="s">
        <v>292</v>
      </c>
      <c r="D1957" t="s">
        <v>174</v>
      </c>
      <c r="E1957" t="s">
        <v>258</v>
      </c>
      <c r="F1957" t="s">
        <v>99</v>
      </c>
      <c r="H1957" t="s">
        <v>99</v>
      </c>
      <c r="I1957">
        <v>2</v>
      </c>
      <c r="J1957" t="s">
        <v>116</v>
      </c>
      <c r="K1957" s="19">
        <v>0.60416666666666663</v>
      </c>
      <c r="L1957" s="19">
        <v>0.875</v>
      </c>
      <c r="M1957">
        <v>6.5</v>
      </c>
      <c r="N1957">
        <v>353.22</v>
      </c>
      <c r="O1957">
        <v>0</v>
      </c>
      <c r="P1957">
        <v>0</v>
      </c>
      <c r="Q1957" t="s">
        <v>99</v>
      </c>
      <c r="R1957">
        <v>30</v>
      </c>
      <c r="S1957" s="19">
        <v>0.8125</v>
      </c>
      <c r="T1957">
        <v>0</v>
      </c>
      <c r="U1957" s="19"/>
      <c r="V1957" t="s">
        <v>99</v>
      </c>
      <c r="W1957">
        <v>6</v>
      </c>
      <c r="X1957" t="s">
        <v>102</v>
      </c>
      <c r="Y1957" t="b">
        <v>0</v>
      </c>
    </row>
    <row r="1958" spans="1:25" x14ac:dyDescent="0.55000000000000004">
      <c r="A1958" t="s">
        <v>94</v>
      </c>
      <c r="B1958" t="s">
        <v>428</v>
      </c>
      <c r="C1958" t="s">
        <v>292</v>
      </c>
      <c r="D1958" t="s">
        <v>174</v>
      </c>
      <c r="E1958" t="s">
        <v>258</v>
      </c>
      <c r="F1958" t="s">
        <v>99</v>
      </c>
      <c r="H1958" t="s">
        <v>99</v>
      </c>
      <c r="I1958">
        <v>2</v>
      </c>
      <c r="J1958" t="s">
        <v>104</v>
      </c>
      <c r="K1958" s="19">
        <v>0.60416666666666663</v>
      </c>
      <c r="L1958" s="19">
        <v>0.875</v>
      </c>
      <c r="M1958">
        <v>6.5</v>
      </c>
      <c r="N1958">
        <v>254.14</v>
      </c>
      <c r="O1958">
        <v>0</v>
      </c>
      <c r="P1958">
        <v>0</v>
      </c>
      <c r="Q1958" t="s">
        <v>99</v>
      </c>
      <c r="R1958">
        <v>30</v>
      </c>
      <c r="S1958" s="19">
        <v>0.8125</v>
      </c>
      <c r="T1958">
        <v>0</v>
      </c>
      <c r="U1958" s="19"/>
      <c r="V1958" t="s">
        <v>99</v>
      </c>
      <c r="W1958">
        <v>6</v>
      </c>
      <c r="X1958" t="s">
        <v>102</v>
      </c>
      <c r="Y1958" t="b">
        <v>0</v>
      </c>
    </row>
    <row r="1959" spans="1:25" x14ac:dyDescent="0.55000000000000004">
      <c r="A1959" t="s">
        <v>94</v>
      </c>
      <c r="B1959" t="s">
        <v>428</v>
      </c>
      <c r="C1959" t="s">
        <v>292</v>
      </c>
      <c r="D1959" t="s">
        <v>174</v>
      </c>
      <c r="E1959" t="s">
        <v>258</v>
      </c>
      <c r="F1959" t="s">
        <v>99</v>
      </c>
      <c r="H1959" t="s">
        <v>99</v>
      </c>
      <c r="I1959">
        <v>2</v>
      </c>
      <c r="J1959" t="s">
        <v>105</v>
      </c>
      <c r="K1959" s="19">
        <v>0.54166666666666663</v>
      </c>
      <c r="L1959" s="19">
        <v>0.875</v>
      </c>
      <c r="M1959">
        <v>8</v>
      </c>
      <c r="N1959">
        <v>282.38</v>
      </c>
      <c r="O1959">
        <v>0</v>
      </c>
      <c r="P1959">
        <v>0</v>
      </c>
      <c r="Q1959" t="s">
        <v>99</v>
      </c>
      <c r="R1959">
        <v>30</v>
      </c>
      <c r="S1959" s="19">
        <v>0.75</v>
      </c>
      <c r="T1959">
        <v>0</v>
      </c>
      <c r="U1959" s="19"/>
      <c r="V1959" t="s">
        <v>99</v>
      </c>
      <c r="W1959">
        <v>7.5</v>
      </c>
      <c r="X1959" t="s">
        <v>102</v>
      </c>
      <c r="Y1959" t="b">
        <v>0</v>
      </c>
    </row>
    <row r="1960" spans="1:25" x14ac:dyDescent="0.55000000000000004">
      <c r="A1960" t="s">
        <v>94</v>
      </c>
      <c r="B1960" t="s">
        <v>428</v>
      </c>
      <c r="C1960" t="s">
        <v>292</v>
      </c>
      <c r="D1960" t="s">
        <v>174</v>
      </c>
      <c r="E1960" t="s">
        <v>258</v>
      </c>
      <c r="F1960" t="s">
        <v>99</v>
      </c>
      <c r="G1960">
        <v>15697</v>
      </c>
      <c r="H1960" t="s">
        <v>442</v>
      </c>
      <c r="I1960">
        <v>2</v>
      </c>
      <c r="J1960" t="s">
        <v>107</v>
      </c>
      <c r="K1960" s="19">
        <v>0.60416666666666663</v>
      </c>
      <c r="L1960" s="19">
        <v>0.875</v>
      </c>
      <c r="M1960">
        <v>6.5</v>
      </c>
      <c r="N1960">
        <v>261.23</v>
      </c>
      <c r="O1960">
        <v>68</v>
      </c>
      <c r="P1960">
        <v>76</v>
      </c>
      <c r="Q1960" t="s">
        <v>99</v>
      </c>
      <c r="R1960">
        <v>30</v>
      </c>
      <c r="S1960" s="19">
        <v>0.8125</v>
      </c>
      <c r="T1960">
        <v>0</v>
      </c>
      <c r="U1960" s="19"/>
      <c r="V1960" t="s">
        <v>99</v>
      </c>
      <c r="W1960">
        <v>6</v>
      </c>
      <c r="X1960" t="s">
        <v>102</v>
      </c>
      <c r="Y1960" t="b">
        <v>0</v>
      </c>
    </row>
    <row r="1961" spans="1:25" x14ac:dyDescent="0.55000000000000004">
      <c r="A1961" t="s">
        <v>94</v>
      </c>
      <c r="B1961" t="s">
        <v>428</v>
      </c>
      <c r="C1961" t="s">
        <v>292</v>
      </c>
      <c r="D1961" t="s">
        <v>174</v>
      </c>
      <c r="E1961" t="s">
        <v>258</v>
      </c>
      <c r="F1961" t="s">
        <v>99</v>
      </c>
      <c r="G1961">
        <v>15697</v>
      </c>
      <c r="H1961" t="s">
        <v>442</v>
      </c>
      <c r="I1961">
        <v>2</v>
      </c>
      <c r="J1961" t="s">
        <v>103</v>
      </c>
      <c r="K1961" s="19">
        <v>0.60416666666666663</v>
      </c>
      <c r="L1961" s="19">
        <v>0.875</v>
      </c>
      <c r="M1961">
        <v>6.5</v>
      </c>
      <c r="N1961">
        <v>261.23</v>
      </c>
      <c r="O1961">
        <v>68</v>
      </c>
      <c r="P1961">
        <v>76</v>
      </c>
      <c r="Q1961" t="s">
        <v>99</v>
      </c>
      <c r="R1961">
        <v>30</v>
      </c>
      <c r="S1961" s="19">
        <v>0.8125</v>
      </c>
      <c r="T1961">
        <v>0</v>
      </c>
      <c r="U1961" s="19"/>
      <c r="V1961" t="s">
        <v>99</v>
      </c>
      <c r="W1961">
        <v>6</v>
      </c>
      <c r="X1961" t="s">
        <v>102</v>
      </c>
      <c r="Y1961" t="b">
        <v>0</v>
      </c>
    </row>
    <row r="1962" spans="1:25" x14ac:dyDescent="0.55000000000000004">
      <c r="A1962" t="s">
        <v>94</v>
      </c>
      <c r="B1962" t="s">
        <v>428</v>
      </c>
      <c r="C1962" t="s">
        <v>292</v>
      </c>
      <c r="D1962" t="s">
        <v>174</v>
      </c>
      <c r="E1962" t="s">
        <v>265</v>
      </c>
      <c r="F1962" t="s">
        <v>99</v>
      </c>
      <c r="G1962">
        <v>24893</v>
      </c>
      <c r="H1962" t="s">
        <v>444</v>
      </c>
      <c r="I1962">
        <v>1</v>
      </c>
      <c r="J1962" t="s">
        <v>115</v>
      </c>
      <c r="K1962" s="19">
        <v>0.27083333333333331</v>
      </c>
      <c r="L1962" s="19">
        <v>0.64583333333333337</v>
      </c>
      <c r="M1962">
        <v>9</v>
      </c>
      <c r="N1962">
        <v>724.32</v>
      </c>
      <c r="O1962">
        <v>76</v>
      </c>
      <c r="P1962">
        <v>76</v>
      </c>
      <c r="Q1962" t="s">
        <v>99</v>
      </c>
      <c r="R1962">
        <v>0</v>
      </c>
      <c r="S1962" s="19">
        <v>0.47916666666666669</v>
      </c>
      <c r="T1962">
        <v>0</v>
      </c>
      <c r="U1962" s="19"/>
      <c r="V1962" t="s">
        <v>99</v>
      </c>
      <c r="W1962">
        <v>9</v>
      </c>
      <c r="X1962" t="s">
        <v>102</v>
      </c>
      <c r="Y1962" t="b">
        <v>0</v>
      </c>
    </row>
    <row r="1963" spans="1:25" x14ac:dyDescent="0.55000000000000004">
      <c r="A1963" t="s">
        <v>94</v>
      </c>
      <c r="B1963" t="s">
        <v>428</v>
      </c>
      <c r="C1963" t="s">
        <v>292</v>
      </c>
      <c r="D1963" t="s">
        <v>174</v>
      </c>
      <c r="E1963" t="s">
        <v>265</v>
      </c>
      <c r="F1963" t="s">
        <v>99</v>
      </c>
      <c r="G1963">
        <v>24893</v>
      </c>
      <c r="H1963" t="s">
        <v>444</v>
      </c>
      <c r="I1963">
        <v>1</v>
      </c>
      <c r="J1963" t="s">
        <v>116</v>
      </c>
      <c r="K1963" s="19">
        <v>0.27083333333333331</v>
      </c>
      <c r="L1963" s="19">
        <v>0.64583333333333337</v>
      </c>
      <c r="M1963">
        <v>9</v>
      </c>
      <c r="N1963">
        <v>839.97</v>
      </c>
      <c r="O1963">
        <v>76</v>
      </c>
      <c r="P1963">
        <v>76</v>
      </c>
      <c r="Q1963" t="s">
        <v>99</v>
      </c>
      <c r="R1963">
        <v>0</v>
      </c>
      <c r="S1963" s="19">
        <v>0.47916666666666669</v>
      </c>
      <c r="T1963">
        <v>0</v>
      </c>
      <c r="U1963" s="19"/>
      <c r="V1963" t="s">
        <v>99</v>
      </c>
      <c r="W1963">
        <v>9</v>
      </c>
      <c r="X1963" t="s">
        <v>102</v>
      </c>
      <c r="Y1963" t="b">
        <v>0</v>
      </c>
    </row>
    <row r="1964" spans="1:25" x14ac:dyDescent="0.55000000000000004">
      <c r="A1964" t="s">
        <v>94</v>
      </c>
      <c r="B1964" t="s">
        <v>428</v>
      </c>
      <c r="C1964" t="s">
        <v>292</v>
      </c>
      <c r="D1964" t="s">
        <v>174</v>
      </c>
      <c r="E1964" t="s">
        <v>267</v>
      </c>
      <c r="F1964" t="s">
        <v>99</v>
      </c>
      <c r="H1964" t="s">
        <v>99</v>
      </c>
      <c r="I1964">
        <v>1</v>
      </c>
      <c r="J1964" t="s">
        <v>116</v>
      </c>
      <c r="K1964" s="19">
        <v>0.60416666666666663</v>
      </c>
      <c r="L1964" s="19">
        <v>0.95833333333333337</v>
      </c>
      <c r="M1964">
        <v>8.5</v>
      </c>
      <c r="N1964">
        <v>765.79</v>
      </c>
      <c r="O1964">
        <v>0</v>
      </c>
      <c r="P1964">
        <v>0</v>
      </c>
      <c r="Q1964" t="s">
        <v>99</v>
      </c>
      <c r="R1964">
        <v>0</v>
      </c>
      <c r="S1964" s="19">
        <v>0.8125</v>
      </c>
      <c r="T1964">
        <v>0</v>
      </c>
      <c r="U1964" s="19"/>
      <c r="V1964" t="s">
        <v>99</v>
      </c>
      <c r="W1964">
        <v>8.5</v>
      </c>
      <c r="X1964" t="s">
        <v>102</v>
      </c>
      <c r="Y1964" t="b">
        <v>0</v>
      </c>
    </row>
    <row r="1965" spans="1:25" x14ac:dyDescent="0.55000000000000004">
      <c r="A1965" t="s">
        <v>94</v>
      </c>
      <c r="B1965" t="s">
        <v>428</v>
      </c>
      <c r="C1965" t="s">
        <v>292</v>
      </c>
      <c r="D1965" t="s">
        <v>174</v>
      </c>
      <c r="E1965" t="s">
        <v>267</v>
      </c>
      <c r="F1965" t="s">
        <v>99</v>
      </c>
      <c r="G1965">
        <v>17219</v>
      </c>
      <c r="H1965" t="s">
        <v>445</v>
      </c>
      <c r="I1965">
        <v>2</v>
      </c>
      <c r="J1965" t="s">
        <v>107</v>
      </c>
      <c r="K1965" s="19">
        <v>0.60416666666666663</v>
      </c>
      <c r="L1965" s="19">
        <v>0.95833333333333337</v>
      </c>
      <c r="M1965">
        <v>8.5</v>
      </c>
      <c r="N1965">
        <v>522.09</v>
      </c>
      <c r="O1965">
        <v>72</v>
      </c>
      <c r="P1965">
        <v>76</v>
      </c>
      <c r="Q1965" t="s">
        <v>99</v>
      </c>
      <c r="R1965">
        <v>0</v>
      </c>
      <c r="S1965" s="19">
        <v>0.8125</v>
      </c>
      <c r="T1965">
        <v>0</v>
      </c>
      <c r="U1965" s="19"/>
      <c r="V1965" t="s">
        <v>99</v>
      </c>
      <c r="W1965">
        <v>8.5</v>
      </c>
      <c r="X1965" t="s">
        <v>102</v>
      </c>
      <c r="Y1965" t="b">
        <v>0</v>
      </c>
    </row>
    <row r="1966" spans="1:25" x14ac:dyDescent="0.55000000000000004">
      <c r="A1966" t="s">
        <v>94</v>
      </c>
      <c r="B1966" t="s">
        <v>428</v>
      </c>
      <c r="C1966" t="s">
        <v>292</v>
      </c>
      <c r="D1966" t="s">
        <v>174</v>
      </c>
      <c r="E1966" t="s">
        <v>267</v>
      </c>
      <c r="F1966" t="s">
        <v>99</v>
      </c>
      <c r="G1966">
        <v>17219</v>
      </c>
      <c r="H1966" t="s">
        <v>445</v>
      </c>
      <c r="I1966">
        <v>2</v>
      </c>
      <c r="J1966" t="s">
        <v>103</v>
      </c>
      <c r="K1966" s="19">
        <v>0.60416666666666663</v>
      </c>
      <c r="L1966" s="19">
        <v>0.95833333333333337</v>
      </c>
      <c r="M1966">
        <v>8.5</v>
      </c>
      <c r="N1966">
        <v>522.09</v>
      </c>
      <c r="O1966">
        <v>72</v>
      </c>
      <c r="P1966">
        <v>76</v>
      </c>
      <c r="Q1966" t="s">
        <v>99</v>
      </c>
      <c r="R1966">
        <v>0</v>
      </c>
      <c r="S1966" s="19">
        <v>0.8125</v>
      </c>
      <c r="T1966">
        <v>0</v>
      </c>
      <c r="U1966" s="19"/>
      <c r="V1966" t="s">
        <v>99</v>
      </c>
      <c r="W1966">
        <v>8.5</v>
      </c>
      <c r="X1966" t="s">
        <v>102</v>
      </c>
      <c r="Y1966" t="b">
        <v>0</v>
      </c>
    </row>
    <row r="1967" spans="1:25" x14ac:dyDescent="0.55000000000000004">
      <c r="A1967" t="s">
        <v>94</v>
      </c>
      <c r="B1967" t="s">
        <v>428</v>
      </c>
      <c r="C1967" t="s">
        <v>292</v>
      </c>
      <c r="D1967" t="s">
        <v>174</v>
      </c>
      <c r="E1967" t="s">
        <v>267</v>
      </c>
      <c r="F1967" t="s">
        <v>99</v>
      </c>
      <c r="G1967">
        <v>17219</v>
      </c>
      <c r="H1967" t="s">
        <v>445</v>
      </c>
      <c r="I1967">
        <v>2</v>
      </c>
      <c r="J1967" t="s">
        <v>105</v>
      </c>
      <c r="K1967" s="19">
        <v>0.60416666666666663</v>
      </c>
      <c r="L1967" s="19">
        <v>0.95833333333333337</v>
      </c>
      <c r="M1967">
        <v>8.5</v>
      </c>
      <c r="N1967">
        <v>522.09</v>
      </c>
      <c r="O1967">
        <v>72</v>
      </c>
      <c r="P1967">
        <v>76</v>
      </c>
      <c r="Q1967" t="s">
        <v>99</v>
      </c>
      <c r="R1967">
        <v>0</v>
      </c>
      <c r="S1967" s="19">
        <v>0.8125</v>
      </c>
      <c r="T1967">
        <v>0</v>
      </c>
      <c r="U1967" s="19"/>
      <c r="V1967" t="s">
        <v>99</v>
      </c>
      <c r="W1967">
        <v>8.5</v>
      </c>
      <c r="X1967" t="s">
        <v>102</v>
      </c>
      <c r="Y1967" t="b">
        <v>0</v>
      </c>
    </row>
    <row r="1968" spans="1:25" x14ac:dyDescent="0.55000000000000004">
      <c r="A1968" t="s">
        <v>94</v>
      </c>
      <c r="B1968" t="s">
        <v>428</v>
      </c>
      <c r="C1968" t="s">
        <v>292</v>
      </c>
      <c r="D1968" t="s">
        <v>174</v>
      </c>
      <c r="E1968" t="s">
        <v>267</v>
      </c>
      <c r="F1968" t="s">
        <v>99</v>
      </c>
      <c r="G1968">
        <v>18158</v>
      </c>
      <c r="H1968" t="s">
        <v>446</v>
      </c>
      <c r="I1968">
        <v>1</v>
      </c>
      <c r="J1968" t="s">
        <v>107</v>
      </c>
      <c r="K1968" s="19">
        <v>0.60416666666666663</v>
      </c>
      <c r="L1968" s="19">
        <v>0.95833333333333337</v>
      </c>
      <c r="M1968">
        <v>8.5</v>
      </c>
      <c r="N1968">
        <v>522.09</v>
      </c>
      <c r="O1968">
        <v>72</v>
      </c>
      <c r="P1968">
        <v>76</v>
      </c>
      <c r="Q1968" t="s">
        <v>99</v>
      </c>
      <c r="R1968">
        <v>0</v>
      </c>
      <c r="S1968" s="19">
        <v>0.8125</v>
      </c>
      <c r="T1968">
        <v>0</v>
      </c>
      <c r="U1968" s="19"/>
      <c r="V1968" t="s">
        <v>99</v>
      </c>
      <c r="W1968">
        <v>8.5</v>
      </c>
      <c r="X1968" t="s">
        <v>102</v>
      </c>
      <c r="Y1968" t="b">
        <v>0</v>
      </c>
    </row>
    <row r="1969" spans="1:25" x14ac:dyDescent="0.55000000000000004">
      <c r="A1969" t="s">
        <v>94</v>
      </c>
      <c r="B1969" t="s">
        <v>428</v>
      </c>
      <c r="C1969" t="s">
        <v>292</v>
      </c>
      <c r="D1969" t="s">
        <v>174</v>
      </c>
      <c r="E1969" t="s">
        <v>267</v>
      </c>
      <c r="F1969" t="s">
        <v>99</v>
      </c>
      <c r="G1969">
        <v>18158</v>
      </c>
      <c r="H1969" t="s">
        <v>446</v>
      </c>
      <c r="I1969">
        <v>1</v>
      </c>
      <c r="J1969" t="s">
        <v>115</v>
      </c>
      <c r="K1969" s="19">
        <v>0.60416666666666663</v>
      </c>
      <c r="L1969" s="19">
        <v>0.95833333333333337</v>
      </c>
      <c r="M1969">
        <v>8.5</v>
      </c>
      <c r="N1969">
        <v>695.55</v>
      </c>
      <c r="O1969">
        <v>72</v>
      </c>
      <c r="P1969">
        <v>76</v>
      </c>
      <c r="Q1969" t="s">
        <v>99</v>
      </c>
      <c r="R1969">
        <v>0</v>
      </c>
      <c r="S1969" s="19">
        <v>0.8125</v>
      </c>
      <c r="T1969">
        <v>0</v>
      </c>
      <c r="U1969" s="19"/>
      <c r="V1969" t="s">
        <v>99</v>
      </c>
      <c r="W1969">
        <v>8.5</v>
      </c>
      <c r="X1969" t="s">
        <v>102</v>
      </c>
      <c r="Y1969" t="b">
        <v>0</v>
      </c>
    </row>
    <row r="1970" spans="1:25" x14ac:dyDescent="0.55000000000000004">
      <c r="A1970" t="s">
        <v>94</v>
      </c>
      <c r="B1970" t="s">
        <v>428</v>
      </c>
      <c r="C1970" t="s">
        <v>292</v>
      </c>
      <c r="D1970" t="s">
        <v>174</v>
      </c>
      <c r="E1970" t="s">
        <v>267</v>
      </c>
      <c r="F1970" t="s">
        <v>99</v>
      </c>
      <c r="G1970">
        <v>18158</v>
      </c>
      <c r="H1970" t="s">
        <v>446</v>
      </c>
      <c r="I1970">
        <v>1</v>
      </c>
      <c r="J1970" t="s">
        <v>103</v>
      </c>
      <c r="K1970" s="19">
        <v>0.60416666666666663</v>
      </c>
      <c r="L1970" s="19">
        <v>0.95833333333333337</v>
      </c>
      <c r="M1970">
        <v>8.5</v>
      </c>
      <c r="N1970">
        <v>522.09</v>
      </c>
      <c r="O1970">
        <v>72</v>
      </c>
      <c r="P1970">
        <v>76</v>
      </c>
      <c r="Q1970" t="s">
        <v>99</v>
      </c>
      <c r="R1970">
        <v>0</v>
      </c>
      <c r="S1970" s="19">
        <v>0.8125</v>
      </c>
      <c r="T1970">
        <v>0</v>
      </c>
      <c r="U1970" s="19"/>
      <c r="V1970" t="s">
        <v>99</v>
      </c>
      <c r="W1970">
        <v>8.5</v>
      </c>
      <c r="X1970" t="s">
        <v>102</v>
      </c>
      <c r="Y1970" t="b">
        <v>0</v>
      </c>
    </row>
    <row r="1971" spans="1:25" x14ac:dyDescent="0.55000000000000004">
      <c r="A1971" t="s">
        <v>94</v>
      </c>
      <c r="B1971" t="s">
        <v>428</v>
      </c>
      <c r="C1971" t="s">
        <v>292</v>
      </c>
      <c r="D1971" t="s">
        <v>174</v>
      </c>
      <c r="E1971" t="s">
        <v>267</v>
      </c>
      <c r="F1971" t="s">
        <v>99</v>
      </c>
      <c r="G1971">
        <v>18158</v>
      </c>
      <c r="H1971" t="s">
        <v>446</v>
      </c>
      <c r="I1971">
        <v>1</v>
      </c>
      <c r="J1971" t="s">
        <v>105</v>
      </c>
      <c r="K1971" s="19">
        <v>0.60416666666666663</v>
      </c>
      <c r="L1971" s="19">
        <v>0.95833333333333337</v>
      </c>
      <c r="M1971">
        <v>8.5</v>
      </c>
      <c r="N1971">
        <v>522.09</v>
      </c>
      <c r="O1971">
        <v>72</v>
      </c>
      <c r="P1971">
        <v>76</v>
      </c>
      <c r="Q1971" t="s">
        <v>99</v>
      </c>
      <c r="R1971">
        <v>0</v>
      </c>
      <c r="S1971" s="19">
        <v>0.8125</v>
      </c>
      <c r="T1971">
        <v>0</v>
      </c>
      <c r="U1971" s="19"/>
      <c r="V1971" t="s">
        <v>99</v>
      </c>
      <c r="W1971">
        <v>8.5</v>
      </c>
      <c r="X1971" t="s">
        <v>102</v>
      </c>
      <c r="Y1971" t="b">
        <v>0</v>
      </c>
    </row>
    <row r="1972" spans="1:25" x14ac:dyDescent="0.55000000000000004">
      <c r="A1972" t="s">
        <v>94</v>
      </c>
      <c r="B1972" t="s">
        <v>428</v>
      </c>
      <c r="C1972" t="s">
        <v>292</v>
      </c>
      <c r="D1972" t="s">
        <v>174</v>
      </c>
      <c r="E1972" t="s">
        <v>267</v>
      </c>
      <c r="F1972" t="s">
        <v>99</v>
      </c>
      <c r="G1972">
        <v>24694</v>
      </c>
      <c r="H1972" t="s">
        <v>447</v>
      </c>
      <c r="I1972">
        <v>1</v>
      </c>
      <c r="J1972" t="s">
        <v>101</v>
      </c>
      <c r="K1972" s="19">
        <v>0.60416666666666663</v>
      </c>
      <c r="L1972" s="19">
        <v>0.95833333333333337</v>
      </c>
      <c r="M1972">
        <v>8.5</v>
      </c>
      <c r="N1972">
        <v>513.48</v>
      </c>
      <c r="O1972">
        <v>76</v>
      </c>
      <c r="P1972">
        <v>76</v>
      </c>
      <c r="Q1972" t="s">
        <v>99</v>
      </c>
      <c r="R1972">
        <v>0</v>
      </c>
      <c r="S1972" s="19">
        <v>0.8125</v>
      </c>
      <c r="T1972">
        <v>0</v>
      </c>
      <c r="U1972" s="19"/>
      <c r="V1972" t="s">
        <v>99</v>
      </c>
      <c r="W1972">
        <v>8.5</v>
      </c>
      <c r="X1972" t="s">
        <v>102</v>
      </c>
      <c r="Y1972" t="b">
        <v>0</v>
      </c>
    </row>
    <row r="1973" spans="1:25" x14ac:dyDescent="0.55000000000000004">
      <c r="A1973" t="s">
        <v>94</v>
      </c>
      <c r="B1973" t="s">
        <v>428</v>
      </c>
      <c r="C1973" t="s">
        <v>292</v>
      </c>
      <c r="D1973" t="s">
        <v>174</v>
      </c>
      <c r="E1973" t="s">
        <v>267</v>
      </c>
      <c r="F1973" t="s">
        <v>99</v>
      </c>
      <c r="G1973">
        <v>24694</v>
      </c>
      <c r="H1973" t="s">
        <v>447</v>
      </c>
      <c r="I1973">
        <v>1</v>
      </c>
      <c r="J1973" t="s">
        <v>104</v>
      </c>
      <c r="K1973" s="19">
        <v>0.60416666666666663</v>
      </c>
      <c r="L1973" s="19">
        <v>0.95833333333333337</v>
      </c>
      <c r="M1973">
        <v>8.5</v>
      </c>
      <c r="N1973">
        <v>513.48</v>
      </c>
      <c r="O1973">
        <v>76</v>
      </c>
      <c r="P1973">
        <v>76</v>
      </c>
      <c r="Q1973" t="s">
        <v>99</v>
      </c>
      <c r="R1973">
        <v>0</v>
      </c>
      <c r="S1973" s="19">
        <v>0.8125</v>
      </c>
      <c r="T1973">
        <v>0</v>
      </c>
      <c r="U1973" s="19"/>
      <c r="V1973" t="s">
        <v>99</v>
      </c>
      <c r="W1973">
        <v>8.5</v>
      </c>
      <c r="X1973" t="s">
        <v>102</v>
      </c>
      <c r="Y1973" t="b">
        <v>0</v>
      </c>
    </row>
    <row r="1974" spans="1:25" x14ac:dyDescent="0.55000000000000004">
      <c r="A1974" t="s">
        <v>94</v>
      </c>
      <c r="B1974" t="s">
        <v>428</v>
      </c>
      <c r="C1974" t="s">
        <v>292</v>
      </c>
      <c r="D1974" t="s">
        <v>174</v>
      </c>
      <c r="E1974" t="s">
        <v>267</v>
      </c>
      <c r="F1974" t="s">
        <v>99</v>
      </c>
      <c r="G1974">
        <v>24694</v>
      </c>
      <c r="H1974" t="s">
        <v>447</v>
      </c>
      <c r="I1974">
        <v>2</v>
      </c>
      <c r="J1974" t="s">
        <v>101</v>
      </c>
      <c r="K1974" s="19">
        <v>0.58333333333333337</v>
      </c>
      <c r="L1974" s="19">
        <v>0.95833333333333337</v>
      </c>
      <c r="M1974">
        <v>9</v>
      </c>
      <c r="N1974">
        <v>542.39</v>
      </c>
      <c r="O1974">
        <v>76</v>
      </c>
      <c r="P1974">
        <v>76</v>
      </c>
      <c r="Q1974" t="s">
        <v>99</v>
      </c>
      <c r="R1974">
        <v>0</v>
      </c>
      <c r="S1974" s="19">
        <v>0.8125</v>
      </c>
      <c r="T1974">
        <v>0</v>
      </c>
      <c r="U1974" s="19"/>
      <c r="V1974" t="s">
        <v>99</v>
      </c>
      <c r="W1974">
        <v>9</v>
      </c>
      <c r="X1974" t="s">
        <v>102</v>
      </c>
      <c r="Y1974" t="b">
        <v>0</v>
      </c>
    </row>
    <row r="1975" spans="1:25" x14ac:dyDescent="0.55000000000000004">
      <c r="A1975" t="s">
        <v>94</v>
      </c>
      <c r="B1975" t="s">
        <v>428</v>
      </c>
      <c r="C1975" t="s">
        <v>292</v>
      </c>
      <c r="D1975" t="s">
        <v>174</v>
      </c>
      <c r="E1975" t="s">
        <v>267</v>
      </c>
      <c r="F1975" t="s">
        <v>99</v>
      </c>
      <c r="G1975">
        <v>24694</v>
      </c>
      <c r="H1975" t="s">
        <v>447</v>
      </c>
      <c r="I1975">
        <v>2</v>
      </c>
      <c r="J1975" t="s">
        <v>104</v>
      </c>
      <c r="K1975" s="19">
        <v>0.60416666666666663</v>
      </c>
      <c r="L1975" s="19">
        <v>0.95833333333333337</v>
      </c>
      <c r="M1975">
        <v>8.5</v>
      </c>
      <c r="N1975">
        <v>513.48</v>
      </c>
      <c r="O1975">
        <v>76</v>
      </c>
      <c r="P1975">
        <v>76</v>
      </c>
      <c r="Q1975" t="s">
        <v>99</v>
      </c>
      <c r="R1975">
        <v>0</v>
      </c>
      <c r="S1975" s="19">
        <v>0.8125</v>
      </c>
      <c r="T1975">
        <v>0</v>
      </c>
      <c r="U1975" s="19"/>
      <c r="V1975" t="s">
        <v>99</v>
      </c>
      <c r="W1975">
        <v>8.5</v>
      </c>
      <c r="X1975" t="s">
        <v>102</v>
      </c>
      <c r="Y1975" t="b">
        <v>0</v>
      </c>
    </row>
    <row r="1976" spans="1:25" x14ac:dyDescent="0.55000000000000004">
      <c r="A1976" t="s">
        <v>94</v>
      </c>
      <c r="B1976" t="s">
        <v>428</v>
      </c>
      <c r="C1976" t="s">
        <v>292</v>
      </c>
      <c r="D1976" t="s">
        <v>174</v>
      </c>
      <c r="E1976" t="s">
        <v>267</v>
      </c>
      <c r="F1976" t="s">
        <v>99</v>
      </c>
      <c r="G1976">
        <v>24893</v>
      </c>
      <c r="H1976" t="s">
        <v>444</v>
      </c>
      <c r="I1976">
        <v>2</v>
      </c>
      <c r="J1976" t="s">
        <v>115</v>
      </c>
      <c r="K1976" s="19">
        <v>0.60416666666666663</v>
      </c>
      <c r="L1976" s="19">
        <v>0.95833333333333337</v>
      </c>
      <c r="M1976">
        <v>8.5</v>
      </c>
      <c r="N1976">
        <v>684.08</v>
      </c>
      <c r="O1976">
        <v>76</v>
      </c>
      <c r="P1976">
        <v>76</v>
      </c>
      <c r="Q1976" t="s">
        <v>99</v>
      </c>
      <c r="R1976">
        <v>0</v>
      </c>
      <c r="S1976" s="19">
        <v>0.8125</v>
      </c>
      <c r="T1976">
        <v>0</v>
      </c>
      <c r="U1976" s="19"/>
      <c r="V1976" t="s">
        <v>99</v>
      </c>
      <c r="W1976">
        <v>8.5</v>
      </c>
      <c r="X1976" t="s">
        <v>102</v>
      </c>
      <c r="Y1976" t="b">
        <v>0</v>
      </c>
    </row>
    <row r="1977" spans="1:25" x14ac:dyDescent="0.55000000000000004">
      <c r="A1977" t="s">
        <v>94</v>
      </c>
      <c r="B1977" t="s">
        <v>428</v>
      </c>
      <c r="C1977" t="s">
        <v>292</v>
      </c>
      <c r="D1977" t="s">
        <v>174</v>
      </c>
      <c r="E1977" t="s">
        <v>267</v>
      </c>
      <c r="F1977" t="s">
        <v>99</v>
      </c>
      <c r="G1977">
        <v>24893</v>
      </c>
      <c r="H1977" t="s">
        <v>444</v>
      </c>
      <c r="I1977">
        <v>2</v>
      </c>
      <c r="J1977" t="s">
        <v>116</v>
      </c>
      <c r="K1977" s="19">
        <v>0.60416666666666663</v>
      </c>
      <c r="L1977" s="19">
        <v>0.95833333333333337</v>
      </c>
      <c r="M1977">
        <v>8.5</v>
      </c>
      <c r="N1977">
        <v>793.31</v>
      </c>
      <c r="O1977">
        <v>76</v>
      </c>
      <c r="P1977">
        <v>76</v>
      </c>
      <c r="Q1977" t="s">
        <v>99</v>
      </c>
      <c r="R1977">
        <v>0</v>
      </c>
      <c r="S1977" s="19">
        <v>0.8125</v>
      </c>
      <c r="T1977">
        <v>0</v>
      </c>
      <c r="U1977" s="19"/>
      <c r="V1977" t="s">
        <v>99</v>
      </c>
      <c r="W1977">
        <v>8.5</v>
      </c>
      <c r="X1977" t="s">
        <v>102</v>
      </c>
      <c r="Y1977" t="b">
        <v>0</v>
      </c>
    </row>
    <row r="1978" spans="1:25" x14ac:dyDescent="0.55000000000000004">
      <c r="A1978" t="s">
        <v>94</v>
      </c>
      <c r="B1978" t="s">
        <v>428</v>
      </c>
      <c r="C1978" t="s">
        <v>292</v>
      </c>
      <c r="D1978" t="s">
        <v>174</v>
      </c>
      <c r="E1978" t="s">
        <v>273</v>
      </c>
      <c r="F1978" t="s">
        <v>99</v>
      </c>
      <c r="H1978" t="s">
        <v>99</v>
      </c>
      <c r="I1978">
        <v>1</v>
      </c>
      <c r="J1978" t="s">
        <v>115</v>
      </c>
      <c r="K1978" s="19">
        <v>0.9375</v>
      </c>
      <c r="L1978" s="19">
        <v>0.29166666666666669</v>
      </c>
      <c r="M1978">
        <v>8.5</v>
      </c>
      <c r="N1978">
        <v>753.73</v>
      </c>
      <c r="O1978">
        <v>0</v>
      </c>
      <c r="P1978">
        <v>0</v>
      </c>
      <c r="Q1978" t="s">
        <v>99</v>
      </c>
      <c r="R1978">
        <v>0</v>
      </c>
      <c r="S1978" s="19">
        <v>0.9375</v>
      </c>
      <c r="T1978">
        <v>0</v>
      </c>
      <c r="U1978" s="19"/>
      <c r="V1978" t="s">
        <v>99</v>
      </c>
      <c r="W1978">
        <v>8.5</v>
      </c>
      <c r="X1978" t="s">
        <v>102</v>
      </c>
      <c r="Y1978" t="b">
        <v>0</v>
      </c>
    </row>
    <row r="1979" spans="1:25" x14ac:dyDescent="0.55000000000000004">
      <c r="A1979" t="s">
        <v>94</v>
      </c>
      <c r="B1979" t="s">
        <v>428</v>
      </c>
      <c r="C1979" t="s">
        <v>292</v>
      </c>
      <c r="D1979" t="s">
        <v>174</v>
      </c>
      <c r="E1979" t="s">
        <v>273</v>
      </c>
      <c r="F1979" t="s">
        <v>99</v>
      </c>
      <c r="H1979" t="s">
        <v>99</v>
      </c>
      <c r="I1979">
        <v>1</v>
      </c>
      <c r="J1979" t="s">
        <v>116</v>
      </c>
      <c r="K1979" s="19">
        <v>0.9375</v>
      </c>
      <c r="L1979" s="19">
        <v>0.29166666666666669</v>
      </c>
      <c r="M1979">
        <v>8.5</v>
      </c>
      <c r="N1979">
        <v>562.48</v>
      </c>
      <c r="O1979">
        <v>0</v>
      </c>
      <c r="P1979">
        <v>0</v>
      </c>
      <c r="Q1979" t="s">
        <v>99</v>
      </c>
      <c r="R1979">
        <v>0</v>
      </c>
      <c r="S1979" s="19">
        <v>0.9375</v>
      </c>
      <c r="T1979">
        <v>0</v>
      </c>
      <c r="U1979" s="19"/>
      <c r="V1979" t="s">
        <v>99</v>
      </c>
      <c r="W1979">
        <v>8.5</v>
      </c>
      <c r="X1979" t="s">
        <v>102</v>
      </c>
      <c r="Y1979" t="b">
        <v>0</v>
      </c>
    </row>
    <row r="1980" spans="1:25" x14ac:dyDescent="0.55000000000000004">
      <c r="A1980" t="s">
        <v>94</v>
      </c>
      <c r="B1980" t="s">
        <v>428</v>
      </c>
      <c r="C1980" t="s">
        <v>292</v>
      </c>
      <c r="D1980" t="s">
        <v>174</v>
      </c>
      <c r="E1980" t="s">
        <v>273</v>
      </c>
      <c r="F1980" t="s">
        <v>99</v>
      </c>
      <c r="H1980" t="s">
        <v>99</v>
      </c>
      <c r="I1980">
        <v>2</v>
      </c>
      <c r="J1980" t="s">
        <v>101</v>
      </c>
      <c r="K1980" s="19">
        <v>0.9375</v>
      </c>
      <c r="L1980" s="19">
        <v>0.29166666666666669</v>
      </c>
      <c r="M1980">
        <v>8.5</v>
      </c>
      <c r="N1980">
        <v>517.48</v>
      </c>
      <c r="O1980">
        <v>0</v>
      </c>
      <c r="P1980">
        <v>0</v>
      </c>
      <c r="Q1980" t="s">
        <v>99</v>
      </c>
      <c r="R1980">
        <v>0</v>
      </c>
      <c r="S1980" s="19">
        <v>0.9375</v>
      </c>
      <c r="T1980">
        <v>0</v>
      </c>
      <c r="U1980" s="19"/>
      <c r="V1980" t="s">
        <v>99</v>
      </c>
      <c r="W1980">
        <v>8.5</v>
      </c>
      <c r="X1980" t="s">
        <v>102</v>
      </c>
      <c r="Y1980" t="b">
        <v>0</v>
      </c>
    </row>
    <row r="1981" spans="1:25" x14ac:dyDescent="0.55000000000000004">
      <c r="A1981" t="s">
        <v>94</v>
      </c>
      <c r="B1981" t="s">
        <v>428</v>
      </c>
      <c r="C1981" t="s">
        <v>292</v>
      </c>
      <c r="D1981" t="s">
        <v>174</v>
      </c>
      <c r="E1981" t="s">
        <v>273</v>
      </c>
      <c r="F1981" t="s">
        <v>99</v>
      </c>
      <c r="G1981">
        <v>17219</v>
      </c>
      <c r="H1981" t="s">
        <v>445</v>
      </c>
      <c r="I1981">
        <v>1</v>
      </c>
      <c r="J1981" t="s">
        <v>107</v>
      </c>
      <c r="K1981" s="19">
        <v>0.9375</v>
      </c>
      <c r="L1981" s="19">
        <v>0.29166666666666669</v>
      </c>
      <c r="M1981">
        <v>8.5</v>
      </c>
      <c r="N1981">
        <v>668.1</v>
      </c>
      <c r="O1981">
        <v>72</v>
      </c>
      <c r="P1981">
        <v>76</v>
      </c>
      <c r="Q1981" t="s">
        <v>99</v>
      </c>
      <c r="R1981">
        <v>0</v>
      </c>
      <c r="S1981" s="19">
        <v>0.9375</v>
      </c>
      <c r="T1981">
        <v>0</v>
      </c>
      <c r="U1981" s="19"/>
      <c r="V1981" t="s">
        <v>99</v>
      </c>
      <c r="W1981">
        <v>8.5</v>
      </c>
      <c r="X1981" t="s">
        <v>102</v>
      </c>
      <c r="Y1981" t="b">
        <v>0</v>
      </c>
    </row>
    <row r="1982" spans="1:25" x14ac:dyDescent="0.55000000000000004">
      <c r="A1982" t="s">
        <v>94</v>
      </c>
      <c r="B1982" t="s">
        <v>428</v>
      </c>
      <c r="C1982" t="s">
        <v>292</v>
      </c>
      <c r="D1982" t="s">
        <v>174</v>
      </c>
      <c r="E1982" t="s">
        <v>273</v>
      </c>
      <c r="F1982" t="s">
        <v>99</v>
      </c>
      <c r="G1982">
        <v>17219</v>
      </c>
      <c r="H1982" t="s">
        <v>445</v>
      </c>
      <c r="I1982">
        <v>1</v>
      </c>
      <c r="J1982" t="s">
        <v>101</v>
      </c>
      <c r="K1982" s="19">
        <v>0.9375</v>
      </c>
      <c r="L1982" s="19">
        <v>0.29166666666666669</v>
      </c>
      <c r="M1982">
        <v>8.5</v>
      </c>
      <c r="N1982">
        <v>539.96</v>
      </c>
      <c r="O1982">
        <v>72</v>
      </c>
      <c r="P1982">
        <v>76</v>
      </c>
      <c r="Q1982" t="s">
        <v>99</v>
      </c>
      <c r="R1982">
        <v>0</v>
      </c>
      <c r="S1982" s="19">
        <v>0.9375</v>
      </c>
      <c r="T1982">
        <v>0</v>
      </c>
      <c r="U1982" s="19"/>
      <c r="V1982" t="s">
        <v>99</v>
      </c>
      <c r="W1982">
        <v>8.5</v>
      </c>
      <c r="X1982" t="s">
        <v>102</v>
      </c>
      <c r="Y1982" t="b">
        <v>0</v>
      </c>
    </row>
    <row r="1983" spans="1:25" x14ac:dyDescent="0.55000000000000004">
      <c r="A1983" t="s">
        <v>94</v>
      </c>
      <c r="B1983" t="s">
        <v>428</v>
      </c>
      <c r="C1983" t="s">
        <v>292</v>
      </c>
      <c r="D1983" t="s">
        <v>174</v>
      </c>
      <c r="E1983" t="s">
        <v>273</v>
      </c>
      <c r="F1983" t="s">
        <v>99</v>
      </c>
      <c r="G1983">
        <v>17219</v>
      </c>
      <c r="H1983" t="s">
        <v>445</v>
      </c>
      <c r="I1983">
        <v>1</v>
      </c>
      <c r="J1983" t="s">
        <v>103</v>
      </c>
      <c r="K1983" s="19">
        <v>0.9375</v>
      </c>
      <c r="L1983" s="19">
        <v>0.29166666666666669</v>
      </c>
      <c r="M1983">
        <v>8.5</v>
      </c>
      <c r="N1983">
        <v>539.96</v>
      </c>
      <c r="O1983">
        <v>72</v>
      </c>
      <c r="P1983">
        <v>76</v>
      </c>
      <c r="Q1983" t="s">
        <v>99</v>
      </c>
      <c r="R1983">
        <v>0</v>
      </c>
      <c r="S1983" s="19">
        <v>0.9375</v>
      </c>
      <c r="T1983">
        <v>0</v>
      </c>
      <c r="U1983" s="19"/>
      <c r="V1983" t="s">
        <v>99</v>
      </c>
      <c r="W1983">
        <v>8.5</v>
      </c>
      <c r="X1983" t="s">
        <v>102</v>
      </c>
      <c r="Y1983" t="b">
        <v>0</v>
      </c>
    </row>
    <row r="1984" spans="1:25" x14ac:dyDescent="0.55000000000000004">
      <c r="A1984" t="s">
        <v>94</v>
      </c>
      <c r="B1984" t="s">
        <v>428</v>
      </c>
      <c r="C1984" t="s">
        <v>292</v>
      </c>
      <c r="D1984" t="s">
        <v>174</v>
      </c>
      <c r="E1984" t="s">
        <v>273</v>
      </c>
      <c r="F1984" t="s">
        <v>99</v>
      </c>
      <c r="G1984">
        <v>17219</v>
      </c>
      <c r="H1984" t="s">
        <v>445</v>
      </c>
      <c r="I1984">
        <v>1</v>
      </c>
      <c r="J1984" t="s">
        <v>104</v>
      </c>
      <c r="K1984" s="19">
        <v>0.9375</v>
      </c>
      <c r="L1984" s="19">
        <v>0.29166666666666669</v>
      </c>
      <c r="M1984">
        <v>8.5</v>
      </c>
      <c r="N1984">
        <v>539.96</v>
      </c>
      <c r="O1984">
        <v>72</v>
      </c>
      <c r="P1984">
        <v>76</v>
      </c>
      <c r="Q1984" t="s">
        <v>99</v>
      </c>
      <c r="R1984">
        <v>0</v>
      </c>
      <c r="S1984" s="19">
        <v>0.9375</v>
      </c>
      <c r="T1984">
        <v>0</v>
      </c>
      <c r="U1984" s="19"/>
      <c r="V1984" t="s">
        <v>99</v>
      </c>
      <c r="W1984">
        <v>8.5</v>
      </c>
      <c r="X1984" t="s">
        <v>102</v>
      </c>
      <c r="Y1984" t="b">
        <v>0</v>
      </c>
    </row>
    <row r="1985" spans="1:25" x14ac:dyDescent="0.55000000000000004">
      <c r="A1985" t="s">
        <v>94</v>
      </c>
      <c r="B1985" t="s">
        <v>428</v>
      </c>
      <c r="C1985" t="s">
        <v>292</v>
      </c>
      <c r="D1985" t="s">
        <v>174</v>
      </c>
      <c r="E1985" t="s">
        <v>273</v>
      </c>
      <c r="F1985" t="s">
        <v>99</v>
      </c>
      <c r="G1985">
        <v>17219</v>
      </c>
      <c r="H1985" t="s">
        <v>445</v>
      </c>
      <c r="I1985">
        <v>1</v>
      </c>
      <c r="J1985" t="s">
        <v>105</v>
      </c>
      <c r="K1985" s="19">
        <v>0.9375</v>
      </c>
      <c r="L1985" s="19">
        <v>0.29166666666666669</v>
      </c>
      <c r="M1985">
        <v>8.5</v>
      </c>
      <c r="N1985">
        <v>539.96</v>
      </c>
      <c r="O1985">
        <v>72</v>
      </c>
      <c r="P1985">
        <v>76</v>
      </c>
      <c r="Q1985" t="s">
        <v>99</v>
      </c>
      <c r="R1985">
        <v>0</v>
      </c>
      <c r="S1985" s="19">
        <v>0.9375</v>
      </c>
      <c r="T1985">
        <v>0</v>
      </c>
      <c r="U1985" s="19"/>
      <c r="V1985" t="s">
        <v>99</v>
      </c>
      <c r="W1985">
        <v>8.5</v>
      </c>
      <c r="X1985" t="s">
        <v>102</v>
      </c>
      <c r="Y1985" t="b">
        <v>0</v>
      </c>
    </row>
    <row r="1986" spans="1:25" x14ac:dyDescent="0.55000000000000004">
      <c r="A1986" t="s">
        <v>94</v>
      </c>
      <c r="B1986" t="s">
        <v>428</v>
      </c>
      <c r="C1986" t="s">
        <v>292</v>
      </c>
      <c r="D1986" t="s">
        <v>174</v>
      </c>
      <c r="E1986" t="s">
        <v>273</v>
      </c>
      <c r="F1986" t="s">
        <v>99</v>
      </c>
      <c r="G1986">
        <v>18158</v>
      </c>
      <c r="H1986" t="s">
        <v>446</v>
      </c>
      <c r="I1986">
        <v>2</v>
      </c>
      <c r="J1986" t="s">
        <v>107</v>
      </c>
      <c r="K1986" s="19">
        <v>0.9375</v>
      </c>
      <c r="L1986" s="19">
        <v>0.29166666666666669</v>
      </c>
      <c r="M1986">
        <v>8.5</v>
      </c>
      <c r="N1986">
        <v>668.1</v>
      </c>
      <c r="O1986">
        <v>72</v>
      </c>
      <c r="P1986">
        <v>76</v>
      </c>
      <c r="Q1986" t="s">
        <v>99</v>
      </c>
      <c r="R1986">
        <v>0</v>
      </c>
      <c r="S1986" s="19">
        <v>0.9375</v>
      </c>
      <c r="T1986">
        <v>0</v>
      </c>
      <c r="U1986" s="19"/>
      <c r="V1986" t="s">
        <v>99</v>
      </c>
      <c r="W1986">
        <v>8.5</v>
      </c>
      <c r="X1986" t="s">
        <v>102</v>
      </c>
      <c r="Y1986" t="b">
        <v>0</v>
      </c>
    </row>
    <row r="1987" spans="1:25" x14ac:dyDescent="0.55000000000000004">
      <c r="A1987" t="s">
        <v>94</v>
      </c>
      <c r="B1987" t="s">
        <v>428</v>
      </c>
      <c r="C1987" t="s">
        <v>292</v>
      </c>
      <c r="D1987" t="s">
        <v>174</v>
      </c>
      <c r="E1987" t="s">
        <v>273</v>
      </c>
      <c r="F1987" t="s">
        <v>99</v>
      </c>
      <c r="G1987">
        <v>18158</v>
      </c>
      <c r="H1987" t="s">
        <v>446</v>
      </c>
      <c r="I1987">
        <v>2</v>
      </c>
      <c r="J1987" t="s">
        <v>103</v>
      </c>
      <c r="K1987" s="19">
        <v>0.9375</v>
      </c>
      <c r="L1987" s="19">
        <v>0.29166666666666669</v>
      </c>
      <c r="M1987">
        <v>8.5</v>
      </c>
      <c r="N1987">
        <v>539.96</v>
      </c>
      <c r="O1987">
        <v>72</v>
      </c>
      <c r="P1987">
        <v>76</v>
      </c>
      <c r="Q1987" t="s">
        <v>99</v>
      </c>
      <c r="R1987">
        <v>0</v>
      </c>
      <c r="S1987" s="19">
        <v>0.9375</v>
      </c>
      <c r="T1987">
        <v>0</v>
      </c>
      <c r="U1987" s="19"/>
      <c r="V1987" t="s">
        <v>99</v>
      </c>
      <c r="W1987">
        <v>8.5</v>
      </c>
      <c r="X1987" t="s">
        <v>102</v>
      </c>
      <c r="Y1987" t="b">
        <v>0</v>
      </c>
    </row>
    <row r="1988" spans="1:25" x14ac:dyDescent="0.55000000000000004">
      <c r="A1988" t="s">
        <v>94</v>
      </c>
      <c r="B1988" t="s">
        <v>428</v>
      </c>
      <c r="C1988" t="s">
        <v>292</v>
      </c>
      <c r="D1988" t="s">
        <v>174</v>
      </c>
      <c r="E1988" t="s">
        <v>273</v>
      </c>
      <c r="F1988" t="s">
        <v>99</v>
      </c>
      <c r="G1988">
        <v>18158</v>
      </c>
      <c r="H1988" t="s">
        <v>446</v>
      </c>
      <c r="I1988">
        <v>2</v>
      </c>
      <c r="J1988" t="s">
        <v>104</v>
      </c>
      <c r="K1988" s="19">
        <v>0.9375</v>
      </c>
      <c r="L1988" s="19">
        <v>0.29166666666666669</v>
      </c>
      <c r="M1988">
        <v>8.5</v>
      </c>
      <c r="N1988">
        <v>539.96</v>
      </c>
      <c r="O1988">
        <v>72</v>
      </c>
      <c r="P1988">
        <v>76</v>
      </c>
      <c r="Q1988" t="s">
        <v>99</v>
      </c>
      <c r="R1988">
        <v>0</v>
      </c>
      <c r="S1988" s="19">
        <v>0.9375</v>
      </c>
      <c r="T1988">
        <v>0</v>
      </c>
      <c r="U1988" s="19"/>
      <c r="V1988" t="s">
        <v>99</v>
      </c>
      <c r="W1988">
        <v>8.5</v>
      </c>
      <c r="X1988" t="s">
        <v>102</v>
      </c>
      <c r="Y1988" t="b">
        <v>0</v>
      </c>
    </row>
    <row r="1989" spans="1:25" x14ac:dyDescent="0.55000000000000004">
      <c r="A1989" t="s">
        <v>94</v>
      </c>
      <c r="B1989" t="s">
        <v>428</v>
      </c>
      <c r="C1989" t="s">
        <v>292</v>
      </c>
      <c r="D1989" t="s">
        <v>174</v>
      </c>
      <c r="E1989" t="s">
        <v>273</v>
      </c>
      <c r="F1989" t="s">
        <v>99</v>
      </c>
      <c r="G1989">
        <v>18158</v>
      </c>
      <c r="H1989" t="s">
        <v>446</v>
      </c>
      <c r="I1989">
        <v>2</v>
      </c>
      <c r="J1989" t="s">
        <v>105</v>
      </c>
      <c r="K1989" s="19">
        <v>0.9375</v>
      </c>
      <c r="L1989" s="19">
        <v>0.29166666666666669</v>
      </c>
      <c r="M1989">
        <v>8.5</v>
      </c>
      <c r="N1989">
        <v>539.96</v>
      </c>
      <c r="O1989">
        <v>72</v>
      </c>
      <c r="P1989">
        <v>76</v>
      </c>
      <c r="Q1989" t="s">
        <v>99</v>
      </c>
      <c r="R1989">
        <v>0</v>
      </c>
      <c r="S1989" s="19">
        <v>0.9375</v>
      </c>
      <c r="T1989">
        <v>0</v>
      </c>
      <c r="U1989" s="19"/>
      <c r="V1989" t="s">
        <v>99</v>
      </c>
      <c r="W1989">
        <v>8.5</v>
      </c>
      <c r="X1989" t="s">
        <v>102</v>
      </c>
      <c r="Y1989" t="b">
        <v>0</v>
      </c>
    </row>
    <row r="1990" spans="1:25" x14ac:dyDescent="0.55000000000000004">
      <c r="A1990" t="s">
        <v>94</v>
      </c>
      <c r="B1990" t="s">
        <v>428</v>
      </c>
      <c r="C1990" t="s">
        <v>292</v>
      </c>
      <c r="D1990" t="s">
        <v>174</v>
      </c>
      <c r="E1990" t="s">
        <v>273</v>
      </c>
      <c r="F1990" t="s">
        <v>99</v>
      </c>
      <c r="G1990">
        <v>24694</v>
      </c>
      <c r="H1990" t="s">
        <v>447</v>
      </c>
      <c r="I1990">
        <v>2</v>
      </c>
      <c r="J1990" t="s">
        <v>115</v>
      </c>
      <c r="K1990" s="19">
        <v>0.9375</v>
      </c>
      <c r="L1990" s="19">
        <v>0.25</v>
      </c>
      <c r="M1990">
        <v>7.5</v>
      </c>
      <c r="N1990">
        <v>774.03</v>
      </c>
      <c r="O1990">
        <v>76</v>
      </c>
      <c r="P1990">
        <v>76</v>
      </c>
      <c r="Q1990" t="s">
        <v>99</v>
      </c>
      <c r="R1990">
        <v>0</v>
      </c>
      <c r="S1990" s="19">
        <v>0</v>
      </c>
      <c r="T1990">
        <v>0</v>
      </c>
      <c r="U1990" s="19"/>
      <c r="V1990" t="s">
        <v>99</v>
      </c>
      <c r="W1990">
        <v>7.5</v>
      </c>
      <c r="X1990" t="s">
        <v>102</v>
      </c>
      <c r="Y1990" t="b">
        <v>0</v>
      </c>
    </row>
    <row r="1991" spans="1:25" x14ac:dyDescent="0.55000000000000004">
      <c r="A1991" t="s">
        <v>94</v>
      </c>
      <c r="B1991" t="s">
        <v>428</v>
      </c>
      <c r="C1991" t="s">
        <v>292</v>
      </c>
      <c r="D1991" t="s">
        <v>174</v>
      </c>
      <c r="E1991" t="s">
        <v>273</v>
      </c>
      <c r="F1991" t="s">
        <v>99</v>
      </c>
      <c r="G1991">
        <v>24694</v>
      </c>
      <c r="H1991" t="s">
        <v>447</v>
      </c>
      <c r="I1991">
        <v>2</v>
      </c>
      <c r="J1991" t="s">
        <v>116</v>
      </c>
      <c r="K1991" s="19">
        <v>0.9375</v>
      </c>
      <c r="L1991" s="19">
        <v>0.29166666666666669</v>
      </c>
      <c r="M1991">
        <v>8.5</v>
      </c>
      <c r="N1991">
        <v>595.41</v>
      </c>
      <c r="O1991">
        <v>76</v>
      </c>
      <c r="P1991">
        <v>76</v>
      </c>
      <c r="Q1991" t="s">
        <v>99</v>
      </c>
      <c r="R1991">
        <v>0</v>
      </c>
      <c r="S1991" s="19">
        <v>0.9375</v>
      </c>
      <c r="T1991">
        <v>0</v>
      </c>
      <c r="U1991" s="19"/>
      <c r="V1991" t="s">
        <v>99</v>
      </c>
      <c r="W1991">
        <v>8.5</v>
      </c>
      <c r="X1991" t="s">
        <v>102</v>
      </c>
      <c r="Y1991" t="b">
        <v>0</v>
      </c>
    </row>
    <row r="1992" spans="1:25" x14ac:dyDescent="0.55000000000000004">
      <c r="A1992" t="s">
        <v>94</v>
      </c>
      <c r="B1992" t="s">
        <v>428</v>
      </c>
      <c r="C1992" t="s">
        <v>292</v>
      </c>
      <c r="D1992" t="s">
        <v>174</v>
      </c>
      <c r="E1992" t="s">
        <v>277</v>
      </c>
      <c r="F1992" t="s">
        <v>99</v>
      </c>
      <c r="G1992">
        <v>17219</v>
      </c>
      <c r="H1992" t="s">
        <v>445</v>
      </c>
      <c r="I1992">
        <v>2</v>
      </c>
      <c r="J1992" t="s">
        <v>104</v>
      </c>
      <c r="K1992" s="19">
        <v>0.27083333333333331</v>
      </c>
      <c r="L1992" s="19">
        <v>0.625</v>
      </c>
      <c r="M1992">
        <v>8.5</v>
      </c>
      <c r="N1992">
        <v>418.4</v>
      </c>
      <c r="O1992">
        <v>72</v>
      </c>
      <c r="P1992">
        <v>76</v>
      </c>
      <c r="Q1992" t="s">
        <v>99</v>
      </c>
      <c r="R1992">
        <v>30</v>
      </c>
      <c r="S1992" s="19">
        <v>0.48958333333333331</v>
      </c>
      <c r="U1992" s="19"/>
      <c r="V1992" t="s">
        <v>99</v>
      </c>
      <c r="W1992">
        <v>8</v>
      </c>
      <c r="X1992" t="s">
        <v>102</v>
      </c>
      <c r="Y1992" t="b">
        <v>0</v>
      </c>
    </row>
    <row r="1993" spans="1:25" x14ac:dyDescent="0.55000000000000004">
      <c r="A1993" t="s">
        <v>94</v>
      </c>
      <c r="B1993" t="s">
        <v>428</v>
      </c>
      <c r="C1993" t="s">
        <v>292</v>
      </c>
      <c r="D1993" t="s">
        <v>174</v>
      </c>
      <c r="E1993" t="s">
        <v>277</v>
      </c>
      <c r="F1993" t="s">
        <v>99</v>
      </c>
      <c r="G1993">
        <v>18158</v>
      </c>
      <c r="H1993" t="s">
        <v>446</v>
      </c>
      <c r="I1993">
        <v>1</v>
      </c>
      <c r="J1993" t="s">
        <v>104</v>
      </c>
      <c r="K1993" s="19">
        <v>0.27083333333333331</v>
      </c>
      <c r="L1993" s="19">
        <v>0.625</v>
      </c>
      <c r="M1993">
        <v>8.5</v>
      </c>
      <c r="N1993">
        <v>418.4</v>
      </c>
      <c r="O1993">
        <v>72</v>
      </c>
      <c r="P1993">
        <v>76</v>
      </c>
      <c r="Q1993" t="s">
        <v>99</v>
      </c>
      <c r="R1993">
        <v>30</v>
      </c>
      <c r="S1993" s="19">
        <v>0.5</v>
      </c>
      <c r="U1993" s="19"/>
      <c r="V1993" t="s">
        <v>99</v>
      </c>
      <c r="W1993">
        <v>8</v>
      </c>
      <c r="X1993" t="s">
        <v>102</v>
      </c>
      <c r="Y1993" t="b">
        <v>0</v>
      </c>
    </row>
    <row r="1994" spans="1:25" x14ac:dyDescent="0.55000000000000004">
      <c r="A1994" t="s">
        <v>94</v>
      </c>
      <c r="B1994" t="s">
        <v>428</v>
      </c>
      <c r="C1994" t="s">
        <v>292</v>
      </c>
      <c r="D1994" t="s">
        <v>174</v>
      </c>
      <c r="E1994" t="s">
        <v>277</v>
      </c>
      <c r="F1994" t="s">
        <v>99</v>
      </c>
      <c r="G1994">
        <v>24694</v>
      </c>
      <c r="H1994" t="s">
        <v>447</v>
      </c>
      <c r="I1994">
        <v>1</v>
      </c>
      <c r="J1994" t="s">
        <v>107</v>
      </c>
      <c r="K1994" s="19">
        <v>0.27083333333333331</v>
      </c>
      <c r="L1994" s="19">
        <v>0.64583333333333337</v>
      </c>
      <c r="M1994">
        <v>9</v>
      </c>
      <c r="N1994">
        <v>436.9</v>
      </c>
      <c r="O1994">
        <v>76</v>
      </c>
      <c r="P1994">
        <v>76</v>
      </c>
      <c r="Q1994" t="s">
        <v>99</v>
      </c>
      <c r="R1994">
        <v>30</v>
      </c>
      <c r="S1994" s="19">
        <v>0.5</v>
      </c>
      <c r="U1994" s="19"/>
      <c r="V1994" t="s">
        <v>99</v>
      </c>
      <c r="W1994">
        <v>8.5</v>
      </c>
      <c r="X1994" t="s">
        <v>102</v>
      </c>
      <c r="Y1994" t="b">
        <v>0</v>
      </c>
    </row>
    <row r="1995" spans="1:25" x14ac:dyDescent="0.55000000000000004">
      <c r="A1995" t="s">
        <v>94</v>
      </c>
      <c r="B1995" t="s">
        <v>428</v>
      </c>
      <c r="C1995" t="s">
        <v>292</v>
      </c>
      <c r="D1995" t="s">
        <v>174</v>
      </c>
      <c r="E1995" t="s">
        <v>277</v>
      </c>
      <c r="F1995" t="s">
        <v>99</v>
      </c>
      <c r="G1995">
        <v>24694</v>
      </c>
      <c r="H1995" t="s">
        <v>447</v>
      </c>
      <c r="I1995">
        <v>1</v>
      </c>
      <c r="J1995" t="s">
        <v>103</v>
      </c>
      <c r="K1995" s="19">
        <v>0.27083333333333331</v>
      </c>
      <c r="L1995" s="19">
        <v>0.64583333333333337</v>
      </c>
      <c r="M1995">
        <v>9</v>
      </c>
      <c r="N1995">
        <v>436.9</v>
      </c>
      <c r="O1995">
        <v>76</v>
      </c>
      <c r="P1995">
        <v>76</v>
      </c>
      <c r="Q1995" t="s">
        <v>99</v>
      </c>
      <c r="R1995">
        <v>30</v>
      </c>
      <c r="S1995" s="19">
        <v>0.5</v>
      </c>
      <c r="U1995" s="19"/>
      <c r="V1995" t="s">
        <v>99</v>
      </c>
      <c r="W1995">
        <v>8.5</v>
      </c>
      <c r="X1995" t="s">
        <v>102</v>
      </c>
      <c r="Y1995" t="b">
        <v>0</v>
      </c>
    </row>
    <row r="1996" spans="1:25" x14ac:dyDescent="0.55000000000000004">
      <c r="A1996" t="s">
        <v>94</v>
      </c>
      <c r="B1996" t="s">
        <v>428</v>
      </c>
      <c r="C1996" t="s">
        <v>292</v>
      </c>
      <c r="D1996" t="s">
        <v>174</v>
      </c>
      <c r="E1996" t="s">
        <v>277</v>
      </c>
      <c r="F1996" t="s">
        <v>99</v>
      </c>
      <c r="G1996">
        <v>24694</v>
      </c>
      <c r="H1996" t="s">
        <v>447</v>
      </c>
      <c r="I1996">
        <v>2</v>
      </c>
      <c r="J1996" t="s">
        <v>107</v>
      </c>
      <c r="K1996" s="19">
        <v>0.27083333333333331</v>
      </c>
      <c r="L1996" s="19">
        <v>0.64583333333333337</v>
      </c>
      <c r="M1996">
        <v>9</v>
      </c>
      <c r="N1996">
        <v>436.9</v>
      </c>
      <c r="O1996">
        <v>76</v>
      </c>
      <c r="P1996">
        <v>76</v>
      </c>
      <c r="Q1996" t="s">
        <v>99</v>
      </c>
      <c r="R1996">
        <v>30</v>
      </c>
      <c r="S1996" s="19">
        <v>0.47916666666666669</v>
      </c>
      <c r="T1996">
        <v>0</v>
      </c>
      <c r="U1996" s="19"/>
      <c r="V1996" t="s">
        <v>99</v>
      </c>
      <c r="W1996">
        <v>8.5</v>
      </c>
      <c r="X1996" t="s">
        <v>102</v>
      </c>
      <c r="Y1996" t="b">
        <v>0</v>
      </c>
    </row>
    <row r="1997" spans="1:25" x14ac:dyDescent="0.55000000000000004">
      <c r="A1997" t="s">
        <v>94</v>
      </c>
      <c r="B1997" t="s">
        <v>428</v>
      </c>
      <c r="C1997" t="s">
        <v>292</v>
      </c>
      <c r="D1997" t="s">
        <v>174</v>
      </c>
      <c r="E1997" t="s">
        <v>277</v>
      </c>
      <c r="F1997" t="s">
        <v>99</v>
      </c>
      <c r="G1997">
        <v>24893</v>
      </c>
      <c r="H1997" t="s">
        <v>444</v>
      </c>
      <c r="I1997">
        <v>1</v>
      </c>
      <c r="J1997" t="s">
        <v>101</v>
      </c>
      <c r="K1997" s="19">
        <v>0.27083333333333331</v>
      </c>
      <c r="L1997" s="19">
        <v>0.625</v>
      </c>
      <c r="M1997">
        <v>8.5</v>
      </c>
      <c r="N1997">
        <v>411.2</v>
      </c>
      <c r="O1997">
        <v>76</v>
      </c>
      <c r="P1997">
        <v>76</v>
      </c>
      <c r="Q1997" t="s">
        <v>99</v>
      </c>
      <c r="R1997">
        <v>30</v>
      </c>
      <c r="S1997" s="19">
        <v>0.5</v>
      </c>
      <c r="U1997" s="19"/>
      <c r="V1997" t="s">
        <v>99</v>
      </c>
      <c r="W1997">
        <v>8</v>
      </c>
      <c r="X1997" t="s">
        <v>102</v>
      </c>
      <c r="Y1997" t="b">
        <v>0</v>
      </c>
    </row>
    <row r="1998" spans="1:25" x14ac:dyDescent="0.55000000000000004">
      <c r="A1998" t="s">
        <v>94</v>
      </c>
      <c r="B1998" t="s">
        <v>428</v>
      </c>
      <c r="C1998" t="s">
        <v>292</v>
      </c>
      <c r="D1998" t="s">
        <v>174</v>
      </c>
      <c r="E1998" t="s">
        <v>277</v>
      </c>
      <c r="F1998" t="s">
        <v>99</v>
      </c>
      <c r="G1998">
        <v>24893</v>
      </c>
      <c r="H1998" t="s">
        <v>444</v>
      </c>
      <c r="I1998">
        <v>1</v>
      </c>
      <c r="J1998" t="s">
        <v>105</v>
      </c>
      <c r="K1998" s="19">
        <v>0.27083333333333331</v>
      </c>
      <c r="L1998" s="19">
        <v>0.625</v>
      </c>
      <c r="M1998">
        <v>8.5</v>
      </c>
      <c r="N1998">
        <v>411.2</v>
      </c>
      <c r="O1998">
        <v>76</v>
      </c>
      <c r="P1998">
        <v>76</v>
      </c>
      <c r="Q1998" t="s">
        <v>99</v>
      </c>
      <c r="R1998">
        <v>30</v>
      </c>
      <c r="S1998" s="19">
        <v>0.5</v>
      </c>
      <c r="U1998" s="19"/>
      <c r="V1998" t="s">
        <v>99</v>
      </c>
      <c r="W1998">
        <v>8</v>
      </c>
      <c r="X1998" t="s">
        <v>102</v>
      </c>
      <c r="Y1998" t="b">
        <v>0</v>
      </c>
    </row>
    <row r="1999" spans="1:25" x14ac:dyDescent="0.55000000000000004">
      <c r="A1999" t="s">
        <v>94</v>
      </c>
      <c r="B1999" t="s">
        <v>428</v>
      </c>
      <c r="C1999" t="s">
        <v>292</v>
      </c>
      <c r="D1999" t="s">
        <v>174</v>
      </c>
      <c r="E1999" t="s">
        <v>277</v>
      </c>
      <c r="F1999" t="s">
        <v>99</v>
      </c>
      <c r="G1999">
        <v>24893</v>
      </c>
      <c r="H1999" t="s">
        <v>444</v>
      </c>
      <c r="I1999">
        <v>2</v>
      </c>
      <c r="J1999" t="s">
        <v>101</v>
      </c>
      <c r="K1999" s="19">
        <v>0.27083333333333331</v>
      </c>
      <c r="L1999" s="19">
        <v>0.64583333333333337</v>
      </c>
      <c r="M1999">
        <v>9</v>
      </c>
      <c r="N1999">
        <v>436.9</v>
      </c>
      <c r="O1999">
        <v>76</v>
      </c>
      <c r="P1999">
        <v>76</v>
      </c>
      <c r="Q1999" t="s">
        <v>99</v>
      </c>
      <c r="R1999">
        <v>30</v>
      </c>
      <c r="S1999" s="19">
        <v>0.5</v>
      </c>
      <c r="U1999" s="19"/>
      <c r="V1999" t="s">
        <v>99</v>
      </c>
      <c r="W1999">
        <v>8.5</v>
      </c>
      <c r="X1999" t="s">
        <v>102</v>
      </c>
      <c r="Y1999" t="b">
        <v>0</v>
      </c>
    </row>
    <row r="2000" spans="1:25" x14ac:dyDescent="0.55000000000000004">
      <c r="A2000" t="s">
        <v>94</v>
      </c>
      <c r="B2000" t="s">
        <v>428</v>
      </c>
      <c r="C2000" t="s">
        <v>292</v>
      </c>
      <c r="D2000" t="s">
        <v>174</v>
      </c>
      <c r="E2000" t="s">
        <v>277</v>
      </c>
      <c r="F2000" t="s">
        <v>99</v>
      </c>
      <c r="G2000">
        <v>24893</v>
      </c>
      <c r="H2000" t="s">
        <v>444</v>
      </c>
      <c r="I2000">
        <v>2</v>
      </c>
      <c r="J2000" t="s">
        <v>103</v>
      </c>
      <c r="K2000" s="19">
        <v>0.27083333333333331</v>
      </c>
      <c r="L2000" s="19">
        <v>0.625</v>
      </c>
      <c r="M2000">
        <v>8.5</v>
      </c>
      <c r="N2000">
        <v>411.2</v>
      </c>
      <c r="O2000">
        <v>76</v>
      </c>
      <c r="P2000">
        <v>76</v>
      </c>
      <c r="Q2000" t="s">
        <v>99</v>
      </c>
      <c r="R2000">
        <v>30</v>
      </c>
      <c r="S2000" s="19">
        <v>0.47916666666666669</v>
      </c>
      <c r="T2000">
        <v>0</v>
      </c>
      <c r="U2000" s="19"/>
      <c r="V2000" t="s">
        <v>99</v>
      </c>
      <c r="W2000">
        <v>8</v>
      </c>
      <c r="X2000" t="s">
        <v>102</v>
      </c>
      <c r="Y2000" t="b">
        <v>0</v>
      </c>
    </row>
    <row r="2001" spans="1:25" x14ac:dyDescent="0.55000000000000004">
      <c r="A2001" t="s">
        <v>94</v>
      </c>
      <c r="B2001" t="s">
        <v>428</v>
      </c>
      <c r="C2001" t="s">
        <v>292</v>
      </c>
      <c r="D2001" t="s">
        <v>174</v>
      </c>
      <c r="E2001" t="s">
        <v>277</v>
      </c>
      <c r="F2001" t="s">
        <v>99</v>
      </c>
      <c r="G2001">
        <v>24893</v>
      </c>
      <c r="H2001" t="s">
        <v>444</v>
      </c>
      <c r="I2001">
        <v>2</v>
      </c>
      <c r="J2001" t="s">
        <v>105</v>
      </c>
      <c r="K2001" s="19">
        <v>0.27083333333333331</v>
      </c>
      <c r="L2001" s="19">
        <v>0.64583333333333337</v>
      </c>
      <c r="M2001">
        <v>9</v>
      </c>
      <c r="N2001">
        <v>436.9</v>
      </c>
      <c r="O2001">
        <v>76</v>
      </c>
      <c r="P2001">
        <v>76</v>
      </c>
      <c r="Q2001" t="s">
        <v>99</v>
      </c>
      <c r="R2001">
        <v>30</v>
      </c>
      <c r="S2001" s="19">
        <v>0.5</v>
      </c>
      <c r="U2001" s="19"/>
      <c r="V2001" t="s">
        <v>99</v>
      </c>
      <c r="W2001">
        <v>8.5</v>
      </c>
      <c r="X2001" t="s">
        <v>102</v>
      </c>
      <c r="Y2001" t="b">
        <v>0</v>
      </c>
    </row>
    <row r="2002" spans="1:25" x14ac:dyDescent="0.55000000000000004">
      <c r="A2002" t="s">
        <v>94</v>
      </c>
      <c r="B2002" t="s">
        <v>428</v>
      </c>
      <c r="C2002" t="s">
        <v>292</v>
      </c>
      <c r="D2002" t="s">
        <v>174</v>
      </c>
      <c r="E2002" t="s">
        <v>287</v>
      </c>
      <c r="F2002" t="s">
        <v>99</v>
      </c>
      <c r="G2002">
        <v>15472</v>
      </c>
      <c r="H2002" t="s">
        <v>448</v>
      </c>
      <c r="I2002">
        <v>1</v>
      </c>
      <c r="J2002" t="s">
        <v>107</v>
      </c>
      <c r="K2002" s="19">
        <v>0.35416666666666669</v>
      </c>
      <c r="L2002" s="19">
        <v>0.54166666666666663</v>
      </c>
      <c r="M2002">
        <v>4.5</v>
      </c>
      <c r="N2002">
        <v>0</v>
      </c>
      <c r="O2002">
        <v>76</v>
      </c>
      <c r="P2002">
        <v>76</v>
      </c>
      <c r="Q2002" t="s">
        <v>99</v>
      </c>
      <c r="R2002">
        <v>30</v>
      </c>
      <c r="S2002" s="19">
        <v>0.52083333333333337</v>
      </c>
      <c r="T2002">
        <v>0</v>
      </c>
      <c r="U2002" s="19"/>
      <c r="V2002" t="s">
        <v>99</v>
      </c>
      <c r="W2002">
        <v>4</v>
      </c>
      <c r="X2002" t="s">
        <v>102</v>
      </c>
      <c r="Y2002" t="b">
        <v>0</v>
      </c>
    </row>
    <row r="2003" spans="1:25" x14ac:dyDescent="0.55000000000000004">
      <c r="A2003" t="s">
        <v>94</v>
      </c>
      <c r="B2003" t="s">
        <v>428</v>
      </c>
      <c r="C2003" t="s">
        <v>292</v>
      </c>
      <c r="D2003" t="s">
        <v>174</v>
      </c>
      <c r="E2003" t="s">
        <v>287</v>
      </c>
      <c r="F2003" t="s">
        <v>99</v>
      </c>
      <c r="G2003">
        <v>15472</v>
      </c>
      <c r="H2003" t="s">
        <v>448</v>
      </c>
      <c r="I2003">
        <v>1</v>
      </c>
      <c r="J2003" t="s">
        <v>101</v>
      </c>
      <c r="K2003" s="19">
        <v>0.35416666666666669</v>
      </c>
      <c r="L2003" s="19">
        <v>0.54166666666666663</v>
      </c>
      <c r="M2003">
        <v>4.5</v>
      </c>
      <c r="N2003">
        <v>0</v>
      </c>
      <c r="O2003">
        <v>76</v>
      </c>
      <c r="P2003">
        <v>76</v>
      </c>
      <c r="Q2003" t="s">
        <v>99</v>
      </c>
      <c r="R2003">
        <v>30</v>
      </c>
      <c r="S2003" s="19">
        <v>0.52083333333333337</v>
      </c>
      <c r="T2003">
        <v>0</v>
      </c>
      <c r="U2003" s="19"/>
      <c r="V2003" t="s">
        <v>99</v>
      </c>
      <c r="W2003">
        <v>4</v>
      </c>
      <c r="X2003" t="s">
        <v>102</v>
      </c>
      <c r="Y2003" t="b">
        <v>0</v>
      </c>
    </row>
    <row r="2004" spans="1:25" x14ac:dyDescent="0.55000000000000004">
      <c r="A2004" t="s">
        <v>94</v>
      </c>
      <c r="B2004" t="s">
        <v>428</v>
      </c>
      <c r="C2004" t="s">
        <v>292</v>
      </c>
      <c r="D2004" t="s">
        <v>174</v>
      </c>
      <c r="E2004" t="s">
        <v>287</v>
      </c>
      <c r="F2004" t="s">
        <v>99</v>
      </c>
      <c r="G2004">
        <v>15472</v>
      </c>
      <c r="H2004" t="s">
        <v>448</v>
      </c>
      <c r="I2004">
        <v>1</v>
      </c>
      <c r="J2004" t="s">
        <v>103</v>
      </c>
      <c r="K2004" s="19">
        <v>0.35416666666666669</v>
      </c>
      <c r="L2004" s="19">
        <v>0.54166666666666663</v>
      </c>
      <c r="M2004">
        <v>4.5</v>
      </c>
      <c r="N2004">
        <v>0</v>
      </c>
      <c r="O2004">
        <v>76</v>
      </c>
      <c r="P2004">
        <v>76</v>
      </c>
      <c r="Q2004" t="s">
        <v>99</v>
      </c>
      <c r="R2004">
        <v>30</v>
      </c>
      <c r="S2004" s="19">
        <v>0.52083333333333337</v>
      </c>
      <c r="T2004">
        <v>0</v>
      </c>
      <c r="U2004" s="19"/>
      <c r="V2004" t="s">
        <v>99</v>
      </c>
      <c r="W2004">
        <v>4</v>
      </c>
      <c r="X2004" t="s">
        <v>102</v>
      </c>
      <c r="Y2004" t="b">
        <v>0</v>
      </c>
    </row>
    <row r="2005" spans="1:25" x14ac:dyDescent="0.55000000000000004">
      <c r="A2005" t="s">
        <v>94</v>
      </c>
      <c r="B2005" t="s">
        <v>428</v>
      </c>
      <c r="C2005" t="s">
        <v>292</v>
      </c>
      <c r="D2005" t="s">
        <v>174</v>
      </c>
      <c r="E2005" t="s">
        <v>287</v>
      </c>
      <c r="F2005" t="s">
        <v>99</v>
      </c>
      <c r="G2005">
        <v>15472</v>
      </c>
      <c r="H2005" t="s">
        <v>448</v>
      </c>
      <c r="I2005">
        <v>1</v>
      </c>
      <c r="J2005" t="s">
        <v>104</v>
      </c>
      <c r="K2005" s="19">
        <v>0.35416666666666669</v>
      </c>
      <c r="L2005" s="19">
        <v>0.54166666666666663</v>
      </c>
      <c r="M2005">
        <v>4.5</v>
      </c>
      <c r="N2005">
        <v>0</v>
      </c>
      <c r="O2005">
        <v>76</v>
      </c>
      <c r="P2005">
        <v>76</v>
      </c>
      <c r="Q2005" t="s">
        <v>99</v>
      </c>
      <c r="R2005">
        <v>30</v>
      </c>
      <c r="S2005" s="19">
        <v>0.52083333333333337</v>
      </c>
      <c r="T2005">
        <v>0</v>
      </c>
      <c r="U2005" s="19"/>
      <c r="V2005" t="s">
        <v>99</v>
      </c>
      <c r="W2005">
        <v>4</v>
      </c>
      <c r="X2005" t="s">
        <v>102</v>
      </c>
      <c r="Y2005" t="b">
        <v>0</v>
      </c>
    </row>
    <row r="2006" spans="1:25" x14ac:dyDescent="0.55000000000000004">
      <c r="A2006" t="s">
        <v>94</v>
      </c>
      <c r="B2006" t="s">
        <v>428</v>
      </c>
      <c r="C2006" t="s">
        <v>292</v>
      </c>
      <c r="D2006" t="s">
        <v>174</v>
      </c>
      <c r="E2006" t="s">
        <v>287</v>
      </c>
      <c r="F2006" t="s">
        <v>99</v>
      </c>
      <c r="G2006">
        <v>15472</v>
      </c>
      <c r="H2006" t="s">
        <v>448</v>
      </c>
      <c r="I2006">
        <v>1</v>
      </c>
      <c r="J2006" t="s">
        <v>105</v>
      </c>
      <c r="K2006" s="19">
        <v>0.35416666666666669</v>
      </c>
      <c r="L2006" s="19">
        <v>0.54166666666666663</v>
      </c>
      <c r="M2006">
        <v>4.5</v>
      </c>
      <c r="N2006">
        <v>0</v>
      </c>
      <c r="O2006">
        <v>76</v>
      </c>
      <c r="P2006">
        <v>76</v>
      </c>
      <c r="Q2006" t="s">
        <v>99</v>
      </c>
      <c r="R2006">
        <v>30</v>
      </c>
      <c r="S2006" s="19">
        <v>0.52083333333333337</v>
      </c>
      <c r="T2006">
        <v>0</v>
      </c>
      <c r="U2006" s="19"/>
      <c r="V2006" t="s">
        <v>99</v>
      </c>
      <c r="W2006">
        <v>4</v>
      </c>
      <c r="X2006" t="s">
        <v>102</v>
      </c>
      <c r="Y2006" t="b">
        <v>0</v>
      </c>
    </row>
    <row r="2007" spans="1:25" x14ac:dyDescent="0.55000000000000004">
      <c r="A2007" t="s">
        <v>94</v>
      </c>
      <c r="B2007" t="s">
        <v>428</v>
      </c>
      <c r="C2007" t="s">
        <v>292</v>
      </c>
      <c r="D2007" t="s">
        <v>174</v>
      </c>
      <c r="E2007" t="s">
        <v>287</v>
      </c>
      <c r="F2007" t="s">
        <v>99</v>
      </c>
      <c r="G2007">
        <v>15472</v>
      </c>
      <c r="H2007" t="s">
        <v>448</v>
      </c>
      <c r="I2007">
        <v>2</v>
      </c>
      <c r="J2007" t="s">
        <v>107</v>
      </c>
      <c r="K2007" s="19">
        <v>0.35416666666666669</v>
      </c>
      <c r="L2007" s="19">
        <v>0.54166666666666663</v>
      </c>
      <c r="M2007">
        <v>4.5</v>
      </c>
      <c r="N2007">
        <v>0</v>
      </c>
      <c r="O2007">
        <v>76</v>
      </c>
      <c r="P2007">
        <v>76</v>
      </c>
      <c r="Q2007" t="s">
        <v>99</v>
      </c>
      <c r="R2007">
        <v>30</v>
      </c>
      <c r="S2007" s="19">
        <v>0.52083333333333337</v>
      </c>
      <c r="T2007">
        <v>0</v>
      </c>
      <c r="U2007" s="19">
        <v>0.41666666666666669</v>
      </c>
      <c r="V2007" t="s">
        <v>99</v>
      </c>
      <c r="W2007">
        <v>4</v>
      </c>
      <c r="X2007" t="s">
        <v>102</v>
      </c>
      <c r="Y2007" t="b">
        <v>0</v>
      </c>
    </row>
    <row r="2008" spans="1:25" x14ac:dyDescent="0.55000000000000004">
      <c r="A2008" t="s">
        <v>94</v>
      </c>
      <c r="B2008" t="s">
        <v>428</v>
      </c>
      <c r="C2008" t="s">
        <v>292</v>
      </c>
      <c r="D2008" t="s">
        <v>174</v>
      </c>
      <c r="E2008" t="s">
        <v>287</v>
      </c>
      <c r="F2008" t="s">
        <v>99</v>
      </c>
      <c r="G2008">
        <v>15472</v>
      </c>
      <c r="H2008" t="s">
        <v>448</v>
      </c>
      <c r="I2008">
        <v>2</v>
      </c>
      <c r="J2008" t="s">
        <v>101</v>
      </c>
      <c r="K2008" s="19">
        <v>0.35416666666666669</v>
      </c>
      <c r="L2008" s="19">
        <v>0.54166666666666663</v>
      </c>
      <c r="M2008">
        <v>4.5</v>
      </c>
      <c r="N2008">
        <v>0</v>
      </c>
      <c r="O2008">
        <v>76</v>
      </c>
      <c r="P2008">
        <v>76</v>
      </c>
      <c r="Q2008" t="s">
        <v>99</v>
      </c>
      <c r="R2008">
        <v>30</v>
      </c>
      <c r="S2008" s="19">
        <v>0.52083333333333337</v>
      </c>
      <c r="T2008">
        <v>0</v>
      </c>
      <c r="U2008" s="19"/>
      <c r="V2008" t="s">
        <v>99</v>
      </c>
      <c r="W2008">
        <v>4</v>
      </c>
      <c r="X2008" t="s">
        <v>102</v>
      </c>
      <c r="Y2008" t="b">
        <v>0</v>
      </c>
    </row>
    <row r="2009" spans="1:25" x14ac:dyDescent="0.55000000000000004">
      <c r="A2009" t="s">
        <v>94</v>
      </c>
      <c r="B2009" t="s">
        <v>428</v>
      </c>
      <c r="C2009" t="s">
        <v>292</v>
      </c>
      <c r="D2009" t="s">
        <v>174</v>
      </c>
      <c r="E2009" t="s">
        <v>287</v>
      </c>
      <c r="F2009" t="s">
        <v>99</v>
      </c>
      <c r="G2009">
        <v>15472</v>
      </c>
      <c r="H2009" t="s">
        <v>448</v>
      </c>
      <c r="I2009">
        <v>2</v>
      </c>
      <c r="J2009" t="s">
        <v>103</v>
      </c>
      <c r="K2009" s="19">
        <v>0.35416666666666669</v>
      </c>
      <c r="L2009" s="19">
        <v>0.54166666666666663</v>
      </c>
      <c r="M2009">
        <v>4.5</v>
      </c>
      <c r="N2009">
        <v>0</v>
      </c>
      <c r="O2009">
        <v>76</v>
      </c>
      <c r="P2009">
        <v>76</v>
      </c>
      <c r="Q2009" t="s">
        <v>99</v>
      </c>
      <c r="R2009">
        <v>30</v>
      </c>
      <c r="S2009" s="19">
        <v>0.52083333333333337</v>
      </c>
      <c r="T2009">
        <v>0</v>
      </c>
      <c r="U2009" s="19"/>
      <c r="V2009" t="s">
        <v>99</v>
      </c>
      <c r="W2009">
        <v>4</v>
      </c>
      <c r="X2009" t="s">
        <v>102</v>
      </c>
      <c r="Y2009" t="b">
        <v>0</v>
      </c>
    </row>
    <row r="2010" spans="1:25" x14ac:dyDescent="0.55000000000000004">
      <c r="A2010" t="s">
        <v>94</v>
      </c>
      <c r="B2010" t="s">
        <v>428</v>
      </c>
      <c r="C2010" t="s">
        <v>292</v>
      </c>
      <c r="D2010" t="s">
        <v>174</v>
      </c>
      <c r="E2010" t="s">
        <v>287</v>
      </c>
      <c r="F2010" t="s">
        <v>99</v>
      </c>
      <c r="G2010">
        <v>15472</v>
      </c>
      <c r="H2010" t="s">
        <v>448</v>
      </c>
      <c r="I2010">
        <v>2</v>
      </c>
      <c r="J2010" t="s">
        <v>104</v>
      </c>
      <c r="K2010" s="19">
        <v>0.35416666666666669</v>
      </c>
      <c r="L2010" s="19">
        <v>0.54166666666666663</v>
      </c>
      <c r="M2010">
        <v>4.5</v>
      </c>
      <c r="N2010">
        <v>0</v>
      </c>
      <c r="O2010">
        <v>76</v>
      </c>
      <c r="P2010">
        <v>76</v>
      </c>
      <c r="Q2010" t="s">
        <v>99</v>
      </c>
      <c r="R2010">
        <v>30</v>
      </c>
      <c r="S2010" s="19">
        <v>0.52083333333333337</v>
      </c>
      <c r="T2010">
        <v>0</v>
      </c>
      <c r="U2010" s="19"/>
      <c r="V2010" t="s">
        <v>99</v>
      </c>
      <c r="W2010">
        <v>4</v>
      </c>
      <c r="X2010" t="s">
        <v>102</v>
      </c>
      <c r="Y2010" t="b">
        <v>0</v>
      </c>
    </row>
    <row r="2011" spans="1:25" x14ac:dyDescent="0.55000000000000004">
      <c r="A2011" t="s">
        <v>94</v>
      </c>
      <c r="B2011" t="s">
        <v>428</v>
      </c>
      <c r="C2011" t="s">
        <v>292</v>
      </c>
      <c r="D2011" t="s">
        <v>174</v>
      </c>
      <c r="E2011" t="s">
        <v>287</v>
      </c>
      <c r="F2011" t="s">
        <v>99</v>
      </c>
      <c r="G2011">
        <v>15472</v>
      </c>
      <c r="H2011" t="s">
        <v>448</v>
      </c>
      <c r="I2011">
        <v>2</v>
      </c>
      <c r="J2011" t="s">
        <v>105</v>
      </c>
      <c r="K2011" s="19">
        <v>0.35416666666666669</v>
      </c>
      <c r="L2011" s="19">
        <v>0.54166666666666663</v>
      </c>
      <c r="M2011">
        <v>4.5</v>
      </c>
      <c r="N2011">
        <v>0</v>
      </c>
      <c r="O2011">
        <v>76</v>
      </c>
      <c r="P2011">
        <v>76</v>
      </c>
      <c r="Q2011" t="s">
        <v>99</v>
      </c>
      <c r="R2011">
        <v>30</v>
      </c>
      <c r="S2011" s="19">
        <v>0.52083333333333337</v>
      </c>
      <c r="T2011">
        <v>0</v>
      </c>
      <c r="U2011" s="19"/>
      <c r="V2011" t="s">
        <v>99</v>
      </c>
      <c r="W2011">
        <v>4</v>
      </c>
      <c r="X2011" t="s">
        <v>102</v>
      </c>
      <c r="Y2011" t="b">
        <v>0</v>
      </c>
    </row>
    <row r="2012" spans="1:25" x14ac:dyDescent="0.55000000000000004">
      <c r="A2012" t="s">
        <v>94</v>
      </c>
      <c r="B2012" t="s">
        <v>428</v>
      </c>
      <c r="C2012" t="s">
        <v>292</v>
      </c>
      <c r="D2012" t="s">
        <v>174</v>
      </c>
      <c r="E2012" t="s">
        <v>289</v>
      </c>
      <c r="F2012" t="s">
        <v>99</v>
      </c>
      <c r="G2012">
        <v>20834</v>
      </c>
      <c r="H2012" t="s">
        <v>303</v>
      </c>
      <c r="I2012">
        <v>2</v>
      </c>
      <c r="J2012" t="s">
        <v>103</v>
      </c>
      <c r="K2012" s="19">
        <v>0.375</v>
      </c>
      <c r="L2012" s="19">
        <v>0.64583333333333337</v>
      </c>
      <c r="M2012">
        <v>6.5</v>
      </c>
      <c r="N2012">
        <v>213.12</v>
      </c>
      <c r="O2012">
        <v>40</v>
      </c>
      <c r="P2012">
        <v>76</v>
      </c>
      <c r="Q2012" t="s">
        <v>99</v>
      </c>
      <c r="R2012">
        <v>30</v>
      </c>
      <c r="S2012" s="19">
        <v>0.51041666666666663</v>
      </c>
      <c r="U2012" s="19"/>
      <c r="V2012" t="s">
        <v>99</v>
      </c>
      <c r="W2012">
        <v>6</v>
      </c>
      <c r="X2012" t="s">
        <v>102</v>
      </c>
      <c r="Y2012" t="b">
        <v>0</v>
      </c>
    </row>
    <row r="2013" spans="1:25" x14ac:dyDescent="0.55000000000000004">
      <c r="A2013" t="s">
        <v>94</v>
      </c>
      <c r="B2013" t="s">
        <v>428</v>
      </c>
      <c r="C2013" t="s">
        <v>292</v>
      </c>
      <c r="D2013" t="s">
        <v>174</v>
      </c>
      <c r="E2013" t="s">
        <v>289</v>
      </c>
      <c r="F2013" t="s">
        <v>99</v>
      </c>
      <c r="G2013">
        <v>20834</v>
      </c>
      <c r="H2013" t="s">
        <v>303</v>
      </c>
      <c r="I2013">
        <v>2</v>
      </c>
      <c r="J2013" t="s">
        <v>105</v>
      </c>
      <c r="K2013" s="19">
        <v>0.375</v>
      </c>
      <c r="L2013" s="19">
        <v>0.64583333333333337</v>
      </c>
      <c r="M2013">
        <v>6.5</v>
      </c>
      <c r="N2013">
        <v>213.12</v>
      </c>
      <c r="O2013">
        <v>40</v>
      </c>
      <c r="P2013">
        <v>76</v>
      </c>
      <c r="Q2013" t="s">
        <v>99</v>
      </c>
      <c r="R2013">
        <v>30</v>
      </c>
      <c r="S2013" s="19">
        <v>0.58333333333333337</v>
      </c>
      <c r="T2013">
        <v>0</v>
      </c>
      <c r="U2013" s="19"/>
      <c r="V2013" t="s">
        <v>99</v>
      </c>
      <c r="W2013">
        <v>6</v>
      </c>
      <c r="X2013" t="s">
        <v>102</v>
      </c>
      <c r="Y2013" t="b">
        <v>0</v>
      </c>
    </row>
    <row r="2014" spans="1:25" x14ac:dyDescent="0.55000000000000004">
      <c r="A2014" t="s">
        <v>94</v>
      </c>
      <c r="B2014" t="s">
        <v>449</v>
      </c>
      <c r="C2014" t="s">
        <v>322</v>
      </c>
      <c r="D2014" t="s">
        <v>174</v>
      </c>
      <c r="E2014" t="s">
        <v>175</v>
      </c>
      <c r="F2014" t="s">
        <v>99</v>
      </c>
      <c r="H2014" t="s">
        <v>99</v>
      </c>
      <c r="I2014">
        <v>1</v>
      </c>
      <c r="J2014" t="s">
        <v>107</v>
      </c>
      <c r="K2014" s="19">
        <v>0.29166666666666669</v>
      </c>
      <c r="L2014" s="19">
        <v>0.60416666666666663</v>
      </c>
      <c r="M2014">
        <v>7.5</v>
      </c>
      <c r="N2014">
        <v>203.35</v>
      </c>
      <c r="O2014">
        <v>0</v>
      </c>
      <c r="P2014">
        <v>0</v>
      </c>
      <c r="Q2014" t="s">
        <v>99</v>
      </c>
      <c r="R2014">
        <v>30</v>
      </c>
      <c r="S2014" s="19">
        <v>0.54166666666666663</v>
      </c>
      <c r="T2014">
        <v>0</v>
      </c>
      <c r="U2014" s="19"/>
      <c r="V2014" t="s">
        <v>450</v>
      </c>
      <c r="W2014">
        <v>7</v>
      </c>
      <c r="X2014" t="s">
        <v>102</v>
      </c>
      <c r="Y2014" t="b">
        <v>0</v>
      </c>
    </row>
    <row r="2015" spans="1:25" x14ac:dyDescent="0.55000000000000004">
      <c r="A2015" t="s">
        <v>94</v>
      </c>
      <c r="B2015" t="s">
        <v>449</v>
      </c>
      <c r="C2015" t="s">
        <v>322</v>
      </c>
      <c r="D2015" t="s">
        <v>174</v>
      </c>
      <c r="E2015" t="s">
        <v>175</v>
      </c>
      <c r="F2015" t="s">
        <v>99</v>
      </c>
      <c r="H2015" t="s">
        <v>99</v>
      </c>
      <c r="I2015">
        <v>1</v>
      </c>
      <c r="J2015" t="s">
        <v>101</v>
      </c>
      <c r="K2015" s="19">
        <v>0.29166666666666669</v>
      </c>
      <c r="L2015" s="19">
        <v>0.60416666666666663</v>
      </c>
      <c r="M2015">
        <v>7.5</v>
      </c>
      <c r="N2015">
        <v>203.35</v>
      </c>
      <c r="O2015">
        <v>0</v>
      </c>
      <c r="P2015">
        <v>0</v>
      </c>
      <c r="Q2015" t="s">
        <v>99</v>
      </c>
      <c r="R2015">
        <v>30</v>
      </c>
      <c r="S2015" s="19">
        <v>0.5</v>
      </c>
      <c r="T2015">
        <v>0</v>
      </c>
      <c r="U2015" s="19"/>
      <c r="V2015" t="s">
        <v>451</v>
      </c>
      <c r="W2015">
        <v>7</v>
      </c>
      <c r="X2015" t="s">
        <v>102</v>
      </c>
      <c r="Y2015" t="b">
        <v>0</v>
      </c>
    </row>
    <row r="2016" spans="1:25" x14ac:dyDescent="0.55000000000000004">
      <c r="A2016" t="s">
        <v>94</v>
      </c>
      <c r="B2016" t="s">
        <v>449</v>
      </c>
      <c r="C2016" t="s">
        <v>322</v>
      </c>
      <c r="D2016" t="s">
        <v>174</v>
      </c>
      <c r="E2016" t="s">
        <v>175</v>
      </c>
      <c r="F2016" t="s">
        <v>99</v>
      </c>
      <c r="H2016" t="s">
        <v>99</v>
      </c>
      <c r="I2016">
        <v>1</v>
      </c>
      <c r="J2016" t="s">
        <v>101</v>
      </c>
      <c r="K2016" s="19">
        <v>0.29166666666666669</v>
      </c>
      <c r="L2016" s="19">
        <v>0.60416666666666663</v>
      </c>
      <c r="M2016">
        <v>7.5</v>
      </c>
      <c r="N2016">
        <v>203.35</v>
      </c>
      <c r="O2016">
        <v>0</v>
      </c>
      <c r="P2016">
        <v>0</v>
      </c>
      <c r="Q2016" t="s">
        <v>99</v>
      </c>
      <c r="R2016">
        <v>30</v>
      </c>
      <c r="S2016" s="19">
        <v>0.54166666666666663</v>
      </c>
      <c r="T2016">
        <v>0</v>
      </c>
      <c r="U2016" s="19"/>
      <c r="V2016" t="s">
        <v>450</v>
      </c>
      <c r="W2016">
        <v>7</v>
      </c>
      <c r="X2016" t="s">
        <v>102</v>
      </c>
      <c r="Y2016" t="b">
        <v>0</v>
      </c>
    </row>
    <row r="2017" spans="1:25" x14ac:dyDescent="0.55000000000000004">
      <c r="A2017" t="s">
        <v>94</v>
      </c>
      <c r="B2017" t="s">
        <v>449</v>
      </c>
      <c r="C2017" t="s">
        <v>322</v>
      </c>
      <c r="D2017" t="s">
        <v>174</v>
      </c>
      <c r="E2017" t="s">
        <v>175</v>
      </c>
      <c r="F2017" t="s">
        <v>99</v>
      </c>
      <c r="H2017" t="s">
        <v>99</v>
      </c>
      <c r="I2017">
        <v>1</v>
      </c>
      <c r="J2017" t="s">
        <v>115</v>
      </c>
      <c r="K2017" s="19">
        <v>0.29166666666666669</v>
      </c>
      <c r="L2017" s="19">
        <v>0.60416666666666663</v>
      </c>
      <c r="M2017">
        <v>7.5</v>
      </c>
      <c r="N2017">
        <v>305.02</v>
      </c>
      <c r="O2017">
        <v>0</v>
      </c>
      <c r="P2017">
        <v>0</v>
      </c>
      <c r="Q2017" t="s">
        <v>99</v>
      </c>
      <c r="R2017">
        <v>30</v>
      </c>
      <c r="S2017" s="19">
        <v>0.5</v>
      </c>
      <c r="T2017">
        <v>0</v>
      </c>
      <c r="U2017" s="19"/>
      <c r="V2017" t="s">
        <v>452</v>
      </c>
      <c r="W2017">
        <v>7</v>
      </c>
      <c r="X2017" t="s">
        <v>102</v>
      </c>
      <c r="Y2017" t="b">
        <v>0</v>
      </c>
    </row>
    <row r="2018" spans="1:25" x14ac:dyDescent="0.55000000000000004">
      <c r="A2018" t="s">
        <v>94</v>
      </c>
      <c r="B2018" t="s">
        <v>449</v>
      </c>
      <c r="C2018" t="s">
        <v>322</v>
      </c>
      <c r="D2018" t="s">
        <v>174</v>
      </c>
      <c r="E2018" t="s">
        <v>175</v>
      </c>
      <c r="F2018" t="s">
        <v>99</v>
      </c>
      <c r="H2018" t="s">
        <v>99</v>
      </c>
      <c r="I2018">
        <v>1</v>
      </c>
      <c r="J2018" t="s">
        <v>116</v>
      </c>
      <c r="K2018" s="19">
        <v>0.29166666666666669</v>
      </c>
      <c r="L2018" s="19">
        <v>0.60416666666666663</v>
      </c>
      <c r="M2018">
        <v>7.5</v>
      </c>
      <c r="N2018">
        <v>355.86</v>
      </c>
      <c r="O2018">
        <v>0</v>
      </c>
      <c r="P2018">
        <v>0</v>
      </c>
      <c r="Q2018" t="s">
        <v>99</v>
      </c>
      <c r="R2018">
        <v>30</v>
      </c>
      <c r="S2018" s="19">
        <v>0.5</v>
      </c>
      <c r="T2018">
        <v>0</v>
      </c>
      <c r="U2018" s="19"/>
      <c r="V2018" t="s">
        <v>451</v>
      </c>
      <c r="W2018">
        <v>7</v>
      </c>
      <c r="X2018" t="s">
        <v>102</v>
      </c>
      <c r="Y2018" t="b">
        <v>0</v>
      </c>
    </row>
    <row r="2019" spans="1:25" x14ac:dyDescent="0.55000000000000004">
      <c r="A2019" t="s">
        <v>94</v>
      </c>
      <c r="B2019" t="s">
        <v>449</v>
      </c>
      <c r="C2019" t="s">
        <v>322</v>
      </c>
      <c r="D2019" t="s">
        <v>174</v>
      </c>
      <c r="E2019" t="s">
        <v>175</v>
      </c>
      <c r="F2019" t="s">
        <v>99</v>
      </c>
      <c r="H2019" t="s">
        <v>99</v>
      </c>
      <c r="I2019">
        <v>1</v>
      </c>
      <c r="J2019" t="s">
        <v>116</v>
      </c>
      <c r="K2019" s="19">
        <v>0.29166666666666669</v>
      </c>
      <c r="L2019" s="19">
        <v>0.60416666666666663</v>
      </c>
      <c r="M2019">
        <v>7.5</v>
      </c>
      <c r="N2019">
        <v>355.86</v>
      </c>
      <c r="O2019">
        <v>0</v>
      </c>
      <c r="P2019">
        <v>0</v>
      </c>
      <c r="Q2019" t="s">
        <v>99</v>
      </c>
      <c r="R2019">
        <v>30</v>
      </c>
      <c r="S2019" s="19">
        <v>0.54166666666666663</v>
      </c>
      <c r="T2019">
        <v>0</v>
      </c>
      <c r="U2019" s="19"/>
      <c r="V2019" t="s">
        <v>450</v>
      </c>
      <c r="W2019">
        <v>7</v>
      </c>
      <c r="X2019" t="s">
        <v>102</v>
      </c>
      <c r="Y2019" t="b">
        <v>0</v>
      </c>
    </row>
    <row r="2020" spans="1:25" x14ac:dyDescent="0.55000000000000004">
      <c r="A2020" t="s">
        <v>94</v>
      </c>
      <c r="B2020" t="s">
        <v>449</v>
      </c>
      <c r="C2020" t="s">
        <v>322</v>
      </c>
      <c r="D2020" t="s">
        <v>174</v>
      </c>
      <c r="E2020" t="s">
        <v>175</v>
      </c>
      <c r="F2020" t="s">
        <v>99</v>
      </c>
      <c r="H2020" t="s">
        <v>99</v>
      </c>
      <c r="I2020">
        <v>1</v>
      </c>
      <c r="J2020" t="s">
        <v>103</v>
      </c>
      <c r="K2020" s="19">
        <v>0.29166666666666669</v>
      </c>
      <c r="L2020" s="19">
        <v>0.60416666666666663</v>
      </c>
      <c r="M2020">
        <v>7.5</v>
      </c>
      <c r="N2020">
        <v>203.35</v>
      </c>
      <c r="O2020">
        <v>0</v>
      </c>
      <c r="P2020">
        <v>0</v>
      </c>
      <c r="Q2020" t="s">
        <v>99</v>
      </c>
      <c r="R2020">
        <v>30</v>
      </c>
      <c r="S2020" s="19">
        <v>0.5</v>
      </c>
      <c r="T2020">
        <v>0</v>
      </c>
      <c r="U2020" s="19"/>
      <c r="V2020" t="s">
        <v>452</v>
      </c>
      <c r="W2020">
        <v>7</v>
      </c>
      <c r="X2020" t="s">
        <v>102</v>
      </c>
      <c r="Y2020" t="b">
        <v>0</v>
      </c>
    </row>
    <row r="2021" spans="1:25" x14ac:dyDescent="0.55000000000000004">
      <c r="A2021" t="s">
        <v>94</v>
      </c>
      <c r="B2021" t="s">
        <v>449</v>
      </c>
      <c r="C2021" t="s">
        <v>322</v>
      </c>
      <c r="D2021" t="s">
        <v>174</v>
      </c>
      <c r="E2021" t="s">
        <v>175</v>
      </c>
      <c r="F2021" t="s">
        <v>99</v>
      </c>
      <c r="H2021" t="s">
        <v>99</v>
      </c>
      <c r="I2021">
        <v>1</v>
      </c>
      <c r="J2021" t="s">
        <v>103</v>
      </c>
      <c r="K2021" s="19">
        <v>0.29166666666666669</v>
      </c>
      <c r="L2021" s="19">
        <v>0.60416666666666663</v>
      </c>
      <c r="M2021">
        <v>7.5</v>
      </c>
      <c r="N2021">
        <v>203.35</v>
      </c>
      <c r="O2021">
        <v>0</v>
      </c>
      <c r="P2021">
        <v>0</v>
      </c>
      <c r="Q2021" t="s">
        <v>99</v>
      </c>
      <c r="R2021">
        <v>30</v>
      </c>
      <c r="S2021" s="19">
        <v>0.54166666666666663</v>
      </c>
      <c r="T2021">
        <v>0</v>
      </c>
      <c r="U2021" s="19"/>
      <c r="V2021" t="s">
        <v>450</v>
      </c>
      <c r="W2021">
        <v>7</v>
      </c>
      <c r="X2021" t="s">
        <v>102</v>
      </c>
      <c r="Y2021" t="b">
        <v>0</v>
      </c>
    </row>
    <row r="2022" spans="1:25" x14ac:dyDescent="0.55000000000000004">
      <c r="A2022" t="s">
        <v>94</v>
      </c>
      <c r="B2022" t="s">
        <v>449</v>
      </c>
      <c r="C2022" t="s">
        <v>322</v>
      </c>
      <c r="D2022" t="s">
        <v>174</v>
      </c>
      <c r="E2022" t="s">
        <v>175</v>
      </c>
      <c r="F2022" t="s">
        <v>99</v>
      </c>
      <c r="H2022" t="s">
        <v>99</v>
      </c>
      <c r="I2022">
        <v>1</v>
      </c>
      <c r="J2022" t="s">
        <v>104</v>
      </c>
      <c r="K2022" s="19">
        <v>0.29166666666666669</v>
      </c>
      <c r="L2022" s="19">
        <v>0.60416666666666663</v>
      </c>
      <c r="M2022">
        <v>7.5</v>
      </c>
      <c r="N2022">
        <v>203.35</v>
      </c>
      <c r="O2022">
        <v>0</v>
      </c>
      <c r="P2022">
        <v>0</v>
      </c>
      <c r="Q2022" t="s">
        <v>99</v>
      </c>
      <c r="R2022">
        <v>30</v>
      </c>
      <c r="S2022" s="19">
        <v>0.54166666666666663</v>
      </c>
      <c r="T2022">
        <v>0</v>
      </c>
      <c r="U2022" s="19"/>
      <c r="V2022" t="s">
        <v>450</v>
      </c>
      <c r="W2022">
        <v>7</v>
      </c>
      <c r="X2022" t="s">
        <v>102</v>
      </c>
      <c r="Y2022" t="b">
        <v>0</v>
      </c>
    </row>
    <row r="2023" spans="1:25" x14ac:dyDescent="0.55000000000000004">
      <c r="A2023" t="s">
        <v>94</v>
      </c>
      <c r="B2023" t="s">
        <v>449</v>
      </c>
      <c r="C2023" t="s">
        <v>322</v>
      </c>
      <c r="D2023" t="s">
        <v>174</v>
      </c>
      <c r="E2023" t="s">
        <v>175</v>
      </c>
      <c r="F2023" t="s">
        <v>99</v>
      </c>
      <c r="H2023" t="s">
        <v>99</v>
      </c>
      <c r="I2023">
        <v>1</v>
      </c>
      <c r="J2023" t="s">
        <v>105</v>
      </c>
      <c r="K2023" s="19">
        <v>0.29166666666666669</v>
      </c>
      <c r="L2023" s="19">
        <v>0.60416666666666663</v>
      </c>
      <c r="M2023">
        <v>7.5</v>
      </c>
      <c r="N2023">
        <v>203.35</v>
      </c>
      <c r="O2023">
        <v>0</v>
      </c>
      <c r="P2023">
        <v>0</v>
      </c>
      <c r="Q2023" t="s">
        <v>99</v>
      </c>
      <c r="R2023">
        <v>30</v>
      </c>
      <c r="S2023" s="19">
        <v>0.5</v>
      </c>
      <c r="T2023">
        <v>0</v>
      </c>
      <c r="U2023" s="19"/>
      <c r="V2023" t="s">
        <v>452</v>
      </c>
      <c r="W2023">
        <v>7</v>
      </c>
      <c r="X2023" t="s">
        <v>102</v>
      </c>
      <c r="Y2023" t="b">
        <v>0</v>
      </c>
    </row>
    <row r="2024" spans="1:25" x14ac:dyDescent="0.55000000000000004">
      <c r="A2024" t="s">
        <v>94</v>
      </c>
      <c r="B2024" t="s">
        <v>449</v>
      </c>
      <c r="C2024" t="s">
        <v>322</v>
      </c>
      <c r="D2024" t="s">
        <v>174</v>
      </c>
      <c r="E2024" t="s">
        <v>175</v>
      </c>
      <c r="F2024" t="s">
        <v>99</v>
      </c>
      <c r="H2024" t="s">
        <v>99</v>
      </c>
      <c r="I2024">
        <v>1</v>
      </c>
      <c r="J2024" t="s">
        <v>105</v>
      </c>
      <c r="K2024" s="19">
        <v>0.29166666666666669</v>
      </c>
      <c r="L2024" s="19">
        <v>0.60416666666666663</v>
      </c>
      <c r="M2024">
        <v>7.5</v>
      </c>
      <c r="N2024">
        <v>203.35</v>
      </c>
      <c r="O2024">
        <v>0</v>
      </c>
      <c r="P2024">
        <v>0</v>
      </c>
      <c r="Q2024" t="s">
        <v>99</v>
      </c>
      <c r="R2024">
        <v>30</v>
      </c>
      <c r="S2024" s="19">
        <v>0.5</v>
      </c>
      <c r="T2024">
        <v>0</v>
      </c>
      <c r="U2024" s="19">
        <v>0.41666666666666669</v>
      </c>
      <c r="V2024" t="s">
        <v>451</v>
      </c>
      <c r="W2024">
        <v>7</v>
      </c>
      <c r="X2024" t="s">
        <v>102</v>
      </c>
      <c r="Y2024" t="b">
        <v>0</v>
      </c>
    </row>
    <row r="2025" spans="1:25" x14ac:dyDescent="0.55000000000000004">
      <c r="A2025" t="s">
        <v>94</v>
      </c>
      <c r="B2025" t="s">
        <v>449</v>
      </c>
      <c r="C2025" t="s">
        <v>322</v>
      </c>
      <c r="D2025" t="s">
        <v>174</v>
      </c>
      <c r="E2025" t="s">
        <v>175</v>
      </c>
      <c r="F2025" t="s">
        <v>99</v>
      </c>
      <c r="H2025" t="s">
        <v>99</v>
      </c>
      <c r="I2025">
        <v>1</v>
      </c>
      <c r="J2025" t="s">
        <v>105</v>
      </c>
      <c r="K2025" s="19">
        <v>0.29166666666666669</v>
      </c>
      <c r="L2025" s="19">
        <v>0.60416666666666663</v>
      </c>
      <c r="M2025">
        <v>7.5</v>
      </c>
      <c r="N2025">
        <v>203.35</v>
      </c>
      <c r="O2025">
        <v>0</v>
      </c>
      <c r="P2025">
        <v>0</v>
      </c>
      <c r="Q2025" t="s">
        <v>99</v>
      </c>
      <c r="R2025">
        <v>30</v>
      </c>
      <c r="S2025" s="19">
        <v>0.54166666666666663</v>
      </c>
      <c r="T2025">
        <v>0</v>
      </c>
      <c r="U2025" s="19"/>
      <c r="V2025" t="s">
        <v>450</v>
      </c>
      <c r="W2025">
        <v>7</v>
      </c>
      <c r="X2025" t="s">
        <v>102</v>
      </c>
      <c r="Y2025" t="b">
        <v>0</v>
      </c>
    </row>
    <row r="2026" spans="1:25" x14ac:dyDescent="0.55000000000000004">
      <c r="A2026" t="s">
        <v>94</v>
      </c>
      <c r="B2026" t="s">
        <v>449</v>
      </c>
      <c r="C2026" t="s">
        <v>322</v>
      </c>
      <c r="D2026" t="s">
        <v>174</v>
      </c>
      <c r="E2026" t="s">
        <v>175</v>
      </c>
      <c r="F2026" t="s">
        <v>99</v>
      </c>
      <c r="H2026" t="s">
        <v>99</v>
      </c>
      <c r="I2026">
        <v>2</v>
      </c>
      <c r="J2026" t="s">
        <v>107</v>
      </c>
      <c r="K2026" s="19">
        <v>0.29166666666666669</v>
      </c>
      <c r="L2026" s="19">
        <v>0.60416666666666663</v>
      </c>
      <c r="M2026">
        <v>7.5</v>
      </c>
      <c r="N2026">
        <v>203.35</v>
      </c>
      <c r="O2026">
        <v>0</v>
      </c>
      <c r="P2026">
        <v>0</v>
      </c>
      <c r="Q2026" t="s">
        <v>99</v>
      </c>
      <c r="R2026">
        <v>30</v>
      </c>
      <c r="S2026" s="19">
        <v>0.5</v>
      </c>
      <c r="T2026">
        <v>0</v>
      </c>
      <c r="U2026" s="19"/>
      <c r="V2026" t="s">
        <v>451</v>
      </c>
      <c r="W2026">
        <v>7</v>
      </c>
      <c r="X2026" t="s">
        <v>102</v>
      </c>
      <c r="Y2026" t="b">
        <v>0</v>
      </c>
    </row>
    <row r="2027" spans="1:25" x14ac:dyDescent="0.55000000000000004">
      <c r="A2027" t="s">
        <v>94</v>
      </c>
      <c r="B2027" t="s">
        <v>449</v>
      </c>
      <c r="C2027" t="s">
        <v>322</v>
      </c>
      <c r="D2027" t="s">
        <v>174</v>
      </c>
      <c r="E2027" t="s">
        <v>175</v>
      </c>
      <c r="F2027" t="s">
        <v>99</v>
      </c>
      <c r="H2027" t="s">
        <v>99</v>
      </c>
      <c r="I2027">
        <v>2</v>
      </c>
      <c r="J2027" t="s">
        <v>107</v>
      </c>
      <c r="K2027" s="19">
        <v>0.29166666666666669</v>
      </c>
      <c r="L2027" s="19">
        <v>0.60416666666666663</v>
      </c>
      <c r="M2027">
        <v>7.5</v>
      </c>
      <c r="N2027">
        <v>203.35</v>
      </c>
      <c r="O2027">
        <v>0</v>
      </c>
      <c r="P2027">
        <v>0</v>
      </c>
      <c r="Q2027" t="s">
        <v>99</v>
      </c>
      <c r="R2027">
        <v>30</v>
      </c>
      <c r="S2027" s="19">
        <v>0.54166666666666663</v>
      </c>
      <c r="T2027">
        <v>0</v>
      </c>
      <c r="U2027" s="19"/>
      <c r="V2027" t="s">
        <v>450</v>
      </c>
      <c r="W2027">
        <v>7</v>
      </c>
      <c r="X2027" t="s">
        <v>102</v>
      </c>
      <c r="Y2027" t="b">
        <v>0</v>
      </c>
    </row>
    <row r="2028" spans="1:25" x14ac:dyDescent="0.55000000000000004">
      <c r="A2028" t="s">
        <v>94</v>
      </c>
      <c r="B2028" t="s">
        <v>449</v>
      </c>
      <c r="C2028" t="s">
        <v>322</v>
      </c>
      <c r="D2028" t="s">
        <v>174</v>
      </c>
      <c r="E2028" t="s">
        <v>175</v>
      </c>
      <c r="F2028" t="s">
        <v>99</v>
      </c>
      <c r="H2028" t="s">
        <v>99</v>
      </c>
      <c r="I2028">
        <v>2</v>
      </c>
      <c r="J2028" t="s">
        <v>101</v>
      </c>
      <c r="K2028" s="19">
        <v>0.29166666666666669</v>
      </c>
      <c r="L2028" s="19">
        <v>0.60416666666666663</v>
      </c>
      <c r="M2028">
        <v>7.5</v>
      </c>
      <c r="N2028">
        <v>203.35</v>
      </c>
      <c r="O2028">
        <v>0</v>
      </c>
      <c r="P2028">
        <v>0</v>
      </c>
      <c r="Q2028" t="s">
        <v>99</v>
      </c>
      <c r="R2028">
        <v>30</v>
      </c>
      <c r="S2028" s="19">
        <v>0.5</v>
      </c>
      <c r="T2028">
        <v>0</v>
      </c>
      <c r="U2028" s="19"/>
      <c r="V2028" t="s">
        <v>452</v>
      </c>
      <c r="W2028">
        <v>7</v>
      </c>
      <c r="X2028" t="s">
        <v>102</v>
      </c>
      <c r="Y2028" t="b">
        <v>0</v>
      </c>
    </row>
    <row r="2029" spans="1:25" x14ac:dyDescent="0.55000000000000004">
      <c r="A2029" t="s">
        <v>94</v>
      </c>
      <c r="B2029" t="s">
        <v>449</v>
      </c>
      <c r="C2029" t="s">
        <v>322</v>
      </c>
      <c r="D2029" t="s">
        <v>174</v>
      </c>
      <c r="E2029" t="s">
        <v>175</v>
      </c>
      <c r="F2029" t="s">
        <v>99</v>
      </c>
      <c r="H2029" t="s">
        <v>99</v>
      </c>
      <c r="I2029">
        <v>2</v>
      </c>
      <c r="J2029" t="s">
        <v>101</v>
      </c>
      <c r="K2029" s="19">
        <v>0.29166666666666669</v>
      </c>
      <c r="L2029" s="19">
        <v>0.60416666666666663</v>
      </c>
      <c r="M2029">
        <v>7.5</v>
      </c>
      <c r="N2029">
        <v>203.35</v>
      </c>
      <c r="O2029">
        <v>0</v>
      </c>
      <c r="P2029">
        <v>0</v>
      </c>
      <c r="Q2029" t="s">
        <v>99</v>
      </c>
      <c r="R2029">
        <v>30</v>
      </c>
      <c r="S2029" s="19">
        <v>0.5</v>
      </c>
      <c r="T2029">
        <v>0</v>
      </c>
      <c r="U2029" s="19"/>
      <c r="V2029" t="s">
        <v>451</v>
      </c>
      <c r="W2029">
        <v>7</v>
      </c>
      <c r="X2029" t="s">
        <v>102</v>
      </c>
      <c r="Y2029" t="b">
        <v>0</v>
      </c>
    </row>
    <row r="2030" spans="1:25" x14ac:dyDescent="0.55000000000000004">
      <c r="A2030" t="s">
        <v>94</v>
      </c>
      <c r="B2030" t="s">
        <v>449</v>
      </c>
      <c r="C2030" t="s">
        <v>322</v>
      </c>
      <c r="D2030" t="s">
        <v>174</v>
      </c>
      <c r="E2030" t="s">
        <v>175</v>
      </c>
      <c r="F2030" t="s">
        <v>99</v>
      </c>
      <c r="H2030" t="s">
        <v>99</v>
      </c>
      <c r="I2030">
        <v>2</v>
      </c>
      <c r="J2030" t="s">
        <v>115</v>
      </c>
      <c r="K2030" s="19">
        <v>0.29166666666666669</v>
      </c>
      <c r="L2030" s="19">
        <v>0.60416666666666663</v>
      </c>
      <c r="M2030">
        <v>7.5</v>
      </c>
      <c r="N2030">
        <v>305.02</v>
      </c>
      <c r="O2030">
        <v>0</v>
      </c>
      <c r="P2030">
        <v>0</v>
      </c>
      <c r="Q2030" t="s">
        <v>99</v>
      </c>
      <c r="R2030">
        <v>30</v>
      </c>
      <c r="S2030" s="19">
        <v>0.5</v>
      </c>
      <c r="T2030">
        <v>0</v>
      </c>
      <c r="U2030" s="19"/>
      <c r="V2030" t="s">
        <v>452</v>
      </c>
      <c r="W2030">
        <v>7</v>
      </c>
      <c r="X2030" t="s">
        <v>102</v>
      </c>
      <c r="Y2030" t="b">
        <v>0</v>
      </c>
    </row>
    <row r="2031" spans="1:25" x14ac:dyDescent="0.55000000000000004">
      <c r="A2031" t="s">
        <v>94</v>
      </c>
      <c r="B2031" t="s">
        <v>449</v>
      </c>
      <c r="C2031" t="s">
        <v>322</v>
      </c>
      <c r="D2031" t="s">
        <v>174</v>
      </c>
      <c r="E2031" t="s">
        <v>175</v>
      </c>
      <c r="F2031" t="s">
        <v>99</v>
      </c>
      <c r="H2031" t="s">
        <v>99</v>
      </c>
      <c r="I2031">
        <v>2</v>
      </c>
      <c r="J2031" t="s">
        <v>115</v>
      </c>
      <c r="K2031" s="19">
        <v>0.29166666666666669</v>
      </c>
      <c r="L2031" s="19">
        <v>0.60416666666666663</v>
      </c>
      <c r="M2031">
        <v>7.5</v>
      </c>
      <c r="N2031">
        <v>305.02</v>
      </c>
      <c r="O2031">
        <v>0</v>
      </c>
      <c r="P2031">
        <v>0</v>
      </c>
      <c r="Q2031" t="s">
        <v>99</v>
      </c>
      <c r="R2031">
        <v>30</v>
      </c>
      <c r="S2031" s="19">
        <v>0.5</v>
      </c>
      <c r="T2031">
        <v>0</v>
      </c>
      <c r="U2031" s="19"/>
      <c r="V2031" t="s">
        <v>451</v>
      </c>
      <c r="W2031">
        <v>7</v>
      </c>
      <c r="X2031" t="s">
        <v>102</v>
      </c>
      <c r="Y2031" t="b">
        <v>0</v>
      </c>
    </row>
    <row r="2032" spans="1:25" x14ac:dyDescent="0.55000000000000004">
      <c r="A2032" t="s">
        <v>94</v>
      </c>
      <c r="B2032" t="s">
        <v>449</v>
      </c>
      <c r="C2032" t="s">
        <v>322</v>
      </c>
      <c r="D2032" t="s">
        <v>174</v>
      </c>
      <c r="E2032" t="s">
        <v>175</v>
      </c>
      <c r="F2032" t="s">
        <v>99</v>
      </c>
      <c r="H2032" t="s">
        <v>99</v>
      </c>
      <c r="I2032">
        <v>2</v>
      </c>
      <c r="J2032" t="s">
        <v>115</v>
      </c>
      <c r="K2032" s="19">
        <v>0.29166666666666669</v>
      </c>
      <c r="L2032" s="19">
        <v>0.60416666666666663</v>
      </c>
      <c r="M2032">
        <v>7.5</v>
      </c>
      <c r="N2032">
        <v>305.02</v>
      </c>
      <c r="O2032">
        <v>0</v>
      </c>
      <c r="P2032">
        <v>0</v>
      </c>
      <c r="Q2032" t="s">
        <v>99</v>
      </c>
      <c r="R2032">
        <v>30</v>
      </c>
      <c r="S2032" s="19">
        <v>0.54166666666666663</v>
      </c>
      <c r="T2032">
        <v>0</v>
      </c>
      <c r="U2032" s="19"/>
      <c r="V2032" t="s">
        <v>450</v>
      </c>
      <c r="W2032">
        <v>7</v>
      </c>
      <c r="X2032" t="s">
        <v>102</v>
      </c>
      <c r="Y2032" t="b">
        <v>0</v>
      </c>
    </row>
    <row r="2033" spans="1:25" x14ac:dyDescent="0.55000000000000004">
      <c r="A2033" t="s">
        <v>94</v>
      </c>
      <c r="B2033" t="s">
        <v>449</v>
      </c>
      <c r="C2033" t="s">
        <v>322</v>
      </c>
      <c r="D2033" t="s">
        <v>174</v>
      </c>
      <c r="E2033" t="s">
        <v>175</v>
      </c>
      <c r="F2033" t="s">
        <v>99</v>
      </c>
      <c r="H2033" t="s">
        <v>99</v>
      </c>
      <c r="I2033">
        <v>2</v>
      </c>
      <c r="J2033" t="s">
        <v>116</v>
      </c>
      <c r="K2033" s="19">
        <v>0.29166666666666669</v>
      </c>
      <c r="L2033" s="19">
        <v>0.60416666666666663</v>
      </c>
      <c r="M2033">
        <v>7.5</v>
      </c>
      <c r="N2033">
        <v>355.86</v>
      </c>
      <c r="O2033">
        <v>0</v>
      </c>
      <c r="P2033">
        <v>0</v>
      </c>
      <c r="Q2033" t="s">
        <v>99</v>
      </c>
      <c r="R2033">
        <v>30</v>
      </c>
      <c r="S2033" s="19">
        <v>0.5</v>
      </c>
      <c r="T2033">
        <v>0</v>
      </c>
      <c r="U2033" s="19"/>
      <c r="V2033" t="s">
        <v>451</v>
      </c>
      <c r="W2033">
        <v>7</v>
      </c>
      <c r="X2033" t="s">
        <v>102</v>
      </c>
      <c r="Y2033" t="b">
        <v>0</v>
      </c>
    </row>
    <row r="2034" spans="1:25" x14ac:dyDescent="0.55000000000000004">
      <c r="A2034" t="s">
        <v>94</v>
      </c>
      <c r="B2034" t="s">
        <v>449</v>
      </c>
      <c r="C2034" t="s">
        <v>322</v>
      </c>
      <c r="D2034" t="s">
        <v>174</v>
      </c>
      <c r="E2034" t="s">
        <v>175</v>
      </c>
      <c r="F2034" t="s">
        <v>99</v>
      </c>
      <c r="H2034" t="s">
        <v>99</v>
      </c>
      <c r="I2034">
        <v>2</v>
      </c>
      <c r="J2034" t="s">
        <v>116</v>
      </c>
      <c r="K2034" s="19">
        <v>0.29166666666666669</v>
      </c>
      <c r="L2034" s="19">
        <v>0.60416666666666663</v>
      </c>
      <c r="M2034">
        <v>7.5</v>
      </c>
      <c r="N2034">
        <v>355.86</v>
      </c>
      <c r="O2034">
        <v>0</v>
      </c>
      <c r="P2034">
        <v>0</v>
      </c>
      <c r="Q2034" t="s">
        <v>99</v>
      </c>
      <c r="R2034">
        <v>30</v>
      </c>
      <c r="S2034" s="19">
        <v>0.54166666666666663</v>
      </c>
      <c r="T2034">
        <v>0</v>
      </c>
      <c r="U2034" s="19"/>
      <c r="V2034" t="s">
        <v>450</v>
      </c>
      <c r="W2034">
        <v>7</v>
      </c>
      <c r="X2034" t="s">
        <v>102</v>
      </c>
      <c r="Y2034" t="b">
        <v>0</v>
      </c>
    </row>
    <row r="2035" spans="1:25" x14ac:dyDescent="0.55000000000000004">
      <c r="A2035" t="s">
        <v>94</v>
      </c>
      <c r="B2035" t="s">
        <v>449</v>
      </c>
      <c r="C2035" t="s">
        <v>322</v>
      </c>
      <c r="D2035" t="s">
        <v>174</v>
      </c>
      <c r="E2035" t="s">
        <v>175</v>
      </c>
      <c r="F2035" t="s">
        <v>99</v>
      </c>
      <c r="H2035" t="s">
        <v>99</v>
      </c>
      <c r="I2035">
        <v>2</v>
      </c>
      <c r="J2035" t="s">
        <v>103</v>
      </c>
      <c r="K2035" s="19">
        <v>0.29166666666666669</v>
      </c>
      <c r="L2035" s="19">
        <v>0.60416666666666663</v>
      </c>
      <c r="M2035">
        <v>7.5</v>
      </c>
      <c r="N2035">
        <v>203.35</v>
      </c>
      <c r="O2035">
        <v>0</v>
      </c>
      <c r="P2035">
        <v>0</v>
      </c>
      <c r="Q2035" t="s">
        <v>99</v>
      </c>
      <c r="R2035">
        <v>30</v>
      </c>
      <c r="S2035" s="19">
        <v>0.5</v>
      </c>
      <c r="T2035">
        <v>0</v>
      </c>
      <c r="U2035" s="19"/>
      <c r="V2035" t="s">
        <v>452</v>
      </c>
      <c r="W2035">
        <v>7</v>
      </c>
      <c r="X2035" t="s">
        <v>102</v>
      </c>
      <c r="Y2035" t="b">
        <v>0</v>
      </c>
    </row>
    <row r="2036" spans="1:25" x14ac:dyDescent="0.55000000000000004">
      <c r="A2036" t="s">
        <v>94</v>
      </c>
      <c r="B2036" t="s">
        <v>449</v>
      </c>
      <c r="C2036" t="s">
        <v>322</v>
      </c>
      <c r="D2036" t="s">
        <v>174</v>
      </c>
      <c r="E2036" t="s">
        <v>175</v>
      </c>
      <c r="F2036" t="s">
        <v>99</v>
      </c>
      <c r="H2036" t="s">
        <v>99</v>
      </c>
      <c r="I2036">
        <v>2</v>
      </c>
      <c r="J2036" t="s">
        <v>104</v>
      </c>
      <c r="K2036" s="19">
        <v>0.29166666666666669</v>
      </c>
      <c r="L2036" s="19">
        <v>0.60416666666666663</v>
      </c>
      <c r="M2036">
        <v>7.5</v>
      </c>
      <c r="N2036">
        <v>203.35</v>
      </c>
      <c r="O2036">
        <v>0</v>
      </c>
      <c r="P2036">
        <v>0</v>
      </c>
      <c r="Q2036" t="s">
        <v>99</v>
      </c>
      <c r="R2036">
        <v>30</v>
      </c>
      <c r="S2036" s="19">
        <v>0.5</v>
      </c>
      <c r="T2036">
        <v>0</v>
      </c>
      <c r="U2036" s="19"/>
      <c r="V2036" t="s">
        <v>451</v>
      </c>
      <c r="W2036">
        <v>7</v>
      </c>
      <c r="X2036" t="s">
        <v>102</v>
      </c>
      <c r="Y2036" t="b">
        <v>0</v>
      </c>
    </row>
    <row r="2037" spans="1:25" x14ac:dyDescent="0.55000000000000004">
      <c r="A2037" t="s">
        <v>94</v>
      </c>
      <c r="B2037" t="s">
        <v>449</v>
      </c>
      <c r="C2037" t="s">
        <v>322</v>
      </c>
      <c r="D2037" t="s">
        <v>174</v>
      </c>
      <c r="E2037" t="s">
        <v>175</v>
      </c>
      <c r="F2037" t="s">
        <v>99</v>
      </c>
      <c r="H2037" t="s">
        <v>99</v>
      </c>
      <c r="I2037">
        <v>2</v>
      </c>
      <c r="J2037" t="s">
        <v>105</v>
      </c>
      <c r="K2037" s="19">
        <v>0.29166666666666669</v>
      </c>
      <c r="L2037" s="19">
        <v>0.60416666666666663</v>
      </c>
      <c r="M2037">
        <v>7.5</v>
      </c>
      <c r="N2037">
        <v>203.35</v>
      </c>
      <c r="O2037">
        <v>0</v>
      </c>
      <c r="P2037">
        <v>0</v>
      </c>
      <c r="Q2037" t="s">
        <v>99</v>
      </c>
      <c r="R2037">
        <v>30</v>
      </c>
      <c r="S2037" s="19">
        <v>0.5</v>
      </c>
      <c r="T2037">
        <v>0</v>
      </c>
      <c r="U2037" s="19"/>
      <c r="V2037" t="s">
        <v>452</v>
      </c>
      <c r="W2037">
        <v>7</v>
      </c>
      <c r="X2037" t="s">
        <v>102</v>
      </c>
      <c r="Y2037" t="b">
        <v>0</v>
      </c>
    </row>
    <row r="2038" spans="1:25" x14ac:dyDescent="0.55000000000000004">
      <c r="A2038" t="s">
        <v>94</v>
      </c>
      <c r="B2038" t="s">
        <v>449</v>
      </c>
      <c r="C2038" t="s">
        <v>322</v>
      </c>
      <c r="D2038" t="s">
        <v>174</v>
      </c>
      <c r="E2038" t="s">
        <v>175</v>
      </c>
      <c r="F2038" t="s">
        <v>99</v>
      </c>
      <c r="H2038" t="s">
        <v>99</v>
      </c>
      <c r="I2038">
        <v>2</v>
      </c>
      <c r="J2038" t="s">
        <v>105</v>
      </c>
      <c r="K2038" s="19">
        <v>0.29166666666666669</v>
      </c>
      <c r="L2038" s="19">
        <v>0.60416666666666663</v>
      </c>
      <c r="M2038">
        <v>7.5</v>
      </c>
      <c r="N2038">
        <v>203.35</v>
      </c>
      <c r="O2038">
        <v>0</v>
      </c>
      <c r="P2038">
        <v>0</v>
      </c>
      <c r="Q2038" t="s">
        <v>99</v>
      </c>
      <c r="R2038">
        <v>30</v>
      </c>
      <c r="S2038" s="19">
        <v>0.5</v>
      </c>
      <c r="T2038">
        <v>0</v>
      </c>
      <c r="U2038" s="19"/>
      <c r="V2038" t="s">
        <v>451</v>
      </c>
      <c r="W2038">
        <v>7</v>
      </c>
      <c r="X2038" t="s">
        <v>102</v>
      </c>
      <c r="Y2038" t="b">
        <v>0</v>
      </c>
    </row>
    <row r="2039" spans="1:25" x14ac:dyDescent="0.55000000000000004">
      <c r="A2039" t="s">
        <v>94</v>
      </c>
      <c r="B2039" t="s">
        <v>449</v>
      </c>
      <c r="C2039" t="s">
        <v>322</v>
      </c>
      <c r="D2039" t="s">
        <v>174</v>
      </c>
      <c r="E2039" t="s">
        <v>175</v>
      </c>
      <c r="F2039" t="s">
        <v>99</v>
      </c>
      <c r="H2039" t="s">
        <v>99</v>
      </c>
      <c r="I2039">
        <v>2</v>
      </c>
      <c r="J2039" t="s">
        <v>105</v>
      </c>
      <c r="K2039" s="19">
        <v>0.29166666666666669</v>
      </c>
      <c r="L2039" s="19">
        <v>0.60416666666666663</v>
      </c>
      <c r="M2039">
        <v>7.5</v>
      </c>
      <c r="N2039">
        <v>203.35</v>
      </c>
      <c r="O2039">
        <v>0</v>
      </c>
      <c r="P2039">
        <v>0</v>
      </c>
      <c r="Q2039" t="s">
        <v>99</v>
      </c>
      <c r="R2039">
        <v>30</v>
      </c>
      <c r="S2039" s="19">
        <v>0.54166666666666663</v>
      </c>
      <c r="T2039">
        <v>0</v>
      </c>
      <c r="U2039" s="19"/>
      <c r="V2039" t="s">
        <v>450</v>
      </c>
      <c r="W2039">
        <v>7</v>
      </c>
      <c r="X2039" t="s">
        <v>102</v>
      </c>
      <c r="Y2039" t="b">
        <v>0</v>
      </c>
    </row>
    <row r="2040" spans="1:25" x14ac:dyDescent="0.55000000000000004">
      <c r="A2040" t="s">
        <v>94</v>
      </c>
      <c r="B2040" t="s">
        <v>449</v>
      </c>
      <c r="C2040" t="s">
        <v>322</v>
      </c>
      <c r="D2040" t="s">
        <v>174</v>
      </c>
      <c r="E2040" t="s">
        <v>175</v>
      </c>
      <c r="F2040" t="s">
        <v>99</v>
      </c>
      <c r="G2040">
        <v>13636</v>
      </c>
      <c r="H2040" t="s">
        <v>453</v>
      </c>
      <c r="I2040">
        <v>1</v>
      </c>
      <c r="J2040" t="s">
        <v>101</v>
      </c>
      <c r="K2040" s="19">
        <v>0.29166666666666669</v>
      </c>
      <c r="L2040" s="19">
        <v>0.60416666666666663</v>
      </c>
      <c r="M2040">
        <v>7.5</v>
      </c>
      <c r="N2040">
        <v>245.77</v>
      </c>
      <c r="O2040">
        <v>76</v>
      </c>
      <c r="P2040">
        <v>76</v>
      </c>
      <c r="Q2040" t="s">
        <v>99</v>
      </c>
      <c r="R2040">
        <v>30</v>
      </c>
      <c r="S2040" s="19">
        <v>0.5</v>
      </c>
      <c r="T2040">
        <v>0</v>
      </c>
      <c r="U2040" s="19"/>
      <c r="V2040" t="s">
        <v>452</v>
      </c>
      <c r="W2040">
        <v>7</v>
      </c>
      <c r="X2040" t="s">
        <v>102</v>
      </c>
      <c r="Y2040" t="b">
        <v>0</v>
      </c>
    </row>
    <row r="2041" spans="1:25" x14ac:dyDescent="0.55000000000000004">
      <c r="A2041" t="s">
        <v>94</v>
      </c>
      <c r="B2041" t="s">
        <v>449</v>
      </c>
      <c r="C2041" t="s">
        <v>322</v>
      </c>
      <c r="D2041" t="s">
        <v>174</v>
      </c>
      <c r="E2041" t="s">
        <v>175</v>
      </c>
      <c r="F2041" t="s">
        <v>99</v>
      </c>
      <c r="G2041">
        <v>13636</v>
      </c>
      <c r="H2041" t="s">
        <v>453</v>
      </c>
      <c r="I2041">
        <v>1</v>
      </c>
      <c r="J2041" t="s">
        <v>104</v>
      </c>
      <c r="K2041" s="19">
        <v>0.29166666666666669</v>
      </c>
      <c r="L2041" s="19">
        <v>0.60416666666666663</v>
      </c>
      <c r="M2041">
        <v>7.5</v>
      </c>
      <c r="N2041">
        <v>245.77</v>
      </c>
      <c r="O2041">
        <v>76</v>
      </c>
      <c r="P2041">
        <v>76</v>
      </c>
      <c r="Q2041" t="s">
        <v>99</v>
      </c>
      <c r="R2041">
        <v>30</v>
      </c>
      <c r="S2041" s="19">
        <v>0.5</v>
      </c>
      <c r="T2041">
        <v>0</v>
      </c>
      <c r="U2041" s="19"/>
      <c r="V2041" t="s">
        <v>451</v>
      </c>
      <c r="W2041">
        <v>7</v>
      </c>
      <c r="X2041" t="s">
        <v>102</v>
      </c>
      <c r="Y2041" t="b">
        <v>0</v>
      </c>
    </row>
    <row r="2042" spans="1:25" x14ac:dyDescent="0.55000000000000004">
      <c r="A2042" t="s">
        <v>94</v>
      </c>
      <c r="B2042" t="s">
        <v>449</v>
      </c>
      <c r="C2042" t="s">
        <v>322</v>
      </c>
      <c r="D2042" t="s">
        <v>174</v>
      </c>
      <c r="E2042" t="s">
        <v>175</v>
      </c>
      <c r="F2042" t="s">
        <v>99</v>
      </c>
      <c r="G2042">
        <v>13636</v>
      </c>
      <c r="H2042" t="s">
        <v>453</v>
      </c>
      <c r="I2042">
        <v>2</v>
      </c>
      <c r="J2042" t="s">
        <v>101</v>
      </c>
      <c r="K2042" s="19">
        <v>0.29166666666666669</v>
      </c>
      <c r="L2042" s="19">
        <v>0.60416666666666663</v>
      </c>
      <c r="M2042">
        <v>7.5</v>
      </c>
      <c r="N2042">
        <v>245.77</v>
      </c>
      <c r="O2042">
        <v>76</v>
      </c>
      <c r="P2042">
        <v>76</v>
      </c>
      <c r="Q2042" t="s">
        <v>99</v>
      </c>
      <c r="R2042">
        <v>30</v>
      </c>
      <c r="S2042" s="19">
        <v>0.54166666666666663</v>
      </c>
      <c r="T2042">
        <v>0</v>
      </c>
      <c r="U2042" s="19"/>
      <c r="V2042" t="s">
        <v>450</v>
      </c>
      <c r="W2042">
        <v>7</v>
      </c>
      <c r="X2042" t="s">
        <v>102</v>
      </c>
      <c r="Y2042" t="b">
        <v>0</v>
      </c>
    </row>
    <row r="2043" spans="1:25" x14ac:dyDescent="0.55000000000000004">
      <c r="A2043" t="s">
        <v>94</v>
      </c>
      <c r="B2043" t="s">
        <v>449</v>
      </c>
      <c r="C2043" t="s">
        <v>322</v>
      </c>
      <c r="D2043" t="s">
        <v>174</v>
      </c>
      <c r="E2043" t="s">
        <v>175</v>
      </c>
      <c r="F2043" t="s">
        <v>99</v>
      </c>
      <c r="G2043">
        <v>13636</v>
      </c>
      <c r="H2043" t="s">
        <v>453</v>
      </c>
      <c r="I2043">
        <v>2</v>
      </c>
      <c r="J2043" t="s">
        <v>116</v>
      </c>
      <c r="K2043" s="19">
        <v>0.29166666666666669</v>
      </c>
      <c r="L2043" s="19">
        <v>0.64583333333333337</v>
      </c>
      <c r="M2043">
        <v>8.5</v>
      </c>
      <c r="N2043">
        <v>491.54</v>
      </c>
      <c r="O2043">
        <v>76</v>
      </c>
      <c r="P2043">
        <v>76</v>
      </c>
      <c r="Q2043" t="s">
        <v>99</v>
      </c>
      <c r="R2043">
        <v>30</v>
      </c>
      <c r="S2043" s="19">
        <v>0.5</v>
      </c>
      <c r="T2043">
        <v>0</v>
      </c>
      <c r="U2043" s="19"/>
      <c r="V2043" t="s">
        <v>454</v>
      </c>
      <c r="W2043">
        <v>8</v>
      </c>
      <c r="X2043" t="s">
        <v>102</v>
      </c>
      <c r="Y2043" t="b">
        <v>0</v>
      </c>
    </row>
    <row r="2044" spans="1:25" x14ac:dyDescent="0.55000000000000004">
      <c r="A2044" t="s">
        <v>94</v>
      </c>
      <c r="B2044" t="s">
        <v>449</v>
      </c>
      <c r="C2044" t="s">
        <v>322</v>
      </c>
      <c r="D2044" t="s">
        <v>174</v>
      </c>
      <c r="E2044" t="s">
        <v>175</v>
      </c>
      <c r="F2044" t="s">
        <v>99</v>
      </c>
      <c r="G2044">
        <v>13636</v>
      </c>
      <c r="H2044" t="s">
        <v>453</v>
      </c>
      <c r="I2044">
        <v>2</v>
      </c>
      <c r="J2044" t="s">
        <v>104</v>
      </c>
      <c r="K2044" s="19">
        <v>0.29166666666666669</v>
      </c>
      <c r="L2044" s="19">
        <v>0.60416666666666663</v>
      </c>
      <c r="M2044">
        <v>7.5</v>
      </c>
      <c r="N2044">
        <v>245.77</v>
      </c>
      <c r="O2044">
        <v>76</v>
      </c>
      <c r="P2044">
        <v>76</v>
      </c>
      <c r="Q2044" t="s">
        <v>99</v>
      </c>
      <c r="R2044">
        <v>30</v>
      </c>
      <c r="S2044" s="19">
        <v>0.54166666666666663</v>
      </c>
      <c r="T2044">
        <v>0</v>
      </c>
      <c r="U2044" s="19"/>
      <c r="V2044" t="s">
        <v>450</v>
      </c>
      <c r="W2044">
        <v>7</v>
      </c>
      <c r="X2044" t="s">
        <v>102</v>
      </c>
      <c r="Y2044" t="b">
        <v>0</v>
      </c>
    </row>
    <row r="2045" spans="1:25" x14ac:dyDescent="0.55000000000000004">
      <c r="A2045" t="s">
        <v>94</v>
      </c>
      <c r="B2045" t="s">
        <v>449</v>
      </c>
      <c r="C2045" t="s">
        <v>322</v>
      </c>
      <c r="D2045" t="s">
        <v>174</v>
      </c>
      <c r="E2045" t="s">
        <v>175</v>
      </c>
      <c r="F2045" t="s">
        <v>99</v>
      </c>
      <c r="G2045">
        <v>14202</v>
      </c>
      <c r="H2045" t="s">
        <v>455</v>
      </c>
      <c r="I2045">
        <v>1</v>
      </c>
      <c r="J2045" t="s">
        <v>107</v>
      </c>
      <c r="K2045" s="19">
        <v>0.29166666666666669</v>
      </c>
      <c r="L2045" s="19">
        <v>0.60416666666666663</v>
      </c>
      <c r="M2045">
        <v>7.5</v>
      </c>
      <c r="N2045">
        <v>245.77</v>
      </c>
      <c r="O2045">
        <v>40</v>
      </c>
      <c r="P2045">
        <v>76</v>
      </c>
      <c r="Q2045" t="s">
        <v>99</v>
      </c>
      <c r="R2045">
        <v>30</v>
      </c>
      <c r="S2045" s="19">
        <v>0.5</v>
      </c>
      <c r="T2045">
        <v>0</v>
      </c>
      <c r="U2045" s="19"/>
      <c r="V2045" t="s">
        <v>451</v>
      </c>
      <c r="W2045">
        <v>7</v>
      </c>
      <c r="X2045" t="s">
        <v>102</v>
      </c>
      <c r="Y2045" t="b">
        <v>0</v>
      </c>
    </row>
    <row r="2046" spans="1:25" x14ac:dyDescent="0.55000000000000004">
      <c r="A2046" t="s">
        <v>94</v>
      </c>
      <c r="B2046" t="s">
        <v>449</v>
      </c>
      <c r="C2046" t="s">
        <v>322</v>
      </c>
      <c r="D2046" t="s">
        <v>174</v>
      </c>
      <c r="E2046" t="s">
        <v>175</v>
      </c>
      <c r="F2046" t="s">
        <v>99</v>
      </c>
      <c r="G2046">
        <v>14202</v>
      </c>
      <c r="H2046" t="s">
        <v>455</v>
      </c>
      <c r="I2046">
        <v>1</v>
      </c>
      <c r="J2046" t="s">
        <v>103</v>
      </c>
      <c r="K2046" s="19">
        <v>0.29166666666666669</v>
      </c>
      <c r="L2046" s="19">
        <v>0.60416666666666663</v>
      </c>
      <c r="M2046">
        <v>7.5</v>
      </c>
      <c r="N2046">
        <v>245.77</v>
      </c>
      <c r="O2046">
        <v>40</v>
      </c>
      <c r="P2046">
        <v>76</v>
      </c>
      <c r="Q2046" t="s">
        <v>99</v>
      </c>
      <c r="R2046">
        <v>30</v>
      </c>
      <c r="S2046" s="19">
        <v>0.5</v>
      </c>
      <c r="T2046">
        <v>0</v>
      </c>
      <c r="U2046" s="19"/>
      <c r="V2046" t="s">
        <v>451</v>
      </c>
      <c r="W2046">
        <v>7</v>
      </c>
      <c r="X2046" t="s">
        <v>102</v>
      </c>
      <c r="Y2046" t="b">
        <v>0</v>
      </c>
    </row>
    <row r="2047" spans="1:25" x14ac:dyDescent="0.55000000000000004">
      <c r="A2047" t="s">
        <v>94</v>
      </c>
      <c r="B2047" t="s">
        <v>449</v>
      </c>
      <c r="C2047" t="s">
        <v>322</v>
      </c>
      <c r="D2047" t="s">
        <v>174</v>
      </c>
      <c r="E2047" t="s">
        <v>175</v>
      </c>
      <c r="F2047" t="s">
        <v>99</v>
      </c>
      <c r="G2047">
        <v>14202</v>
      </c>
      <c r="H2047" t="s">
        <v>455</v>
      </c>
      <c r="I2047">
        <v>1</v>
      </c>
      <c r="J2047" t="s">
        <v>104</v>
      </c>
      <c r="K2047" s="19">
        <v>0.29166666666666669</v>
      </c>
      <c r="L2047" s="19">
        <v>0.60416666666666663</v>
      </c>
      <c r="M2047">
        <v>7.5</v>
      </c>
      <c r="N2047">
        <v>245.77</v>
      </c>
      <c r="O2047">
        <v>40</v>
      </c>
      <c r="P2047">
        <v>76</v>
      </c>
      <c r="Q2047" t="s">
        <v>99</v>
      </c>
      <c r="R2047">
        <v>30</v>
      </c>
      <c r="S2047" s="19">
        <v>0.5</v>
      </c>
      <c r="T2047">
        <v>0</v>
      </c>
      <c r="U2047" s="19"/>
      <c r="V2047" t="s">
        <v>452</v>
      </c>
      <c r="W2047">
        <v>7</v>
      </c>
      <c r="X2047" t="s">
        <v>102</v>
      </c>
      <c r="Y2047" t="b">
        <v>0</v>
      </c>
    </row>
    <row r="2048" spans="1:25" x14ac:dyDescent="0.55000000000000004">
      <c r="A2048" t="s">
        <v>94</v>
      </c>
      <c r="B2048" t="s">
        <v>449</v>
      </c>
      <c r="C2048" t="s">
        <v>322</v>
      </c>
      <c r="D2048" t="s">
        <v>174</v>
      </c>
      <c r="E2048" t="s">
        <v>175</v>
      </c>
      <c r="F2048" t="s">
        <v>99</v>
      </c>
      <c r="G2048">
        <v>14202</v>
      </c>
      <c r="H2048" t="s">
        <v>455</v>
      </c>
      <c r="I2048">
        <v>2</v>
      </c>
      <c r="J2048" t="s">
        <v>107</v>
      </c>
      <c r="K2048" s="19">
        <v>0.29166666666666669</v>
      </c>
      <c r="L2048" s="19">
        <v>0.60416666666666663</v>
      </c>
      <c r="M2048">
        <v>7.5</v>
      </c>
      <c r="N2048">
        <v>245.77</v>
      </c>
      <c r="O2048">
        <v>40</v>
      </c>
      <c r="P2048">
        <v>76</v>
      </c>
      <c r="Q2048" t="s">
        <v>99</v>
      </c>
      <c r="R2048">
        <v>30</v>
      </c>
      <c r="S2048" s="19">
        <v>0.5</v>
      </c>
      <c r="T2048">
        <v>0</v>
      </c>
      <c r="U2048" s="19"/>
      <c r="V2048" t="s">
        <v>452</v>
      </c>
      <c r="W2048">
        <v>7</v>
      </c>
      <c r="X2048" t="s">
        <v>102</v>
      </c>
      <c r="Y2048" t="b">
        <v>0</v>
      </c>
    </row>
    <row r="2049" spans="1:25" x14ac:dyDescent="0.55000000000000004">
      <c r="A2049" t="s">
        <v>94</v>
      </c>
      <c r="B2049" t="s">
        <v>449</v>
      </c>
      <c r="C2049" t="s">
        <v>322</v>
      </c>
      <c r="D2049" t="s">
        <v>174</v>
      </c>
      <c r="E2049" t="s">
        <v>175</v>
      </c>
      <c r="F2049" t="s">
        <v>99</v>
      </c>
      <c r="G2049">
        <v>14202</v>
      </c>
      <c r="H2049" t="s">
        <v>455</v>
      </c>
      <c r="I2049">
        <v>2</v>
      </c>
      <c r="J2049" t="s">
        <v>103</v>
      </c>
      <c r="K2049" s="19">
        <v>0.29166666666666669</v>
      </c>
      <c r="L2049" s="19">
        <v>0.60416666666666663</v>
      </c>
      <c r="M2049">
        <v>7.5</v>
      </c>
      <c r="N2049">
        <v>245.77</v>
      </c>
      <c r="O2049">
        <v>40</v>
      </c>
      <c r="P2049">
        <v>76</v>
      </c>
      <c r="Q2049" t="s">
        <v>99</v>
      </c>
      <c r="R2049">
        <v>30</v>
      </c>
      <c r="S2049" s="19">
        <v>0.5</v>
      </c>
      <c r="T2049">
        <v>0</v>
      </c>
      <c r="U2049" s="19"/>
      <c r="V2049" t="s">
        <v>451</v>
      </c>
      <c r="W2049">
        <v>7</v>
      </c>
      <c r="X2049" t="s">
        <v>102</v>
      </c>
      <c r="Y2049" t="b">
        <v>0</v>
      </c>
    </row>
    <row r="2050" spans="1:25" x14ac:dyDescent="0.55000000000000004">
      <c r="A2050" t="s">
        <v>94</v>
      </c>
      <c r="B2050" t="s">
        <v>449</v>
      </c>
      <c r="C2050" t="s">
        <v>322</v>
      </c>
      <c r="D2050" t="s">
        <v>174</v>
      </c>
      <c r="E2050" t="s">
        <v>175</v>
      </c>
      <c r="F2050" t="s">
        <v>99</v>
      </c>
      <c r="G2050">
        <v>14202</v>
      </c>
      <c r="H2050" t="s">
        <v>455</v>
      </c>
      <c r="I2050">
        <v>2</v>
      </c>
      <c r="J2050" t="s">
        <v>104</v>
      </c>
      <c r="K2050" s="19">
        <v>0.29166666666666669</v>
      </c>
      <c r="L2050" s="19">
        <v>0.60416666666666663</v>
      </c>
      <c r="M2050">
        <v>7.5</v>
      </c>
      <c r="N2050">
        <v>245.77</v>
      </c>
      <c r="O2050">
        <v>40</v>
      </c>
      <c r="P2050">
        <v>76</v>
      </c>
      <c r="Q2050" t="s">
        <v>99</v>
      </c>
      <c r="R2050">
        <v>30</v>
      </c>
      <c r="S2050" s="19">
        <v>0.5</v>
      </c>
      <c r="T2050">
        <v>0</v>
      </c>
      <c r="U2050" s="19"/>
      <c r="V2050" t="s">
        <v>452</v>
      </c>
      <c r="W2050">
        <v>7</v>
      </c>
      <c r="X2050" t="s">
        <v>102</v>
      </c>
      <c r="Y2050" t="b">
        <v>0</v>
      </c>
    </row>
    <row r="2051" spans="1:25" x14ac:dyDescent="0.55000000000000004">
      <c r="A2051" t="s">
        <v>94</v>
      </c>
      <c r="B2051" t="s">
        <v>449</v>
      </c>
      <c r="C2051" t="s">
        <v>322</v>
      </c>
      <c r="D2051" t="s">
        <v>174</v>
      </c>
      <c r="E2051" t="s">
        <v>175</v>
      </c>
      <c r="F2051" t="s">
        <v>99</v>
      </c>
      <c r="G2051">
        <v>16606</v>
      </c>
      <c r="H2051" t="s">
        <v>456</v>
      </c>
      <c r="I2051">
        <v>1</v>
      </c>
      <c r="J2051" t="s">
        <v>103</v>
      </c>
      <c r="K2051" s="19">
        <v>0.29166666666666669</v>
      </c>
      <c r="L2051" s="19">
        <v>0.64583333333333337</v>
      </c>
      <c r="M2051">
        <v>8.5</v>
      </c>
      <c r="N2051">
        <v>280.88</v>
      </c>
      <c r="O2051">
        <v>24</v>
      </c>
      <c r="P2051">
        <v>76</v>
      </c>
      <c r="Q2051" t="s">
        <v>99</v>
      </c>
      <c r="R2051">
        <v>30</v>
      </c>
      <c r="S2051" s="19">
        <v>0.5</v>
      </c>
      <c r="T2051">
        <v>0</v>
      </c>
      <c r="U2051" s="19"/>
      <c r="V2051" t="s">
        <v>454</v>
      </c>
      <c r="W2051">
        <v>8</v>
      </c>
      <c r="X2051" t="s">
        <v>102</v>
      </c>
      <c r="Y2051" t="b">
        <v>0</v>
      </c>
    </row>
    <row r="2052" spans="1:25" x14ac:dyDescent="0.55000000000000004">
      <c r="A2052" t="s">
        <v>94</v>
      </c>
      <c r="B2052" t="s">
        <v>449</v>
      </c>
      <c r="C2052" t="s">
        <v>322</v>
      </c>
      <c r="D2052" t="s">
        <v>174</v>
      </c>
      <c r="E2052" t="s">
        <v>175</v>
      </c>
      <c r="F2052" t="s">
        <v>99</v>
      </c>
      <c r="G2052">
        <v>16606</v>
      </c>
      <c r="H2052" t="s">
        <v>456</v>
      </c>
      <c r="I2052">
        <v>1</v>
      </c>
      <c r="J2052" t="s">
        <v>104</v>
      </c>
      <c r="K2052" s="19">
        <v>0.29166666666666669</v>
      </c>
      <c r="L2052" s="19">
        <v>0.64583333333333337</v>
      </c>
      <c r="M2052">
        <v>8.5</v>
      </c>
      <c r="N2052">
        <v>280.88</v>
      </c>
      <c r="O2052">
        <v>24</v>
      </c>
      <c r="P2052">
        <v>76</v>
      </c>
      <c r="Q2052" t="s">
        <v>99</v>
      </c>
      <c r="R2052">
        <v>30</v>
      </c>
      <c r="S2052" s="19">
        <v>0.5</v>
      </c>
      <c r="T2052">
        <v>0</v>
      </c>
      <c r="U2052" s="19">
        <v>0.41666666666666669</v>
      </c>
      <c r="V2052" t="s">
        <v>454</v>
      </c>
      <c r="W2052">
        <v>8</v>
      </c>
      <c r="X2052" t="s">
        <v>102</v>
      </c>
      <c r="Y2052" t="b">
        <v>0</v>
      </c>
    </row>
    <row r="2053" spans="1:25" x14ac:dyDescent="0.55000000000000004">
      <c r="A2053" t="s">
        <v>94</v>
      </c>
      <c r="B2053" t="s">
        <v>449</v>
      </c>
      <c r="C2053" t="s">
        <v>322</v>
      </c>
      <c r="D2053" t="s">
        <v>174</v>
      </c>
      <c r="E2053" t="s">
        <v>175</v>
      </c>
      <c r="F2053" t="s">
        <v>99</v>
      </c>
      <c r="G2053">
        <v>16606</v>
      </c>
      <c r="H2053" t="s">
        <v>456</v>
      </c>
      <c r="I2053">
        <v>1</v>
      </c>
      <c r="J2053" t="s">
        <v>105</v>
      </c>
      <c r="K2053" s="19">
        <v>0.29166666666666669</v>
      </c>
      <c r="L2053" s="19">
        <v>0.64583333333333337</v>
      </c>
      <c r="M2053">
        <v>8.5</v>
      </c>
      <c r="N2053">
        <v>280.88</v>
      </c>
      <c r="O2053">
        <v>24</v>
      </c>
      <c r="P2053">
        <v>76</v>
      </c>
      <c r="Q2053" t="s">
        <v>99</v>
      </c>
      <c r="R2053">
        <v>30</v>
      </c>
      <c r="S2053" s="19">
        <v>0.5</v>
      </c>
      <c r="T2053">
        <v>0</v>
      </c>
      <c r="U2053" s="19"/>
      <c r="V2053" t="s">
        <v>454</v>
      </c>
      <c r="W2053">
        <v>8</v>
      </c>
      <c r="X2053" t="s">
        <v>102</v>
      </c>
      <c r="Y2053" t="b">
        <v>0</v>
      </c>
    </row>
    <row r="2054" spans="1:25" x14ac:dyDescent="0.55000000000000004">
      <c r="A2054" t="s">
        <v>94</v>
      </c>
      <c r="B2054" t="s">
        <v>449</v>
      </c>
      <c r="C2054" t="s">
        <v>322</v>
      </c>
      <c r="D2054" t="s">
        <v>174</v>
      </c>
      <c r="E2054" t="s">
        <v>175</v>
      </c>
      <c r="F2054" t="s">
        <v>99</v>
      </c>
      <c r="G2054">
        <v>21139</v>
      </c>
      <c r="H2054" t="s">
        <v>457</v>
      </c>
      <c r="I2054">
        <v>1</v>
      </c>
      <c r="J2054" t="s">
        <v>115</v>
      </c>
      <c r="K2054" s="19">
        <v>0.29166666666666669</v>
      </c>
      <c r="L2054" s="19">
        <v>0.64583333333333337</v>
      </c>
      <c r="M2054">
        <v>8.5</v>
      </c>
      <c r="N2054">
        <v>500.25</v>
      </c>
      <c r="O2054">
        <v>32</v>
      </c>
      <c r="P2054">
        <v>76</v>
      </c>
      <c r="Q2054" t="s">
        <v>99</v>
      </c>
      <c r="R2054">
        <v>30</v>
      </c>
      <c r="S2054" s="19">
        <v>0.5</v>
      </c>
      <c r="T2054">
        <v>0</v>
      </c>
      <c r="U2054" s="19"/>
      <c r="V2054" t="s">
        <v>454</v>
      </c>
      <c r="W2054">
        <v>8</v>
      </c>
      <c r="X2054" t="s">
        <v>102</v>
      </c>
      <c r="Y2054" t="b">
        <v>0</v>
      </c>
    </row>
    <row r="2055" spans="1:25" x14ac:dyDescent="0.55000000000000004">
      <c r="A2055" t="s">
        <v>94</v>
      </c>
      <c r="B2055" t="s">
        <v>449</v>
      </c>
      <c r="C2055" t="s">
        <v>322</v>
      </c>
      <c r="D2055" t="s">
        <v>174</v>
      </c>
      <c r="E2055" t="s">
        <v>175</v>
      </c>
      <c r="F2055" t="s">
        <v>99</v>
      </c>
      <c r="G2055">
        <v>23185</v>
      </c>
      <c r="H2055" t="s">
        <v>398</v>
      </c>
      <c r="I2055">
        <v>2</v>
      </c>
      <c r="J2055" t="s">
        <v>105</v>
      </c>
      <c r="K2055" s="19">
        <v>0.29166666666666669</v>
      </c>
      <c r="L2055" s="19">
        <v>0.64583333333333337</v>
      </c>
      <c r="M2055">
        <v>8.5</v>
      </c>
      <c r="N2055">
        <v>266.8</v>
      </c>
      <c r="O2055">
        <v>32</v>
      </c>
      <c r="P2055">
        <v>76</v>
      </c>
      <c r="Q2055" t="s">
        <v>99</v>
      </c>
      <c r="R2055">
        <v>30</v>
      </c>
      <c r="S2055" s="19">
        <v>0.5</v>
      </c>
      <c r="T2055">
        <v>0</v>
      </c>
      <c r="U2055" s="19"/>
      <c r="V2055" t="s">
        <v>454</v>
      </c>
      <c r="W2055">
        <v>8</v>
      </c>
      <c r="X2055" t="s">
        <v>102</v>
      </c>
      <c r="Y2055" t="b">
        <v>0</v>
      </c>
    </row>
    <row r="2056" spans="1:25" x14ac:dyDescent="0.55000000000000004">
      <c r="A2056" t="s">
        <v>94</v>
      </c>
      <c r="B2056" t="s">
        <v>449</v>
      </c>
      <c r="C2056" t="s">
        <v>322</v>
      </c>
      <c r="D2056" t="s">
        <v>174</v>
      </c>
      <c r="E2056" t="s">
        <v>175</v>
      </c>
      <c r="F2056" t="s">
        <v>99</v>
      </c>
      <c r="G2056">
        <v>23215</v>
      </c>
      <c r="H2056" t="s">
        <v>393</v>
      </c>
      <c r="I2056">
        <v>1</v>
      </c>
      <c r="J2056" t="s">
        <v>101</v>
      </c>
      <c r="K2056" s="19">
        <v>0.29166666666666669</v>
      </c>
      <c r="L2056" s="19">
        <v>0.64583333333333337</v>
      </c>
      <c r="M2056">
        <v>8.5</v>
      </c>
      <c r="N2056">
        <v>280.88</v>
      </c>
      <c r="O2056">
        <v>76</v>
      </c>
      <c r="P2056">
        <v>76</v>
      </c>
      <c r="Q2056" t="s">
        <v>99</v>
      </c>
      <c r="R2056">
        <v>30</v>
      </c>
      <c r="S2056" s="19">
        <v>0.5</v>
      </c>
      <c r="T2056">
        <v>0</v>
      </c>
      <c r="U2056" s="19"/>
      <c r="V2056" t="s">
        <v>454</v>
      </c>
      <c r="W2056">
        <v>8</v>
      </c>
      <c r="X2056" t="s">
        <v>102</v>
      </c>
      <c r="Y2056" t="b">
        <v>0</v>
      </c>
    </row>
    <row r="2057" spans="1:25" x14ac:dyDescent="0.55000000000000004">
      <c r="A2057" t="s">
        <v>94</v>
      </c>
      <c r="B2057" t="s">
        <v>449</v>
      </c>
      <c r="C2057" t="s">
        <v>322</v>
      </c>
      <c r="D2057" t="s">
        <v>174</v>
      </c>
      <c r="E2057" t="s">
        <v>175</v>
      </c>
      <c r="F2057" t="s">
        <v>99</v>
      </c>
      <c r="G2057">
        <v>23215</v>
      </c>
      <c r="H2057" t="s">
        <v>393</v>
      </c>
      <c r="I2057">
        <v>1</v>
      </c>
      <c r="J2057" t="s">
        <v>115</v>
      </c>
      <c r="K2057" s="19">
        <v>0.29166666666666669</v>
      </c>
      <c r="L2057" s="19">
        <v>0.60416666666666663</v>
      </c>
      <c r="M2057">
        <v>7.5</v>
      </c>
      <c r="N2057">
        <v>368.65</v>
      </c>
      <c r="O2057">
        <v>76</v>
      </c>
      <c r="P2057">
        <v>76</v>
      </c>
      <c r="Q2057" t="s">
        <v>99</v>
      </c>
      <c r="R2057">
        <v>30</v>
      </c>
      <c r="S2057" s="19">
        <v>0.5</v>
      </c>
      <c r="T2057">
        <v>0</v>
      </c>
      <c r="U2057" s="19"/>
      <c r="V2057" t="s">
        <v>451</v>
      </c>
      <c r="W2057">
        <v>7</v>
      </c>
      <c r="X2057" t="s">
        <v>102</v>
      </c>
      <c r="Y2057" t="b">
        <v>0</v>
      </c>
    </row>
    <row r="2058" spans="1:25" x14ac:dyDescent="0.55000000000000004">
      <c r="A2058" t="s">
        <v>94</v>
      </c>
      <c r="B2058" t="s">
        <v>449</v>
      </c>
      <c r="C2058" t="s">
        <v>322</v>
      </c>
      <c r="D2058" t="s">
        <v>174</v>
      </c>
      <c r="E2058" t="s">
        <v>175</v>
      </c>
      <c r="F2058" t="s">
        <v>99</v>
      </c>
      <c r="G2058">
        <v>23215</v>
      </c>
      <c r="H2058" t="s">
        <v>393</v>
      </c>
      <c r="I2058">
        <v>1</v>
      </c>
      <c r="J2058" t="s">
        <v>116</v>
      </c>
      <c r="K2058" s="19">
        <v>0.29166666666666669</v>
      </c>
      <c r="L2058" s="19">
        <v>0.60416666666666663</v>
      </c>
      <c r="M2058">
        <v>7.5</v>
      </c>
      <c r="N2058">
        <v>430.1</v>
      </c>
      <c r="O2058">
        <v>76</v>
      </c>
      <c r="P2058">
        <v>76</v>
      </c>
      <c r="Q2058" t="s">
        <v>99</v>
      </c>
      <c r="R2058">
        <v>30</v>
      </c>
      <c r="S2058" s="19">
        <v>0.5</v>
      </c>
      <c r="T2058">
        <v>0</v>
      </c>
      <c r="U2058" s="19"/>
      <c r="V2058" t="s">
        <v>452</v>
      </c>
      <c r="W2058">
        <v>7</v>
      </c>
      <c r="X2058" t="s">
        <v>102</v>
      </c>
      <c r="Y2058" t="b">
        <v>0</v>
      </c>
    </row>
    <row r="2059" spans="1:25" x14ac:dyDescent="0.55000000000000004">
      <c r="A2059" t="s">
        <v>94</v>
      </c>
      <c r="B2059" t="s">
        <v>449</v>
      </c>
      <c r="C2059" t="s">
        <v>322</v>
      </c>
      <c r="D2059" t="s">
        <v>174</v>
      </c>
      <c r="E2059" t="s">
        <v>175</v>
      </c>
      <c r="F2059" t="s">
        <v>99</v>
      </c>
      <c r="G2059">
        <v>23215</v>
      </c>
      <c r="H2059" t="s">
        <v>393</v>
      </c>
      <c r="I2059">
        <v>2</v>
      </c>
      <c r="J2059" t="s">
        <v>107</v>
      </c>
      <c r="K2059" s="19">
        <v>0.29166666666666669</v>
      </c>
      <c r="L2059" s="19">
        <v>0.64583333333333337</v>
      </c>
      <c r="M2059">
        <v>8.5</v>
      </c>
      <c r="N2059">
        <v>280.88</v>
      </c>
      <c r="O2059">
        <v>76</v>
      </c>
      <c r="P2059">
        <v>76</v>
      </c>
      <c r="Q2059" t="s">
        <v>99</v>
      </c>
      <c r="R2059">
        <v>30</v>
      </c>
      <c r="S2059" s="19">
        <v>0.5</v>
      </c>
      <c r="T2059">
        <v>0</v>
      </c>
      <c r="U2059" s="19"/>
      <c r="V2059" t="s">
        <v>454</v>
      </c>
      <c r="W2059">
        <v>8</v>
      </c>
      <c r="X2059" t="s">
        <v>102</v>
      </c>
      <c r="Y2059" t="b">
        <v>0</v>
      </c>
    </row>
    <row r="2060" spans="1:25" x14ac:dyDescent="0.55000000000000004">
      <c r="A2060" t="s">
        <v>94</v>
      </c>
      <c r="B2060" t="s">
        <v>449</v>
      </c>
      <c r="C2060" t="s">
        <v>322</v>
      </c>
      <c r="D2060" t="s">
        <v>174</v>
      </c>
      <c r="E2060" t="s">
        <v>175</v>
      </c>
      <c r="F2060" t="s">
        <v>99</v>
      </c>
      <c r="G2060">
        <v>23215</v>
      </c>
      <c r="H2060" t="s">
        <v>393</v>
      </c>
      <c r="I2060">
        <v>2</v>
      </c>
      <c r="J2060" t="s">
        <v>115</v>
      </c>
      <c r="K2060" s="19">
        <v>0.29166666666666669</v>
      </c>
      <c r="L2060" s="19">
        <v>0.64583333333333337</v>
      </c>
      <c r="M2060">
        <v>8.5</v>
      </c>
      <c r="N2060">
        <v>421.32</v>
      </c>
      <c r="O2060">
        <v>76</v>
      </c>
      <c r="P2060">
        <v>76</v>
      </c>
      <c r="Q2060" t="s">
        <v>99</v>
      </c>
      <c r="R2060">
        <v>30</v>
      </c>
      <c r="S2060" s="19">
        <v>0.5</v>
      </c>
      <c r="T2060">
        <v>0</v>
      </c>
      <c r="U2060" s="19"/>
      <c r="V2060" t="s">
        <v>454</v>
      </c>
      <c r="W2060">
        <v>8</v>
      </c>
      <c r="X2060" t="s">
        <v>102</v>
      </c>
      <c r="Y2060" t="b">
        <v>0</v>
      </c>
    </row>
    <row r="2061" spans="1:25" x14ac:dyDescent="0.55000000000000004">
      <c r="A2061" t="s">
        <v>94</v>
      </c>
      <c r="B2061" t="s">
        <v>449</v>
      </c>
      <c r="C2061" t="s">
        <v>322</v>
      </c>
      <c r="D2061" t="s">
        <v>174</v>
      </c>
      <c r="E2061" t="s">
        <v>175</v>
      </c>
      <c r="F2061" t="s">
        <v>99</v>
      </c>
      <c r="G2061">
        <v>23215</v>
      </c>
      <c r="H2061" t="s">
        <v>393</v>
      </c>
      <c r="I2061">
        <v>2</v>
      </c>
      <c r="J2061" t="s">
        <v>103</v>
      </c>
      <c r="K2061" s="19">
        <v>0.29166666666666669</v>
      </c>
      <c r="L2061" s="19">
        <v>0.64583333333333337</v>
      </c>
      <c r="M2061">
        <v>8.5</v>
      </c>
      <c r="N2061">
        <v>280.88</v>
      </c>
      <c r="O2061">
        <v>76</v>
      </c>
      <c r="P2061">
        <v>76</v>
      </c>
      <c r="Q2061" t="s">
        <v>99</v>
      </c>
      <c r="R2061">
        <v>30</v>
      </c>
      <c r="S2061" s="19">
        <v>0.5</v>
      </c>
      <c r="T2061">
        <v>0</v>
      </c>
      <c r="U2061" s="19"/>
      <c r="V2061" t="s">
        <v>454</v>
      </c>
      <c r="W2061">
        <v>8</v>
      </c>
      <c r="X2061" t="s">
        <v>102</v>
      </c>
      <c r="Y2061" t="b">
        <v>0</v>
      </c>
    </row>
    <row r="2062" spans="1:25" x14ac:dyDescent="0.55000000000000004">
      <c r="A2062" t="s">
        <v>94</v>
      </c>
      <c r="B2062" t="s">
        <v>449</v>
      </c>
      <c r="C2062" t="s">
        <v>322</v>
      </c>
      <c r="D2062" t="s">
        <v>174</v>
      </c>
      <c r="E2062" t="s">
        <v>175</v>
      </c>
      <c r="F2062" t="s">
        <v>99</v>
      </c>
      <c r="G2062">
        <v>23872</v>
      </c>
      <c r="H2062" t="s">
        <v>383</v>
      </c>
      <c r="I2062">
        <v>1</v>
      </c>
      <c r="J2062" t="s">
        <v>107</v>
      </c>
      <c r="K2062" s="19">
        <v>0.29166666666666669</v>
      </c>
      <c r="L2062" s="19">
        <v>0.60416666666666663</v>
      </c>
      <c r="M2062">
        <v>7.5</v>
      </c>
      <c r="N2062">
        <v>245.77</v>
      </c>
      <c r="O2062">
        <v>76</v>
      </c>
      <c r="P2062">
        <v>76</v>
      </c>
      <c r="Q2062" t="s">
        <v>99</v>
      </c>
      <c r="R2062">
        <v>30</v>
      </c>
      <c r="S2062" s="19">
        <v>0.5</v>
      </c>
      <c r="T2062">
        <v>0</v>
      </c>
      <c r="U2062" s="19"/>
      <c r="V2062" t="s">
        <v>452</v>
      </c>
      <c r="W2062">
        <v>7</v>
      </c>
      <c r="X2062" t="s">
        <v>102</v>
      </c>
      <c r="Y2062" t="b">
        <v>0</v>
      </c>
    </row>
    <row r="2063" spans="1:25" x14ac:dyDescent="0.55000000000000004">
      <c r="A2063" t="s">
        <v>94</v>
      </c>
      <c r="B2063" t="s">
        <v>449</v>
      </c>
      <c r="C2063" t="s">
        <v>322</v>
      </c>
      <c r="D2063" t="s">
        <v>174</v>
      </c>
      <c r="E2063" t="s">
        <v>175</v>
      </c>
      <c r="F2063" t="s">
        <v>99</v>
      </c>
      <c r="G2063">
        <v>23872</v>
      </c>
      <c r="H2063" t="s">
        <v>383</v>
      </c>
      <c r="I2063">
        <v>1</v>
      </c>
      <c r="J2063" t="s">
        <v>115</v>
      </c>
      <c r="K2063" s="19">
        <v>0.29166666666666669</v>
      </c>
      <c r="L2063" s="19">
        <v>0.60416666666666663</v>
      </c>
      <c r="M2063">
        <v>7.5</v>
      </c>
      <c r="N2063">
        <v>368.65</v>
      </c>
      <c r="O2063">
        <v>76</v>
      </c>
      <c r="P2063">
        <v>76</v>
      </c>
      <c r="Q2063" t="s">
        <v>99</v>
      </c>
      <c r="R2063">
        <v>30</v>
      </c>
      <c r="S2063" s="19">
        <v>0.54166666666666663</v>
      </c>
      <c r="T2063">
        <v>0</v>
      </c>
      <c r="U2063" s="19"/>
      <c r="V2063" t="s">
        <v>450</v>
      </c>
      <c r="W2063">
        <v>7</v>
      </c>
      <c r="X2063" t="s">
        <v>102</v>
      </c>
      <c r="Y2063" t="b">
        <v>0</v>
      </c>
    </row>
    <row r="2064" spans="1:25" x14ac:dyDescent="0.55000000000000004">
      <c r="A2064" t="s">
        <v>94</v>
      </c>
      <c r="B2064" t="s">
        <v>449</v>
      </c>
      <c r="C2064" t="s">
        <v>322</v>
      </c>
      <c r="D2064" t="s">
        <v>174</v>
      </c>
      <c r="E2064" t="s">
        <v>175</v>
      </c>
      <c r="F2064" t="s">
        <v>99</v>
      </c>
      <c r="G2064">
        <v>23872</v>
      </c>
      <c r="H2064" t="s">
        <v>383</v>
      </c>
      <c r="I2064">
        <v>1</v>
      </c>
      <c r="J2064" t="s">
        <v>116</v>
      </c>
      <c r="K2064" s="19">
        <v>0.29166666666666669</v>
      </c>
      <c r="L2064" s="19">
        <v>0.64583333333333337</v>
      </c>
      <c r="M2064">
        <v>8.5</v>
      </c>
      <c r="N2064">
        <v>491.54</v>
      </c>
      <c r="O2064">
        <v>76</v>
      </c>
      <c r="P2064">
        <v>76</v>
      </c>
      <c r="Q2064" t="s">
        <v>99</v>
      </c>
      <c r="R2064">
        <v>30</v>
      </c>
      <c r="S2064" s="19">
        <v>0.5</v>
      </c>
      <c r="T2064">
        <v>0</v>
      </c>
      <c r="U2064" s="19"/>
      <c r="V2064" t="s">
        <v>454</v>
      </c>
      <c r="W2064">
        <v>8</v>
      </c>
      <c r="X2064" t="s">
        <v>102</v>
      </c>
      <c r="Y2064" t="b">
        <v>0</v>
      </c>
    </row>
    <row r="2065" spans="1:25" x14ac:dyDescent="0.55000000000000004">
      <c r="A2065" t="s">
        <v>94</v>
      </c>
      <c r="B2065" t="s">
        <v>449</v>
      </c>
      <c r="C2065" t="s">
        <v>322</v>
      </c>
      <c r="D2065" t="s">
        <v>174</v>
      </c>
      <c r="E2065" t="s">
        <v>175</v>
      </c>
      <c r="F2065" t="s">
        <v>99</v>
      </c>
      <c r="G2065">
        <v>23872</v>
      </c>
      <c r="H2065" t="s">
        <v>383</v>
      </c>
      <c r="I2065">
        <v>2</v>
      </c>
      <c r="J2065" t="s">
        <v>101</v>
      </c>
      <c r="K2065" s="19">
        <v>0.29166666666666669</v>
      </c>
      <c r="L2065" s="19">
        <v>0.64583333333333337</v>
      </c>
      <c r="M2065">
        <v>8.5</v>
      </c>
      <c r="N2065">
        <v>280.88</v>
      </c>
      <c r="O2065">
        <v>76</v>
      </c>
      <c r="P2065">
        <v>76</v>
      </c>
      <c r="Q2065" t="s">
        <v>99</v>
      </c>
      <c r="R2065">
        <v>30</v>
      </c>
      <c r="S2065" s="19">
        <v>0.5</v>
      </c>
      <c r="T2065">
        <v>0</v>
      </c>
      <c r="U2065" s="19"/>
      <c r="V2065" t="s">
        <v>454</v>
      </c>
      <c r="W2065">
        <v>8</v>
      </c>
      <c r="X2065" t="s">
        <v>102</v>
      </c>
      <c r="Y2065" t="b">
        <v>0</v>
      </c>
    </row>
    <row r="2066" spans="1:25" x14ac:dyDescent="0.55000000000000004">
      <c r="A2066" t="s">
        <v>94</v>
      </c>
      <c r="B2066" t="s">
        <v>449</v>
      </c>
      <c r="C2066" t="s">
        <v>322</v>
      </c>
      <c r="D2066" t="s">
        <v>174</v>
      </c>
      <c r="E2066" t="s">
        <v>175</v>
      </c>
      <c r="F2066" t="s">
        <v>99</v>
      </c>
      <c r="G2066">
        <v>23872</v>
      </c>
      <c r="H2066" t="s">
        <v>383</v>
      </c>
      <c r="I2066">
        <v>2</v>
      </c>
      <c r="J2066" t="s">
        <v>104</v>
      </c>
      <c r="K2066" s="19">
        <v>0.29166666666666669</v>
      </c>
      <c r="L2066" s="19">
        <v>0.64583333333333337</v>
      </c>
      <c r="M2066">
        <v>8.5</v>
      </c>
      <c r="N2066">
        <v>280.88</v>
      </c>
      <c r="O2066">
        <v>76</v>
      </c>
      <c r="P2066">
        <v>76</v>
      </c>
      <c r="Q2066" t="s">
        <v>99</v>
      </c>
      <c r="R2066">
        <v>30</v>
      </c>
      <c r="S2066" s="19">
        <v>0.5</v>
      </c>
      <c r="T2066">
        <v>0</v>
      </c>
      <c r="U2066" s="19"/>
      <c r="V2066" t="s">
        <v>454</v>
      </c>
      <c r="W2066">
        <v>8</v>
      </c>
      <c r="X2066" t="s">
        <v>102</v>
      </c>
      <c r="Y2066" t="b">
        <v>0</v>
      </c>
    </row>
    <row r="2067" spans="1:25" x14ac:dyDescent="0.55000000000000004">
      <c r="A2067" t="s">
        <v>94</v>
      </c>
      <c r="B2067" t="s">
        <v>449</v>
      </c>
      <c r="C2067" t="s">
        <v>322</v>
      </c>
      <c r="D2067" t="s">
        <v>174</v>
      </c>
      <c r="E2067" t="s">
        <v>175</v>
      </c>
      <c r="F2067" t="s">
        <v>99</v>
      </c>
      <c r="G2067">
        <v>24863</v>
      </c>
      <c r="H2067" t="s">
        <v>385</v>
      </c>
      <c r="I2067">
        <v>2</v>
      </c>
      <c r="J2067" t="s">
        <v>116</v>
      </c>
      <c r="K2067" s="19">
        <v>0.29166666666666669</v>
      </c>
      <c r="L2067" s="19">
        <v>0.60416666666666663</v>
      </c>
      <c r="M2067">
        <v>7.5</v>
      </c>
      <c r="N2067">
        <v>408.54</v>
      </c>
      <c r="O2067">
        <v>64</v>
      </c>
      <c r="P2067">
        <v>76</v>
      </c>
      <c r="Q2067" t="s">
        <v>99</v>
      </c>
      <c r="R2067">
        <v>30</v>
      </c>
      <c r="S2067" s="19">
        <v>0.5</v>
      </c>
      <c r="T2067">
        <v>0</v>
      </c>
      <c r="U2067" s="19"/>
      <c r="V2067" t="s">
        <v>452</v>
      </c>
      <c r="W2067">
        <v>7</v>
      </c>
      <c r="X2067" t="s">
        <v>102</v>
      </c>
      <c r="Y2067" t="b">
        <v>0</v>
      </c>
    </row>
    <row r="2068" spans="1:25" x14ac:dyDescent="0.55000000000000004">
      <c r="A2068" t="s">
        <v>94</v>
      </c>
      <c r="B2068" t="s">
        <v>449</v>
      </c>
      <c r="C2068" t="s">
        <v>322</v>
      </c>
      <c r="D2068" t="s">
        <v>174</v>
      </c>
      <c r="E2068" t="s">
        <v>175</v>
      </c>
      <c r="F2068" t="s">
        <v>99</v>
      </c>
      <c r="G2068">
        <v>24863</v>
      </c>
      <c r="H2068" t="s">
        <v>385</v>
      </c>
      <c r="I2068">
        <v>2</v>
      </c>
      <c r="J2068" t="s">
        <v>103</v>
      </c>
      <c r="K2068" s="19">
        <v>0.29166666666666669</v>
      </c>
      <c r="L2068" s="19">
        <v>0.60416666666666663</v>
      </c>
      <c r="M2068">
        <v>7.5</v>
      </c>
      <c r="N2068">
        <v>233.45</v>
      </c>
      <c r="O2068">
        <v>64</v>
      </c>
      <c r="P2068">
        <v>76</v>
      </c>
      <c r="Q2068" t="s">
        <v>99</v>
      </c>
      <c r="R2068">
        <v>30</v>
      </c>
      <c r="S2068" s="19">
        <v>0.54166666666666663</v>
      </c>
      <c r="T2068">
        <v>0</v>
      </c>
      <c r="U2068" s="19"/>
      <c r="V2068" t="s">
        <v>450</v>
      </c>
      <c r="W2068">
        <v>7</v>
      </c>
      <c r="X2068" t="s">
        <v>102</v>
      </c>
      <c r="Y2068" t="b">
        <v>0</v>
      </c>
    </row>
    <row r="2069" spans="1:25" x14ac:dyDescent="0.55000000000000004">
      <c r="A2069" t="s">
        <v>94</v>
      </c>
      <c r="B2069" t="s">
        <v>449</v>
      </c>
      <c r="C2069" t="s">
        <v>322</v>
      </c>
      <c r="D2069" t="s">
        <v>174</v>
      </c>
      <c r="E2069" t="s">
        <v>175</v>
      </c>
      <c r="F2069" t="s">
        <v>99</v>
      </c>
      <c r="G2069">
        <v>25204</v>
      </c>
      <c r="H2069" t="s">
        <v>391</v>
      </c>
      <c r="I2069">
        <v>1</v>
      </c>
      <c r="J2069" t="s">
        <v>107</v>
      </c>
      <c r="K2069" s="19">
        <v>0.29166666666666669</v>
      </c>
      <c r="L2069" s="19">
        <v>0.64583333333333337</v>
      </c>
      <c r="M2069">
        <v>8.5</v>
      </c>
      <c r="N2069">
        <v>280.88</v>
      </c>
      <c r="O2069">
        <v>76</v>
      </c>
      <c r="P2069">
        <v>76</v>
      </c>
      <c r="Q2069" t="s">
        <v>99</v>
      </c>
      <c r="R2069">
        <v>30</v>
      </c>
      <c r="S2069" s="19">
        <v>0.5</v>
      </c>
      <c r="T2069">
        <v>0</v>
      </c>
      <c r="U2069" s="19"/>
      <c r="V2069" t="s">
        <v>454</v>
      </c>
      <c r="W2069">
        <v>8</v>
      </c>
      <c r="X2069" t="s">
        <v>102</v>
      </c>
      <c r="Y2069" t="b">
        <v>0</v>
      </c>
    </row>
    <row r="2070" spans="1:25" x14ac:dyDescent="0.55000000000000004">
      <c r="A2070" t="s">
        <v>94</v>
      </c>
      <c r="B2070" t="s">
        <v>449</v>
      </c>
      <c r="C2070" t="s">
        <v>322</v>
      </c>
      <c r="D2070" t="s">
        <v>174</v>
      </c>
      <c r="E2070" t="s">
        <v>207</v>
      </c>
      <c r="F2070" t="s">
        <v>99</v>
      </c>
      <c r="G2070">
        <v>13636</v>
      </c>
      <c r="H2070" t="s">
        <v>453</v>
      </c>
      <c r="I2070">
        <v>1</v>
      </c>
      <c r="J2070" t="s">
        <v>115</v>
      </c>
      <c r="K2070" s="19">
        <v>0.29166666666666669</v>
      </c>
      <c r="L2070" s="19">
        <v>0.64583333333333337</v>
      </c>
      <c r="M2070">
        <v>8.5</v>
      </c>
      <c r="N2070">
        <v>421.32</v>
      </c>
      <c r="O2070">
        <v>76</v>
      </c>
      <c r="P2070">
        <v>76</v>
      </c>
      <c r="Q2070" t="s">
        <v>99</v>
      </c>
      <c r="R2070">
        <v>30</v>
      </c>
      <c r="S2070" s="19">
        <v>0.5</v>
      </c>
      <c r="T2070">
        <v>0</v>
      </c>
      <c r="U2070" s="19"/>
      <c r="V2070" t="s">
        <v>99</v>
      </c>
      <c r="W2070">
        <v>8</v>
      </c>
      <c r="X2070" t="s">
        <v>102</v>
      </c>
      <c r="Y2070" t="b">
        <v>0</v>
      </c>
    </row>
    <row r="2071" spans="1:25" x14ac:dyDescent="0.55000000000000004">
      <c r="A2071" t="s">
        <v>94</v>
      </c>
      <c r="B2071" t="s">
        <v>449</v>
      </c>
      <c r="C2071" t="s">
        <v>322</v>
      </c>
      <c r="D2071" t="s">
        <v>174</v>
      </c>
      <c r="E2071" t="s">
        <v>207</v>
      </c>
      <c r="F2071" t="s">
        <v>99</v>
      </c>
      <c r="G2071">
        <v>13636</v>
      </c>
      <c r="H2071" t="s">
        <v>453</v>
      </c>
      <c r="I2071">
        <v>1</v>
      </c>
      <c r="J2071" t="s">
        <v>116</v>
      </c>
      <c r="K2071" s="19">
        <v>0.29166666666666669</v>
      </c>
      <c r="L2071" s="19">
        <v>0.64583333333333337</v>
      </c>
      <c r="M2071">
        <v>8.5</v>
      </c>
      <c r="N2071">
        <v>491.54</v>
      </c>
      <c r="O2071">
        <v>76</v>
      </c>
      <c r="P2071">
        <v>76</v>
      </c>
      <c r="Q2071" t="s">
        <v>99</v>
      </c>
      <c r="R2071">
        <v>30</v>
      </c>
      <c r="S2071" s="19">
        <v>0.5</v>
      </c>
      <c r="T2071">
        <v>0</v>
      </c>
      <c r="U2071" s="19">
        <v>0.41666666666666669</v>
      </c>
      <c r="V2071" t="s">
        <v>99</v>
      </c>
      <c r="W2071">
        <v>8</v>
      </c>
      <c r="X2071" t="s">
        <v>102</v>
      </c>
      <c r="Y2071" t="b">
        <v>0</v>
      </c>
    </row>
    <row r="2072" spans="1:25" x14ac:dyDescent="0.55000000000000004">
      <c r="A2072" t="s">
        <v>94</v>
      </c>
      <c r="B2072" t="s">
        <v>449</v>
      </c>
      <c r="C2072" t="s">
        <v>322</v>
      </c>
      <c r="D2072" t="s">
        <v>174</v>
      </c>
      <c r="E2072" t="s">
        <v>207</v>
      </c>
      <c r="F2072" t="s">
        <v>99</v>
      </c>
      <c r="G2072">
        <v>13636</v>
      </c>
      <c r="H2072" t="s">
        <v>453</v>
      </c>
      <c r="I2072">
        <v>1</v>
      </c>
      <c r="J2072" t="s">
        <v>105</v>
      </c>
      <c r="K2072" s="19">
        <v>0.29166666666666669</v>
      </c>
      <c r="L2072" s="19">
        <v>0.64583333333333337</v>
      </c>
      <c r="M2072">
        <v>8.5</v>
      </c>
      <c r="N2072">
        <v>280.88</v>
      </c>
      <c r="O2072">
        <v>76</v>
      </c>
      <c r="P2072">
        <v>76</v>
      </c>
      <c r="Q2072" t="s">
        <v>99</v>
      </c>
      <c r="R2072">
        <v>30</v>
      </c>
      <c r="S2072" s="19">
        <v>0.5</v>
      </c>
      <c r="T2072">
        <v>0</v>
      </c>
      <c r="U2072" s="19"/>
      <c r="V2072" t="s">
        <v>99</v>
      </c>
      <c r="W2072">
        <v>8</v>
      </c>
      <c r="X2072" t="s">
        <v>102</v>
      </c>
      <c r="Y2072" t="b">
        <v>0</v>
      </c>
    </row>
    <row r="2073" spans="1:25" x14ac:dyDescent="0.55000000000000004">
      <c r="A2073" t="s">
        <v>94</v>
      </c>
      <c r="B2073" t="s">
        <v>449</v>
      </c>
      <c r="C2073" t="s">
        <v>322</v>
      </c>
      <c r="D2073" t="s">
        <v>174</v>
      </c>
      <c r="E2073" t="s">
        <v>207</v>
      </c>
      <c r="F2073" t="s">
        <v>99</v>
      </c>
      <c r="G2073">
        <v>13636</v>
      </c>
      <c r="H2073" t="s">
        <v>453</v>
      </c>
      <c r="I2073">
        <v>2</v>
      </c>
      <c r="J2073" t="s">
        <v>115</v>
      </c>
      <c r="K2073" s="19">
        <v>0.29166666666666669</v>
      </c>
      <c r="L2073" s="19">
        <v>0.64583333333333337</v>
      </c>
      <c r="M2073">
        <v>8.5</v>
      </c>
      <c r="N2073">
        <v>421.32</v>
      </c>
      <c r="O2073">
        <v>76</v>
      </c>
      <c r="P2073">
        <v>76</v>
      </c>
      <c r="Q2073" t="s">
        <v>99</v>
      </c>
      <c r="R2073">
        <v>30</v>
      </c>
      <c r="S2073" s="19">
        <v>0.5</v>
      </c>
      <c r="T2073">
        <v>0</v>
      </c>
      <c r="U2073" s="19">
        <v>0.41666666666666669</v>
      </c>
      <c r="V2073" t="s">
        <v>99</v>
      </c>
      <c r="W2073">
        <v>8</v>
      </c>
      <c r="X2073" t="s">
        <v>102</v>
      </c>
      <c r="Y2073" t="b">
        <v>0</v>
      </c>
    </row>
    <row r="2074" spans="1:25" x14ac:dyDescent="0.55000000000000004">
      <c r="A2074" t="s">
        <v>94</v>
      </c>
      <c r="B2074" t="s">
        <v>449</v>
      </c>
      <c r="C2074" t="s">
        <v>322</v>
      </c>
      <c r="D2074" t="s">
        <v>174</v>
      </c>
      <c r="E2074" t="s">
        <v>207</v>
      </c>
      <c r="F2074" t="s">
        <v>99</v>
      </c>
      <c r="G2074">
        <v>13636</v>
      </c>
      <c r="H2074" t="s">
        <v>453</v>
      </c>
      <c r="I2074">
        <v>2</v>
      </c>
      <c r="J2074" t="s">
        <v>105</v>
      </c>
      <c r="K2074" s="19">
        <v>0.29166666666666669</v>
      </c>
      <c r="L2074" s="19">
        <v>0.64583333333333337</v>
      </c>
      <c r="M2074">
        <v>8.5</v>
      </c>
      <c r="N2074">
        <v>280.88</v>
      </c>
      <c r="O2074">
        <v>76</v>
      </c>
      <c r="P2074">
        <v>76</v>
      </c>
      <c r="Q2074" t="s">
        <v>99</v>
      </c>
      <c r="R2074">
        <v>30</v>
      </c>
      <c r="S2074" s="19">
        <v>0.5</v>
      </c>
      <c r="T2074">
        <v>0</v>
      </c>
      <c r="U2074" s="19"/>
      <c r="V2074" t="s">
        <v>99</v>
      </c>
      <c r="W2074">
        <v>8</v>
      </c>
      <c r="X2074" t="s">
        <v>102</v>
      </c>
      <c r="Y2074" t="b">
        <v>0</v>
      </c>
    </row>
    <row r="2075" spans="1:25" x14ac:dyDescent="0.55000000000000004">
      <c r="A2075" t="s">
        <v>94</v>
      </c>
      <c r="B2075" t="s">
        <v>449</v>
      </c>
      <c r="C2075" t="s">
        <v>322</v>
      </c>
      <c r="D2075" t="s">
        <v>174</v>
      </c>
      <c r="E2075" t="s">
        <v>207</v>
      </c>
      <c r="F2075" t="s">
        <v>99</v>
      </c>
      <c r="G2075">
        <v>16846</v>
      </c>
      <c r="H2075" t="s">
        <v>397</v>
      </c>
      <c r="I2075">
        <v>1</v>
      </c>
      <c r="J2075" t="s">
        <v>107</v>
      </c>
      <c r="K2075" s="19">
        <v>0.29166666666666669</v>
      </c>
      <c r="L2075" s="19">
        <v>0.64583333333333337</v>
      </c>
      <c r="M2075">
        <v>8.5</v>
      </c>
      <c r="N2075">
        <v>280.88</v>
      </c>
      <c r="O2075">
        <v>76</v>
      </c>
      <c r="P2075">
        <v>76</v>
      </c>
      <c r="Q2075" t="s">
        <v>99</v>
      </c>
      <c r="R2075">
        <v>30</v>
      </c>
      <c r="S2075" s="19">
        <v>0.5</v>
      </c>
      <c r="T2075">
        <v>0</v>
      </c>
      <c r="U2075" s="19"/>
      <c r="V2075" t="s">
        <v>99</v>
      </c>
      <c r="W2075">
        <v>8</v>
      </c>
      <c r="X2075" t="s">
        <v>102</v>
      </c>
      <c r="Y2075" t="b">
        <v>0</v>
      </c>
    </row>
    <row r="2076" spans="1:25" x14ac:dyDescent="0.55000000000000004">
      <c r="A2076" t="s">
        <v>94</v>
      </c>
      <c r="B2076" t="s">
        <v>449</v>
      </c>
      <c r="C2076" t="s">
        <v>322</v>
      </c>
      <c r="D2076" t="s">
        <v>174</v>
      </c>
      <c r="E2076" t="s">
        <v>207</v>
      </c>
      <c r="F2076" t="s">
        <v>99</v>
      </c>
      <c r="G2076">
        <v>16846</v>
      </c>
      <c r="H2076" t="s">
        <v>397</v>
      </c>
      <c r="I2076">
        <v>1</v>
      </c>
      <c r="J2076" t="s">
        <v>101</v>
      </c>
      <c r="K2076" s="19">
        <v>0.29166666666666669</v>
      </c>
      <c r="L2076" s="19">
        <v>0.64583333333333337</v>
      </c>
      <c r="M2076">
        <v>8.5</v>
      </c>
      <c r="N2076">
        <v>280.88</v>
      </c>
      <c r="O2076">
        <v>76</v>
      </c>
      <c r="P2076">
        <v>76</v>
      </c>
      <c r="Q2076" t="s">
        <v>99</v>
      </c>
      <c r="R2076">
        <v>30</v>
      </c>
      <c r="S2076" s="19">
        <v>0.5</v>
      </c>
      <c r="T2076">
        <v>0</v>
      </c>
      <c r="U2076" s="19"/>
      <c r="V2076" t="s">
        <v>99</v>
      </c>
      <c r="W2076">
        <v>8</v>
      </c>
      <c r="X2076" t="s">
        <v>102</v>
      </c>
      <c r="Y2076" t="b">
        <v>0</v>
      </c>
    </row>
    <row r="2077" spans="1:25" x14ac:dyDescent="0.55000000000000004">
      <c r="A2077" t="s">
        <v>94</v>
      </c>
      <c r="B2077" t="s">
        <v>449</v>
      </c>
      <c r="C2077" t="s">
        <v>322</v>
      </c>
      <c r="D2077" t="s">
        <v>174</v>
      </c>
      <c r="E2077" t="s">
        <v>207</v>
      </c>
      <c r="F2077" t="s">
        <v>99</v>
      </c>
      <c r="G2077">
        <v>16846</v>
      </c>
      <c r="H2077" t="s">
        <v>397</v>
      </c>
      <c r="I2077">
        <v>1</v>
      </c>
      <c r="J2077" t="s">
        <v>103</v>
      </c>
      <c r="K2077" s="19">
        <v>0.29166666666666669</v>
      </c>
      <c r="L2077" s="19">
        <v>0.64583333333333337</v>
      </c>
      <c r="M2077">
        <v>8.5</v>
      </c>
      <c r="N2077">
        <v>280.88</v>
      </c>
      <c r="O2077">
        <v>76</v>
      </c>
      <c r="P2077">
        <v>76</v>
      </c>
      <c r="Q2077" t="s">
        <v>99</v>
      </c>
      <c r="R2077">
        <v>30</v>
      </c>
      <c r="S2077" s="19">
        <v>0.5</v>
      </c>
      <c r="T2077">
        <v>0</v>
      </c>
      <c r="U2077" s="19"/>
      <c r="V2077" t="s">
        <v>99</v>
      </c>
      <c r="W2077">
        <v>8</v>
      </c>
      <c r="X2077" t="s">
        <v>102</v>
      </c>
      <c r="Y2077" t="b">
        <v>0</v>
      </c>
    </row>
    <row r="2078" spans="1:25" x14ac:dyDescent="0.55000000000000004">
      <c r="A2078" t="s">
        <v>94</v>
      </c>
      <c r="B2078" t="s">
        <v>449</v>
      </c>
      <c r="C2078" t="s">
        <v>322</v>
      </c>
      <c r="D2078" t="s">
        <v>174</v>
      </c>
      <c r="E2078" t="s">
        <v>207</v>
      </c>
      <c r="F2078" t="s">
        <v>99</v>
      </c>
      <c r="G2078">
        <v>16846</v>
      </c>
      <c r="H2078" t="s">
        <v>397</v>
      </c>
      <c r="I2078">
        <v>1</v>
      </c>
      <c r="J2078" t="s">
        <v>104</v>
      </c>
      <c r="K2078" s="19">
        <v>0.29166666666666669</v>
      </c>
      <c r="L2078" s="19">
        <v>0.64583333333333337</v>
      </c>
      <c r="M2078">
        <v>8.5</v>
      </c>
      <c r="N2078">
        <v>280.88</v>
      </c>
      <c r="O2078">
        <v>76</v>
      </c>
      <c r="P2078">
        <v>76</v>
      </c>
      <c r="Q2078" t="s">
        <v>99</v>
      </c>
      <c r="R2078">
        <v>30</v>
      </c>
      <c r="S2078" s="19">
        <v>0.5</v>
      </c>
      <c r="T2078">
        <v>0</v>
      </c>
      <c r="U2078" s="19"/>
      <c r="V2078" t="s">
        <v>99</v>
      </c>
      <c r="W2078">
        <v>8</v>
      </c>
      <c r="X2078" t="s">
        <v>102</v>
      </c>
      <c r="Y2078" t="b">
        <v>0</v>
      </c>
    </row>
    <row r="2079" spans="1:25" x14ac:dyDescent="0.55000000000000004">
      <c r="A2079" t="s">
        <v>94</v>
      </c>
      <c r="B2079" t="s">
        <v>449</v>
      </c>
      <c r="C2079" t="s">
        <v>322</v>
      </c>
      <c r="D2079" t="s">
        <v>174</v>
      </c>
      <c r="E2079" t="s">
        <v>207</v>
      </c>
      <c r="F2079" t="s">
        <v>99</v>
      </c>
      <c r="G2079">
        <v>16846</v>
      </c>
      <c r="H2079" t="s">
        <v>397</v>
      </c>
      <c r="I2079">
        <v>2</v>
      </c>
      <c r="J2079" t="s">
        <v>107</v>
      </c>
      <c r="K2079" s="19">
        <v>0.29166666666666669</v>
      </c>
      <c r="L2079" s="19">
        <v>0.64583333333333337</v>
      </c>
      <c r="M2079">
        <v>8.5</v>
      </c>
      <c r="N2079">
        <v>280.88</v>
      </c>
      <c r="O2079">
        <v>76</v>
      </c>
      <c r="P2079">
        <v>76</v>
      </c>
      <c r="Q2079" t="s">
        <v>99</v>
      </c>
      <c r="R2079">
        <v>30</v>
      </c>
      <c r="S2079" s="19">
        <v>0.5</v>
      </c>
      <c r="T2079">
        <v>0</v>
      </c>
      <c r="U2079" s="19"/>
      <c r="V2079" t="s">
        <v>99</v>
      </c>
      <c r="W2079">
        <v>8</v>
      </c>
      <c r="X2079" t="s">
        <v>102</v>
      </c>
      <c r="Y2079" t="b">
        <v>0</v>
      </c>
    </row>
    <row r="2080" spans="1:25" x14ac:dyDescent="0.55000000000000004">
      <c r="A2080" t="s">
        <v>94</v>
      </c>
      <c r="B2080" t="s">
        <v>449</v>
      </c>
      <c r="C2080" t="s">
        <v>322</v>
      </c>
      <c r="D2080" t="s">
        <v>174</v>
      </c>
      <c r="E2080" t="s">
        <v>207</v>
      </c>
      <c r="F2080" t="s">
        <v>99</v>
      </c>
      <c r="G2080">
        <v>16846</v>
      </c>
      <c r="H2080" t="s">
        <v>397</v>
      </c>
      <c r="I2080">
        <v>2</v>
      </c>
      <c r="J2080" t="s">
        <v>101</v>
      </c>
      <c r="K2080" s="19">
        <v>0.29166666666666669</v>
      </c>
      <c r="L2080" s="19">
        <v>0.64583333333333337</v>
      </c>
      <c r="M2080">
        <v>8.5</v>
      </c>
      <c r="N2080">
        <v>280.88</v>
      </c>
      <c r="O2080">
        <v>76</v>
      </c>
      <c r="P2080">
        <v>76</v>
      </c>
      <c r="Q2080" t="s">
        <v>99</v>
      </c>
      <c r="R2080">
        <v>30</v>
      </c>
      <c r="S2080" s="19">
        <v>0.5</v>
      </c>
      <c r="T2080">
        <v>0</v>
      </c>
      <c r="U2080" s="19"/>
      <c r="V2080" t="s">
        <v>99</v>
      </c>
      <c r="W2080">
        <v>8</v>
      </c>
      <c r="X2080" t="s">
        <v>102</v>
      </c>
      <c r="Y2080" t="b">
        <v>0</v>
      </c>
    </row>
    <row r="2081" spans="1:25" x14ac:dyDescent="0.55000000000000004">
      <c r="A2081" t="s">
        <v>94</v>
      </c>
      <c r="B2081" t="s">
        <v>449</v>
      </c>
      <c r="C2081" t="s">
        <v>322</v>
      </c>
      <c r="D2081" t="s">
        <v>174</v>
      </c>
      <c r="E2081" t="s">
        <v>207</v>
      </c>
      <c r="F2081" t="s">
        <v>99</v>
      </c>
      <c r="G2081">
        <v>16846</v>
      </c>
      <c r="H2081" t="s">
        <v>397</v>
      </c>
      <c r="I2081">
        <v>2</v>
      </c>
      <c r="J2081" t="s">
        <v>103</v>
      </c>
      <c r="K2081" s="19">
        <v>0.29166666666666669</v>
      </c>
      <c r="L2081" s="19">
        <v>0.64583333333333337</v>
      </c>
      <c r="M2081">
        <v>8.5</v>
      </c>
      <c r="N2081">
        <v>280.88</v>
      </c>
      <c r="O2081">
        <v>76</v>
      </c>
      <c r="P2081">
        <v>76</v>
      </c>
      <c r="Q2081" t="s">
        <v>99</v>
      </c>
      <c r="R2081">
        <v>30</v>
      </c>
      <c r="S2081" s="19">
        <v>0.5</v>
      </c>
      <c r="T2081">
        <v>0</v>
      </c>
      <c r="U2081" s="19"/>
      <c r="V2081" t="s">
        <v>99</v>
      </c>
      <c r="W2081">
        <v>8</v>
      </c>
      <c r="X2081" t="s">
        <v>102</v>
      </c>
      <c r="Y2081" t="b">
        <v>0</v>
      </c>
    </row>
    <row r="2082" spans="1:25" x14ac:dyDescent="0.55000000000000004">
      <c r="A2082" t="s">
        <v>94</v>
      </c>
      <c r="B2082" t="s">
        <v>449</v>
      </c>
      <c r="C2082" t="s">
        <v>322</v>
      </c>
      <c r="D2082" t="s">
        <v>174</v>
      </c>
      <c r="E2082" t="s">
        <v>207</v>
      </c>
      <c r="F2082" t="s">
        <v>99</v>
      </c>
      <c r="G2082">
        <v>16846</v>
      </c>
      <c r="H2082" t="s">
        <v>397</v>
      </c>
      <c r="I2082">
        <v>2</v>
      </c>
      <c r="J2082" t="s">
        <v>104</v>
      </c>
      <c r="K2082" s="19">
        <v>0.29166666666666669</v>
      </c>
      <c r="L2082" s="19">
        <v>0.64583333333333337</v>
      </c>
      <c r="M2082">
        <v>8.5</v>
      </c>
      <c r="N2082">
        <v>280.88</v>
      </c>
      <c r="O2082">
        <v>76</v>
      </c>
      <c r="P2082">
        <v>76</v>
      </c>
      <c r="Q2082" t="s">
        <v>99</v>
      </c>
      <c r="R2082">
        <v>30</v>
      </c>
      <c r="S2082" s="19">
        <v>0.5</v>
      </c>
      <c r="T2082">
        <v>0</v>
      </c>
      <c r="U2082" s="19"/>
      <c r="V2082" t="s">
        <v>99</v>
      </c>
      <c r="W2082">
        <v>8</v>
      </c>
      <c r="X2082" t="s">
        <v>102</v>
      </c>
      <c r="Y2082" t="b">
        <v>0</v>
      </c>
    </row>
    <row r="2083" spans="1:25" x14ac:dyDescent="0.55000000000000004">
      <c r="A2083" t="s">
        <v>94</v>
      </c>
      <c r="B2083" t="s">
        <v>449</v>
      </c>
      <c r="C2083" t="s">
        <v>322</v>
      </c>
      <c r="D2083" t="s">
        <v>174</v>
      </c>
      <c r="E2083" t="s">
        <v>207</v>
      </c>
      <c r="F2083" t="s">
        <v>99</v>
      </c>
      <c r="G2083">
        <v>22818</v>
      </c>
      <c r="H2083" t="s">
        <v>458</v>
      </c>
      <c r="I2083">
        <v>2</v>
      </c>
      <c r="J2083" t="s">
        <v>116</v>
      </c>
      <c r="K2083" s="19">
        <v>0.29166666666666669</v>
      </c>
      <c r="L2083" s="19">
        <v>0.64583333333333337</v>
      </c>
      <c r="M2083">
        <v>8.5</v>
      </c>
      <c r="N2083">
        <v>491.54</v>
      </c>
      <c r="O2083">
        <v>64</v>
      </c>
      <c r="P2083">
        <v>76</v>
      </c>
      <c r="Q2083" t="s">
        <v>99</v>
      </c>
      <c r="R2083">
        <v>30</v>
      </c>
      <c r="S2083" s="19">
        <v>0.5</v>
      </c>
      <c r="T2083">
        <v>0</v>
      </c>
      <c r="U2083" s="19"/>
      <c r="V2083" t="s">
        <v>99</v>
      </c>
      <c r="W2083">
        <v>8</v>
      </c>
      <c r="X2083" t="s">
        <v>102</v>
      </c>
      <c r="Y2083" t="b">
        <v>0</v>
      </c>
    </row>
    <row r="2084" spans="1:25" x14ac:dyDescent="0.55000000000000004">
      <c r="A2084" t="s">
        <v>94</v>
      </c>
      <c r="B2084" t="s">
        <v>449</v>
      </c>
      <c r="C2084" t="s">
        <v>322</v>
      </c>
      <c r="D2084" t="s">
        <v>174</v>
      </c>
      <c r="E2084" t="s">
        <v>209</v>
      </c>
      <c r="F2084" t="s">
        <v>99</v>
      </c>
      <c r="H2084" t="s">
        <v>99</v>
      </c>
      <c r="I2084">
        <v>1</v>
      </c>
      <c r="J2084" t="s">
        <v>103</v>
      </c>
      <c r="K2084" s="19">
        <v>0.60416666666666663</v>
      </c>
      <c r="L2084" s="19">
        <v>0.95833333333333337</v>
      </c>
      <c r="M2084">
        <v>8.5</v>
      </c>
      <c r="N2084">
        <v>315.99</v>
      </c>
      <c r="O2084">
        <v>0</v>
      </c>
      <c r="P2084">
        <v>0</v>
      </c>
      <c r="Q2084" t="s">
        <v>99</v>
      </c>
      <c r="R2084">
        <v>30</v>
      </c>
      <c r="S2084" s="19">
        <v>0.8125</v>
      </c>
      <c r="T2084">
        <v>0</v>
      </c>
      <c r="U2084" s="19">
        <v>0.41666666666666669</v>
      </c>
      <c r="V2084" t="s">
        <v>99</v>
      </c>
      <c r="W2084">
        <v>8</v>
      </c>
      <c r="X2084" t="s">
        <v>102</v>
      </c>
      <c r="Y2084" t="b">
        <v>0</v>
      </c>
    </row>
    <row r="2085" spans="1:25" x14ac:dyDescent="0.55000000000000004">
      <c r="A2085" t="s">
        <v>94</v>
      </c>
      <c r="B2085" t="s">
        <v>449</v>
      </c>
      <c r="C2085" t="s">
        <v>322</v>
      </c>
      <c r="D2085" t="s">
        <v>174</v>
      </c>
      <c r="E2085" t="s">
        <v>209</v>
      </c>
      <c r="F2085" t="s">
        <v>99</v>
      </c>
      <c r="H2085" t="s">
        <v>99</v>
      </c>
      <c r="I2085">
        <v>2</v>
      </c>
      <c r="J2085" t="s">
        <v>103</v>
      </c>
      <c r="K2085" s="19">
        <v>0.60416666666666663</v>
      </c>
      <c r="L2085" s="19">
        <v>0.95833333333333337</v>
      </c>
      <c r="M2085">
        <v>8.5</v>
      </c>
      <c r="N2085">
        <v>315.99</v>
      </c>
      <c r="O2085">
        <v>0</v>
      </c>
      <c r="P2085">
        <v>0</v>
      </c>
      <c r="Q2085" t="s">
        <v>99</v>
      </c>
      <c r="R2085">
        <v>30</v>
      </c>
      <c r="S2085" s="19">
        <v>0.8125</v>
      </c>
      <c r="T2085">
        <v>0</v>
      </c>
      <c r="U2085" s="19"/>
      <c r="V2085" t="s">
        <v>99</v>
      </c>
      <c r="W2085">
        <v>8</v>
      </c>
      <c r="X2085" t="s">
        <v>102</v>
      </c>
      <c r="Y2085" t="b">
        <v>0</v>
      </c>
    </row>
    <row r="2086" spans="1:25" x14ac:dyDescent="0.55000000000000004">
      <c r="A2086" t="s">
        <v>94</v>
      </c>
      <c r="B2086" t="s">
        <v>449</v>
      </c>
      <c r="C2086" t="s">
        <v>322</v>
      </c>
      <c r="D2086" t="s">
        <v>174</v>
      </c>
      <c r="E2086" t="s">
        <v>209</v>
      </c>
      <c r="F2086" t="s">
        <v>99</v>
      </c>
      <c r="G2086">
        <v>18610</v>
      </c>
      <c r="H2086" t="s">
        <v>459</v>
      </c>
      <c r="I2086">
        <v>1</v>
      </c>
      <c r="J2086" t="s">
        <v>101</v>
      </c>
      <c r="K2086" s="19">
        <v>0.60416666666666663</v>
      </c>
      <c r="L2086" s="19">
        <v>0.95833333333333337</v>
      </c>
      <c r="M2086">
        <v>8.5</v>
      </c>
      <c r="N2086">
        <v>315.99</v>
      </c>
      <c r="O2086">
        <v>72</v>
      </c>
      <c r="P2086">
        <v>76</v>
      </c>
      <c r="Q2086" t="s">
        <v>99</v>
      </c>
      <c r="R2086">
        <v>30</v>
      </c>
      <c r="S2086" s="19">
        <v>0.8125</v>
      </c>
      <c r="T2086">
        <v>0</v>
      </c>
      <c r="U2086" s="19"/>
      <c r="V2086" t="s">
        <v>99</v>
      </c>
      <c r="W2086">
        <v>8</v>
      </c>
      <c r="X2086" t="s">
        <v>102</v>
      </c>
      <c r="Y2086" t="b">
        <v>0</v>
      </c>
    </row>
    <row r="2087" spans="1:25" x14ac:dyDescent="0.55000000000000004">
      <c r="A2087" t="s">
        <v>94</v>
      </c>
      <c r="B2087" t="s">
        <v>449</v>
      </c>
      <c r="C2087" t="s">
        <v>322</v>
      </c>
      <c r="D2087" t="s">
        <v>174</v>
      </c>
      <c r="E2087" t="s">
        <v>209</v>
      </c>
      <c r="F2087" t="s">
        <v>99</v>
      </c>
      <c r="G2087">
        <v>18610</v>
      </c>
      <c r="H2087" t="s">
        <v>459</v>
      </c>
      <c r="I2087">
        <v>1</v>
      </c>
      <c r="J2087" t="s">
        <v>115</v>
      </c>
      <c r="K2087" s="19">
        <v>0.60416666666666663</v>
      </c>
      <c r="L2087" s="19">
        <v>0.95833333333333337</v>
      </c>
      <c r="M2087">
        <v>8.5</v>
      </c>
      <c r="N2087">
        <v>421.32</v>
      </c>
      <c r="O2087">
        <v>72</v>
      </c>
      <c r="P2087">
        <v>76</v>
      </c>
      <c r="Q2087" t="s">
        <v>99</v>
      </c>
      <c r="R2087">
        <v>30</v>
      </c>
      <c r="S2087" s="19">
        <v>0.8125</v>
      </c>
      <c r="T2087">
        <v>0</v>
      </c>
      <c r="U2087" s="19"/>
      <c r="V2087" t="s">
        <v>99</v>
      </c>
      <c r="W2087">
        <v>8</v>
      </c>
      <c r="X2087" t="s">
        <v>102</v>
      </c>
      <c r="Y2087" t="b">
        <v>0</v>
      </c>
    </row>
    <row r="2088" spans="1:25" x14ac:dyDescent="0.55000000000000004">
      <c r="A2088" t="s">
        <v>94</v>
      </c>
      <c r="B2088" t="s">
        <v>449</v>
      </c>
      <c r="C2088" t="s">
        <v>322</v>
      </c>
      <c r="D2088" t="s">
        <v>174</v>
      </c>
      <c r="E2088" t="s">
        <v>209</v>
      </c>
      <c r="F2088" t="s">
        <v>99</v>
      </c>
      <c r="G2088">
        <v>18610</v>
      </c>
      <c r="H2088" t="s">
        <v>459</v>
      </c>
      <c r="I2088">
        <v>1</v>
      </c>
      <c r="J2088" t="s">
        <v>116</v>
      </c>
      <c r="K2088" s="19">
        <v>0.60416666666666663</v>
      </c>
      <c r="L2088" s="19">
        <v>0.95833333333333337</v>
      </c>
      <c r="M2088">
        <v>8.5</v>
      </c>
      <c r="N2088">
        <v>491.54</v>
      </c>
      <c r="O2088">
        <v>72</v>
      </c>
      <c r="P2088">
        <v>76</v>
      </c>
      <c r="Q2088" t="s">
        <v>99</v>
      </c>
      <c r="R2088">
        <v>30</v>
      </c>
      <c r="S2088" s="19">
        <v>0.8125</v>
      </c>
      <c r="T2088">
        <v>0</v>
      </c>
      <c r="U2088" s="19"/>
      <c r="V2088" t="s">
        <v>99</v>
      </c>
      <c r="W2088">
        <v>8</v>
      </c>
      <c r="X2088" t="s">
        <v>102</v>
      </c>
      <c r="Y2088" t="b">
        <v>0</v>
      </c>
    </row>
    <row r="2089" spans="1:25" x14ac:dyDescent="0.55000000000000004">
      <c r="A2089" t="s">
        <v>94</v>
      </c>
      <c r="B2089" t="s">
        <v>449</v>
      </c>
      <c r="C2089" t="s">
        <v>322</v>
      </c>
      <c r="D2089" t="s">
        <v>174</v>
      </c>
      <c r="E2089" t="s">
        <v>209</v>
      </c>
      <c r="F2089" t="s">
        <v>99</v>
      </c>
      <c r="G2089">
        <v>18610</v>
      </c>
      <c r="H2089" t="s">
        <v>459</v>
      </c>
      <c r="I2089">
        <v>1</v>
      </c>
      <c r="J2089" t="s">
        <v>104</v>
      </c>
      <c r="K2089" s="19">
        <v>0.60416666666666663</v>
      </c>
      <c r="L2089" s="19">
        <v>0.95833333333333337</v>
      </c>
      <c r="M2089">
        <v>8.5</v>
      </c>
      <c r="N2089">
        <v>315.99</v>
      </c>
      <c r="O2089">
        <v>72</v>
      </c>
      <c r="P2089">
        <v>76</v>
      </c>
      <c r="Q2089" t="s">
        <v>99</v>
      </c>
      <c r="R2089">
        <v>30</v>
      </c>
      <c r="S2089" s="19">
        <v>0.8125</v>
      </c>
      <c r="T2089">
        <v>0</v>
      </c>
      <c r="U2089" s="19"/>
      <c r="V2089" t="s">
        <v>99</v>
      </c>
      <c r="W2089">
        <v>8</v>
      </c>
      <c r="X2089" t="s">
        <v>102</v>
      </c>
      <c r="Y2089" t="b">
        <v>0</v>
      </c>
    </row>
    <row r="2090" spans="1:25" x14ac:dyDescent="0.55000000000000004">
      <c r="A2090" t="s">
        <v>94</v>
      </c>
      <c r="B2090" t="s">
        <v>449</v>
      </c>
      <c r="C2090" t="s">
        <v>322</v>
      </c>
      <c r="D2090" t="s">
        <v>174</v>
      </c>
      <c r="E2090" t="s">
        <v>209</v>
      </c>
      <c r="F2090" t="s">
        <v>99</v>
      </c>
      <c r="G2090">
        <v>18610</v>
      </c>
      <c r="H2090" t="s">
        <v>459</v>
      </c>
      <c r="I2090">
        <v>1</v>
      </c>
      <c r="J2090" t="s">
        <v>105</v>
      </c>
      <c r="K2090" s="19">
        <v>0.60416666666666663</v>
      </c>
      <c r="L2090" s="19">
        <v>0.95833333333333337</v>
      </c>
      <c r="M2090">
        <v>8.5</v>
      </c>
      <c r="N2090">
        <v>315.99</v>
      </c>
      <c r="O2090">
        <v>72</v>
      </c>
      <c r="P2090">
        <v>76</v>
      </c>
      <c r="Q2090" t="s">
        <v>99</v>
      </c>
      <c r="R2090">
        <v>30</v>
      </c>
      <c r="S2090" s="19">
        <v>0.8125</v>
      </c>
      <c r="T2090">
        <v>0</v>
      </c>
      <c r="U2090" s="19"/>
      <c r="V2090" t="s">
        <v>99</v>
      </c>
      <c r="W2090">
        <v>8</v>
      </c>
      <c r="X2090" t="s">
        <v>102</v>
      </c>
      <c r="Y2090" t="b">
        <v>0</v>
      </c>
    </row>
    <row r="2091" spans="1:25" x14ac:dyDescent="0.55000000000000004">
      <c r="A2091" t="s">
        <v>94</v>
      </c>
      <c r="B2091" t="s">
        <v>449</v>
      </c>
      <c r="C2091" t="s">
        <v>322</v>
      </c>
      <c r="D2091" t="s">
        <v>174</v>
      </c>
      <c r="E2091" t="s">
        <v>209</v>
      </c>
      <c r="F2091" t="s">
        <v>99</v>
      </c>
      <c r="G2091">
        <v>18610</v>
      </c>
      <c r="H2091" t="s">
        <v>459</v>
      </c>
      <c r="I2091">
        <v>2</v>
      </c>
      <c r="J2091" t="s">
        <v>101</v>
      </c>
      <c r="K2091" s="19">
        <v>0.60416666666666663</v>
      </c>
      <c r="L2091" s="19">
        <v>0.95833333333333337</v>
      </c>
      <c r="M2091">
        <v>8.5</v>
      </c>
      <c r="N2091">
        <v>315.99</v>
      </c>
      <c r="O2091">
        <v>72</v>
      </c>
      <c r="P2091">
        <v>76</v>
      </c>
      <c r="Q2091" t="s">
        <v>99</v>
      </c>
      <c r="R2091">
        <v>30</v>
      </c>
      <c r="S2091" s="19">
        <v>0.8125</v>
      </c>
      <c r="T2091">
        <v>0</v>
      </c>
      <c r="U2091" s="19">
        <v>0.41666666666666669</v>
      </c>
      <c r="V2091" t="s">
        <v>99</v>
      </c>
      <c r="W2091">
        <v>8</v>
      </c>
      <c r="X2091" t="s">
        <v>102</v>
      </c>
      <c r="Y2091" t="b">
        <v>0</v>
      </c>
    </row>
    <row r="2092" spans="1:25" x14ac:dyDescent="0.55000000000000004">
      <c r="A2092" t="s">
        <v>94</v>
      </c>
      <c r="B2092" t="s">
        <v>449</v>
      </c>
      <c r="C2092" t="s">
        <v>322</v>
      </c>
      <c r="D2092" t="s">
        <v>174</v>
      </c>
      <c r="E2092" t="s">
        <v>209</v>
      </c>
      <c r="F2092" t="s">
        <v>99</v>
      </c>
      <c r="G2092">
        <v>18610</v>
      </c>
      <c r="H2092" t="s">
        <v>459</v>
      </c>
      <c r="I2092">
        <v>2</v>
      </c>
      <c r="J2092" t="s">
        <v>116</v>
      </c>
      <c r="K2092" s="19">
        <v>0.60416666666666663</v>
      </c>
      <c r="L2092" s="19">
        <v>0.95833333333333337</v>
      </c>
      <c r="M2092">
        <v>8.5</v>
      </c>
      <c r="N2092">
        <v>491.54</v>
      </c>
      <c r="O2092">
        <v>72</v>
      </c>
      <c r="P2092">
        <v>76</v>
      </c>
      <c r="Q2092" t="s">
        <v>99</v>
      </c>
      <c r="R2092">
        <v>30</v>
      </c>
      <c r="S2092" s="19">
        <v>0.8125</v>
      </c>
      <c r="T2092">
        <v>0</v>
      </c>
      <c r="U2092" s="19"/>
      <c r="V2092" t="s">
        <v>99</v>
      </c>
      <c r="W2092">
        <v>8</v>
      </c>
      <c r="X2092" t="s">
        <v>102</v>
      </c>
      <c r="Y2092" t="b">
        <v>0</v>
      </c>
    </row>
    <row r="2093" spans="1:25" x14ac:dyDescent="0.55000000000000004">
      <c r="A2093" t="s">
        <v>94</v>
      </c>
      <c r="B2093" t="s">
        <v>449</v>
      </c>
      <c r="C2093" t="s">
        <v>322</v>
      </c>
      <c r="D2093" t="s">
        <v>174</v>
      </c>
      <c r="E2093" t="s">
        <v>209</v>
      </c>
      <c r="F2093" t="s">
        <v>99</v>
      </c>
      <c r="G2093">
        <v>18610</v>
      </c>
      <c r="H2093" t="s">
        <v>459</v>
      </c>
      <c r="I2093">
        <v>2</v>
      </c>
      <c r="J2093" t="s">
        <v>104</v>
      </c>
      <c r="K2093" s="19">
        <v>0.60416666666666663</v>
      </c>
      <c r="L2093" s="19">
        <v>0.95833333333333337</v>
      </c>
      <c r="M2093">
        <v>8.5</v>
      </c>
      <c r="N2093">
        <v>315.99</v>
      </c>
      <c r="O2093">
        <v>72</v>
      </c>
      <c r="P2093">
        <v>76</v>
      </c>
      <c r="Q2093" t="s">
        <v>99</v>
      </c>
      <c r="R2093">
        <v>30</v>
      </c>
      <c r="S2093" s="19">
        <v>0.8125</v>
      </c>
      <c r="T2093">
        <v>0</v>
      </c>
      <c r="U2093" s="19"/>
      <c r="V2093" t="s">
        <v>99</v>
      </c>
      <c r="W2093">
        <v>8</v>
      </c>
      <c r="X2093" t="s">
        <v>102</v>
      </c>
      <c r="Y2093" t="b">
        <v>0</v>
      </c>
    </row>
    <row r="2094" spans="1:25" x14ac:dyDescent="0.55000000000000004">
      <c r="A2094" t="s">
        <v>94</v>
      </c>
      <c r="B2094" t="s">
        <v>449</v>
      </c>
      <c r="C2094" t="s">
        <v>322</v>
      </c>
      <c r="D2094" t="s">
        <v>174</v>
      </c>
      <c r="E2094" t="s">
        <v>209</v>
      </c>
      <c r="F2094" t="s">
        <v>99</v>
      </c>
      <c r="G2094">
        <v>18610</v>
      </c>
      <c r="H2094" t="s">
        <v>459</v>
      </c>
      <c r="I2094">
        <v>2</v>
      </c>
      <c r="J2094" t="s">
        <v>105</v>
      </c>
      <c r="K2094" s="19">
        <v>0.60416666666666663</v>
      </c>
      <c r="L2094" s="19">
        <v>0.95833333333333337</v>
      </c>
      <c r="M2094">
        <v>8.5</v>
      </c>
      <c r="N2094">
        <v>315.99</v>
      </c>
      <c r="O2094">
        <v>72</v>
      </c>
      <c r="P2094">
        <v>76</v>
      </c>
      <c r="Q2094" t="s">
        <v>99</v>
      </c>
      <c r="R2094">
        <v>30</v>
      </c>
      <c r="S2094" s="19">
        <v>0.8125</v>
      </c>
      <c r="T2094">
        <v>0</v>
      </c>
      <c r="U2094" s="19"/>
      <c r="V2094" t="s">
        <v>99</v>
      </c>
      <c r="W2094">
        <v>8</v>
      </c>
      <c r="X2094" t="s">
        <v>102</v>
      </c>
      <c r="Y2094" t="b">
        <v>0</v>
      </c>
    </row>
    <row r="2095" spans="1:25" x14ac:dyDescent="0.55000000000000004">
      <c r="A2095" t="s">
        <v>94</v>
      </c>
      <c r="B2095" t="s">
        <v>449</v>
      </c>
      <c r="C2095" t="s">
        <v>322</v>
      </c>
      <c r="D2095" t="s">
        <v>174</v>
      </c>
      <c r="E2095" t="s">
        <v>209</v>
      </c>
      <c r="F2095" t="s">
        <v>99</v>
      </c>
      <c r="G2095">
        <v>22818</v>
      </c>
      <c r="H2095" t="s">
        <v>458</v>
      </c>
      <c r="I2095">
        <v>1</v>
      </c>
      <c r="J2095" t="s">
        <v>107</v>
      </c>
      <c r="K2095" s="19">
        <v>0.60416666666666663</v>
      </c>
      <c r="L2095" s="19">
        <v>0.95833333333333337</v>
      </c>
      <c r="M2095">
        <v>8.5</v>
      </c>
      <c r="N2095">
        <v>315.99</v>
      </c>
      <c r="O2095">
        <v>64</v>
      </c>
      <c r="P2095">
        <v>76</v>
      </c>
      <c r="Q2095" t="s">
        <v>99</v>
      </c>
      <c r="R2095">
        <v>30</v>
      </c>
      <c r="S2095" s="19">
        <v>0.8125</v>
      </c>
      <c r="T2095">
        <v>0</v>
      </c>
      <c r="U2095" s="19"/>
      <c r="V2095" t="s">
        <v>99</v>
      </c>
      <c r="W2095">
        <v>8</v>
      </c>
      <c r="X2095" t="s">
        <v>102</v>
      </c>
      <c r="Y2095" t="b">
        <v>0</v>
      </c>
    </row>
    <row r="2096" spans="1:25" x14ac:dyDescent="0.55000000000000004">
      <c r="A2096" t="s">
        <v>94</v>
      </c>
      <c r="B2096" t="s">
        <v>449</v>
      </c>
      <c r="C2096" t="s">
        <v>322</v>
      </c>
      <c r="D2096" t="s">
        <v>174</v>
      </c>
      <c r="E2096" t="s">
        <v>209</v>
      </c>
      <c r="F2096" t="s">
        <v>99</v>
      </c>
      <c r="G2096">
        <v>22818</v>
      </c>
      <c r="H2096" t="s">
        <v>458</v>
      </c>
      <c r="I2096">
        <v>2</v>
      </c>
      <c r="J2096" t="s">
        <v>107</v>
      </c>
      <c r="K2096" s="19">
        <v>0.60416666666666663</v>
      </c>
      <c r="L2096" s="19">
        <v>0.95833333333333337</v>
      </c>
      <c r="M2096">
        <v>8.5</v>
      </c>
      <c r="N2096">
        <v>315.99</v>
      </c>
      <c r="O2096">
        <v>64</v>
      </c>
      <c r="P2096">
        <v>76</v>
      </c>
      <c r="Q2096" t="s">
        <v>99</v>
      </c>
      <c r="R2096">
        <v>30</v>
      </c>
      <c r="S2096" s="19">
        <v>0.8125</v>
      </c>
      <c r="T2096">
        <v>0</v>
      </c>
      <c r="U2096" s="19"/>
      <c r="V2096" t="s">
        <v>99</v>
      </c>
      <c r="W2096">
        <v>8</v>
      </c>
      <c r="X2096" t="s">
        <v>102</v>
      </c>
      <c r="Y2096" t="b">
        <v>0</v>
      </c>
    </row>
    <row r="2097" spans="1:25" x14ac:dyDescent="0.55000000000000004">
      <c r="A2097" t="s">
        <v>94</v>
      </c>
      <c r="B2097" t="s">
        <v>449</v>
      </c>
      <c r="C2097" t="s">
        <v>322</v>
      </c>
      <c r="D2097" t="s">
        <v>174</v>
      </c>
      <c r="E2097" t="s">
        <v>209</v>
      </c>
      <c r="F2097" t="s">
        <v>99</v>
      </c>
      <c r="G2097">
        <v>22818</v>
      </c>
      <c r="H2097" t="s">
        <v>458</v>
      </c>
      <c r="I2097">
        <v>2</v>
      </c>
      <c r="J2097" t="s">
        <v>115</v>
      </c>
      <c r="K2097" s="19">
        <v>0.60416666666666663</v>
      </c>
      <c r="L2097" s="19">
        <v>0.95833333333333337</v>
      </c>
      <c r="M2097">
        <v>8.5</v>
      </c>
      <c r="N2097">
        <v>421.32</v>
      </c>
      <c r="O2097">
        <v>64</v>
      </c>
      <c r="P2097">
        <v>76</v>
      </c>
      <c r="Q2097" t="s">
        <v>99</v>
      </c>
      <c r="R2097">
        <v>30</v>
      </c>
      <c r="S2097" s="19">
        <v>0.8125</v>
      </c>
      <c r="T2097">
        <v>0</v>
      </c>
      <c r="U2097" s="19"/>
      <c r="V2097" t="s">
        <v>99</v>
      </c>
      <c r="W2097">
        <v>8</v>
      </c>
      <c r="X2097" t="s">
        <v>102</v>
      </c>
      <c r="Y2097" t="b">
        <v>0</v>
      </c>
    </row>
    <row r="2098" spans="1:25" x14ac:dyDescent="0.55000000000000004">
      <c r="A2098" t="s">
        <v>94</v>
      </c>
      <c r="B2098" t="s">
        <v>449</v>
      </c>
      <c r="C2098" t="s">
        <v>322</v>
      </c>
      <c r="D2098" t="s">
        <v>174</v>
      </c>
      <c r="E2098" t="s">
        <v>211</v>
      </c>
      <c r="F2098" t="s">
        <v>99</v>
      </c>
      <c r="H2098" t="s">
        <v>99</v>
      </c>
      <c r="I2098">
        <v>1</v>
      </c>
      <c r="J2098" t="s">
        <v>116</v>
      </c>
      <c r="K2098" s="19">
        <v>0.94791666666666663</v>
      </c>
      <c r="L2098" s="19">
        <v>0.30208333333333331</v>
      </c>
      <c r="M2098">
        <v>8.5</v>
      </c>
      <c r="N2098">
        <v>331.83</v>
      </c>
      <c r="O2098">
        <v>0</v>
      </c>
      <c r="P2098">
        <v>0</v>
      </c>
      <c r="Q2098" t="s">
        <v>99</v>
      </c>
      <c r="R2098">
        <v>30</v>
      </c>
      <c r="S2098" s="19">
        <v>0</v>
      </c>
      <c r="T2098">
        <v>0</v>
      </c>
      <c r="U2098" s="19"/>
      <c r="V2098" t="s">
        <v>99</v>
      </c>
      <c r="W2098">
        <v>8</v>
      </c>
      <c r="X2098" t="s">
        <v>102</v>
      </c>
      <c r="Y2098" t="b">
        <v>0</v>
      </c>
    </row>
    <row r="2099" spans="1:25" x14ac:dyDescent="0.55000000000000004">
      <c r="A2099" t="s">
        <v>94</v>
      </c>
      <c r="B2099" t="s">
        <v>449</v>
      </c>
      <c r="C2099" t="s">
        <v>322</v>
      </c>
      <c r="D2099" t="s">
        <v>174</v>
      </c>
      <c r="E2099" t="s">
        <v>211</v>
      </c>
      <c r="F2099" t="s">
        <v>99</v>
      </c>
      <c r="H2099" t="s">
        <v>99</v>
      </c>
      <c r="I2099">
        <v>1</v>
      </c>
      <c r="J2099" t="s">
        <v>103</v>
      </c>
      <c r="K2099" s="19">
        <v>0.94791666666666663</v>
      </c>
      <c r="L2099" s="19">
        <v>0.30208333333333331</v>
      </c>
      <c r="M2099">
        <v>8.5</v>
      </c>
      <c r="N2099">
        <v>306.82</v>
      </c>
      <c r="O2099">
        <v>0</v>
      </c>
      <c r="P2099">
        <v>0</v>
      </c>
      <c r="Q2099" t="s">
        <v>99</v>
      </c>
      <c r="R2099">
        <v>30</v>
      </c>
      <c r="S2099" s="19">
        <v>0</v>
      </c>
      <c r="T2099">
        <v>0</v>
      </c>
      <c r="U2099" s="19">
        <v>0.41666666666666669</v>
      </c>
      <c r="V2099" t="s">
        <v>99</v>
      </c>
      <c r="W2099">
        <v>8</v>
      </c>
      <c r="X2099" t="s">
        <v>102</v>
      </c>
      <c r="Y2099" t="b">
        <v>0</v>
      </c>
    </row>
    <row r="2100" spans="1:25" x14ac:dyDescent="0.55000000000000004">
      <c r="A2100" t="s">
        <v>94</v>
      </c>
      <c r="B2100" t="s">
        <v>449</v>
      </c>
      <c r="C2100" t="s">
        <v>322</v>
      </c>
      <c r="D2100" t="s">
        <v>174</v>
      </c>
      <c r="E2100" t="s">
        <v>211</v>
      </c>
      <c r="F2100" t="s">
        <v>99</v>
      </c>
      <c r="H2100" t="s">
        <v>99</v>
      </c>
      <c r="I2100">
        <v>1</v>
      </c>
      <c r="J2100" t="s">
        <v>105</v>
      </c>
      <c r="K2100" s="19">
        <v>0.94791666666666663</v>
      </c>
      <c r="L2100" s="19">
        <v>0.30208333333333331</v>
      </c>
      <c r="M2100">
        <v>17</v>
      </c>
      <c r="N2100">
        <v>613.64</v>
      </c>
      <c r="O2100">
        <v>0</v>
      </c>
      <c r="P2100">
        <v>0</v>
      </c>
      <c r="Q2100" t="s">
        <v>99</v>
      </c>
      <c r="R2100">
        <v>60</v>
      </c>
      <c r="S2100" s="19">
        <v>0</v>
      </c>
      <c r="T2100">
        <v>0</v>
      </c>
      <c r="U2100" s="19"/>
      <c r="V2100" t="s">
        <v>99</v>
      </c>
      <c r="W2100">
        <v>16</v>
      </c>
      <c r="X2100" t="s">
        <v>102</v>
      </c>
      <c r="Y2100" t="b">
        <v>0</v>
      </c>
    </row>
    <row r="2101" spans="1:25" x14ac:dyDescent="0.55000000000000004">
      <c r="A2101" t="s">
        <v>94</v>
      </c>
      <c r="B2101" t="s">
        <v>449</v>
      </c>
      <c r="C2101" t="s">
        <v>322</v>
      </c>
      <c r="D2101" t="s">
        <v>174</v>
      </c>
      <c r="E2101" t="s">
        <v>211</v>
      </c>
      <c r="F2101" t="s">
        <v>99</v>
      </c>
      <c r="H2101" t="s">
        <v>99</v>
      </c>
      <c r="I2101">
        <v>2</v>
      </c>
      <c r="J2101" t="s">
        <v>115</v>
      </c>
      <c r="K2101" s="19">
        <v>0.94791666666666663</v>
      </c>
      <c r="L2101" s="19">
        <v>0.30208333333333331</v>
      </c>
      <c r="M2101">
        <v>7.5</v>
      </c>
      <c r="N2101">
        <v>456.48</v>
      </c>
      <c r="O2101">
        <v>0</v>
      </c>
      <c r="P2101">
        <v>0</v>
      </c>
      <c r="Q2101" t="s">
        <v>99</v>
      </c>
      <c r="R2101">
        <v>30</v>
      </c>
      <c r="S2101" s="19">
        <v>0</v>
      </c>
      <c r="T2101">
        <v>0</v>
      </c>
      <c r="U2101" s="19"/>
      <c r="V2101" t="s">
        <v>99</v>
      </c>
      <c r="W2101">
        <v>7</v>
      </c>
      <c r="X2101" t="s">
        <v>102</v>
      </c>
      <c r="Y2101" t="b">
        <v>0</v>
      </c>
    </row>
    <row r="2102" spans="1:25" x14ac:dyDescent="0.55000000000000004">
      <c r="A2102" t="s">
        <v>94</v>
      </c>
      <c r="B2102" t="s">
        <v>449</v>
      </c>
      <c r="C2102" t="s">
        <v>322</v>
      </c>
      <c r="D2102" t="s">
        <v>174</v>
      </c>
      <c r="E2102" t="s">
        <v>211</v>
      </c>
      <c r="F2102" t="s">
        <v>99</v>
      </c>
      <c r="H2102" t="s">
        <v>99</v>
      </c>
      <c r="I2102">
        <v>2</v>
      </c>
      <c r="J2102" t="s">
        <v>116</v>
      </c>
      <c r="K2102" s="19">
        <v>0.94791666666666663</v>
      </c>
      <c r="L2102" s="19">
        <v>0.30208333333333331</v>
      </c>
      <c r="M2102">
        <v>8.5</v>
      </c>
      <c r="N2102">
        <v>331.83</v>
      </c>
      <c r="O2102">
        <v>0</v>
      </c>
      <c r="P2102">
        <v>0</v>
      </c>
      <c r="Q2102" t="s">
        <v>99</v>
      </c>
      <c r="R2102">
        <v>30</v>
      </c>
      <c r="S2102" s="19">
        <v>0</v>
      </c>
      <c r="T2102">
        <v>0</v>
      </c>
      <c r="U2102" s="19"/>
      <c r="V2102" t="s">
        <v>99</v>
      </c>
      <c r="W2102">
        <v>8</v>
      </c>
      <c r="X2102" t="s">
        <v>102</v>
      </c>
      <c r="Y2102" t="b">
        <v>0</v>
      </c>
    </row>
    <row r="2103" spans="1:25" x14ac:dyDescent="0.55000000000000004">
      <c r="A2103" t="s">
        <v>94</v>
      </c>
      <c r="B2103" t="s">
        <v>449</v>
      </c>
      <c r="C2103" t="s">
        <v>322</v>
      </c>
      <c r="D2103" t="s">
        <v>174</v>
      </c>
      <c r="E2103" t="s">
        <v>211</v>
      </c>
      <c r="F2103" t="s">
        <v>99</v>
      </c>
      <c r="H2103" t="s">
        <v>99</v>
      </c>
      <c r="I2103">
        <v>2</v>
      </c>
      <c r="J2103" t="s">
        <v>103</v>
      </c>
      <c r="K2103" s="19">
        <v>0.94791666666666663</v>
      </c>
      <c r="L2103" s="19">
        <v>0.30208333333333331</v>
      </c>
      <c r="M2103">
        <v>8.5</v>
      </c>
      <c r="N2103">
        <v>306.82</v>
      </c>
      <c r="O2103">
        <v>0</v>
      </c>
      <c r="P2103">
        <v>0</v>
      </c>
      <c r="Q2103" t="s">
        <v>99</v>
      </c>
      <c r="R2103">
        <v>30</v>
      </c>
      <c r="S2103" s="19">
        <v>0</v>
      </c>
      <c r="T2103">
        <v>0</v>
      </c>
      <c r="U2103" s="19"/>
      <c r="V2103" t="s">
        <v>99</v>
      </c>
      <c r="W2103">
        <v>8</v>
      </c>
      <c r="X2103" t="s">
        <v>102</v>
      </c>
      <c r="Y2103" t="b">
        <v>0</v>
      </c>
    </row>
    <row r="2104" spans="1:25" x14ac:dyDescent="0.55000000000000004">
      <c r="A2104" t="s">
        <v>94</v>
      </c>
      <c r="B2104" t="s">
        <v>449</v>
      </c>
      <c r="C2104" t="s">
        <v>322</v>
      </c>
      <c r="D2104" t="s">
        <v>174</v>
      </c>
      <c r="E2104" t="s">
        <v>211</v>
      </c>
      <c r="F2104" t="s">
        <v>99</v>
      </c>
      <c r="H2104" t="s">
        <v>99</v>
      </c>
      <c r="I2104">
        <v>2</v>
      </c>
      <c r="J2104" t="s">
        <v>104</v>
      </c>
      <c r="K2104" s="19">
        <v>0.94791666666666663</v>
      </c>
      <c r="L2104" s="19">
        <v>0.30208333333333331</v>
      </c>
      <c r="M2104">
        <v>8.5</v>
      </c>
      <c r="N2104">
        <v>306.82</v>
      </c>
      <c r="O2104">
        <v>0</v>
      </c>
      <c r="P2104">
        <v>0</v>
      </c>
      <c r="Q2104" t="s">
        <v>99</v>
      </c>
      <c r="R2104">
        <v>30</v>
      </c>
      <c r="S2104" s="19">
        <v>0</v>
      </c>
      <c r="T2104">
        <v>0</v>
      </c>
      <c r="U2104" s="19"/>
      <c r="V2104" t="s">
        <v>99</v>
      </c>
      <c r="W2104">
        <v>8</v>
      </c>
      <c r="X2104" t="s">
        <v>102</v>
      </c>
      <c r="Y2104" t="b">
        <v>0</v>
      </c>
    </row>
    <row r="2105" spans="1:25" x14ac:dyDescent="0.55000000000000004">
      <c r="A2105" t="s">
        <v>94</v>
      </c>
      <c r="B2105" t="s">
        <v>449</v>
      </c>
      <c r="C2105" t="s">
        <v>322</v>
      </c>
      <c r="D2105" t="s">
        <v>174</v>
      </c>
      <c r="E2105" t="s">
        <v>211</v>
      </c>
      <c r="F2105" t="s">
        <v>99</v>
      </c>
      <c r="H2105" t="s">
        <v>99</v>
      </c>
      <c r="I2105">
        <v>2</v>
      </c>
      <c r="J2105" t="s">
        <v>105</v>
      </c>
      <c r="K2105" s="19">
        <v>0.94791666666666663</v>
      </c>
      <c r="L2105" s="19">
        <v>0.30208333333333331</v>
      </c>
      <c r="M2105">
        <v>8.5</v>
      </c>
      <c r="N2105">
        <v>306.82</v>
      </c>
      <c r="O2105">
        <v>0</v>
      </c>
      <c r="P2105">
        <v>0</v>
      </c>
      <c r="Q2105" t="s">
        <v>99</v>
      </c>
      <c r="R2105">
        <v>30</v>
      </c>
      <c r="S2105" s="19">
        <v>0</v>
      </c>
      <c r="T2105">
        <v>0</v>
      </c>
      <c r="U2105" s="19"/>
      <c r="V2105" t="s">
        <v>99</v>
      </c>
      <c r="W2105">
        <v>8</v>
      </c>
      <c r="X2105" t="s">
        <v>102</v>
      </c>
      <c r="Y2105" t="b">
        <v>0</v>
      </c>
    </row>
    <row r="2106" spans="1:25" x14ac:dyDescent="0.55000000000000004">
      <c r="A2106" t="s">
        <v>94</v>
      </c>
      <c r="B2106" t="s">
        <v>449</v>
      </c>
      <c r="C2106" t="s">
        <v>322</v>
      </c>
      <c r="D2106" t="s">
        <v>174</v>
      </c>
      <c r="E2106" t="s">
        <v>211</v>
      </c>
      <c r="F2106" t="s">
        <v>99</v>
      </c>
      <c r="H2106" t="s">
        <v>99</v>
      </c>
      <c r="I2106">
        <v>2</v>
      </c>
      <c r="J2106" t="s">
        <v>105</v>
      </c>
      <c r="K2106" s="19">
        <v>0.94791666666666663</v>
      </c>
      <c r="L2106" s="19">
        <v>0.30208333333333331</v>
      </c>
      <c r="M2106">
        <v>8.5</v>
      </c>
      <c r="N2106">
        <v>306.82</v>
      </c>
      <c r="O2106">
        <v>0</v>
      </c>
      <c r="P2106">
        <v>0</v>
      </c>
      <c r="Q2106" t="s">
        <v>99</v>
      </c>
      <c r="R2106">
        <v>30</v>
      </c>
      <c r="S2106" s="19">
        <v>0</v>
      </c>
      <c r="T2106">
        <v>0</v>
      </c>
      <c r="U2106" s="19">
        <v>0.41666666666666669</v>
      </c>
      <c r="V2106" t="s">
        <v>99</v>
      </c>
      <c r="W2106">
        <v>8</v>
      </c>
      <c r="X2106" t="s">
        <v>102</v>
      </c>
      <c r="Y2106" t="b">
        <v>0</v>
      </c>
    </row>
    <row r="2107" spans="1:25" x14ac:dyDescent="0.55000000000000004">
      <c r="A2107" t="s">
        <v>94</v>
      </c>
      <c r="B2107" t="s">
        <v>449</v>
      </c>
      <c r="C2107" t="s">
        <v>322</v>
      </c>
      <c r="D2107" t="s">
        <v>174</v>
      </c>
      <c r="E2107" t="s">
        <v>211</v>
      </c>
      <c r="F2107" t="s">
        <v>99</v>
      </c>
      <c r="G2107">
        <v>15256</v>
      </c>
      <c r="H2107" t="s">
        <v>460</v>
      </c>
      <c r="I2107">
        <v>1</v>
      </c>
      <c r="J2107" t="s">
        <v>101</v>
      </c>
      <c r="K2107" s="19">
        <v>0.94791666666666663</v>
      </c>
      <c r="L2107" s="19">
        <v>0.30208333333333331</v>
      </c>
      <c r="M2107">
        <v>8.5</v>
      </c>
      <c r="N2107">
        <v>323.01</v>
      </c>
      <c r="O2107">
        <v>40</v>
      </c>
      <c r="P2107">
        <v>76</v>
      </c>
      <c r="Q2107" t="s">
        <v>99</v>
      </c>
      <c r="R2107">
        <v>30</v>
      </c>
      <c r="S2107" s="19">
        <v>0</v>
      </c>
      <c r="T2107">
        <v>0</v>
      </c>
      <c r="U2107" s="19"/>
      <c r="V2107" t="s">
        <v>99</v>
      </c>
      <c r="W2107">
        <v>8</v>
      </c>
      <c r="X2107" t="s">
        <v>102</v>
      </c>
      <c r="Y2107" t="b">
        <v>0</v>
      </c>
    </row>
    <row r="2108" spans="1:25" x14ac:dyDescent="0.55000000000000004">
      <c r="A2108" t="s">
        <v>94</v>
      </c>
      <c r="B2108" t="s">
        <v>449</v>
      </c>
      <c r="C2108" t="s">
        <v>322</v>
      </c>
      <c r="D2108" t="s">
        <v>174</v>
      </c>
      <c r="E2108" t="s">
        <v>211</v>
      </c>
      <c r="F2108" t="s">
        <v>99</v>
      </c>
      <c r="G2108">
        <v>15256</v>
      </c>
      <c r="H2108" t="s">
        <v>460</v>
      </c>
      <c r="I2108">
        <v>1</v>
      </c>
      <c r="J2108" t="s">
        <v>115</v>
      </c>
      <c r="K2108" s="19">
        <v>0.94791666666666663</v>
      </c>
      <c r="L2108" s="19">
        <v>0.30208333333333331</v>
      </c>
      <c r="M2108">
        <v>8.5</v>
      </c>
      <c r="N2108">
        <v>480.57</v>
      </c>
      <c r="O2108">
        <v>40</v>
      </c>
      <c r="P2108">
        <v>76</v>
      </c>
      <c r="Q2108" t="s">
        <v>99</v>
      </c>
      <c r="R2108">
        <v>30</v>
      </c>
      <c r="S2108" s="19">
        <v>0</v>
      </c>
      <c r="T2108">
        <v>0</v>
      </c>
      <c r="U2108" s="19">
        <v>0.41666666666666669</v>
      </c>
      <c r="V2108" t="s">
        <v>99</v>
      </c>
      <c r="W2108">
        <v>8</v>
      </c>
      <c r="X2108" t="s">
        <v>102</v>
      </c>
      <c r="Y2108" t="b">
        <v>0</v>
      </c>
    </row>
    <row r="2109" spans="1:25" x14ac:dyDescent="0.55000000000000004">
      <c r="A2109" t="s">
        <v>94</v>
      </c>
      <c r="B2109" t="s">
        <v>449</v>
      </c>
      <c r="C2109" t="s">
        <v>322</v>
      </c>
      <c r="D2109" t="s">
        <v>174</v>
      </c>
      <c r="E2109" t="s">
        <v>211</v>
      </c>
      <c r="F2109" t="s">
        <v>99</v>
      </c>
      <c r="G2109">
        <v>15256</v>
      </c>
      <c r="H2109" t="s">
        <v>460</v>
      </c>
      <c r="I2109">
        <v>2</v>
      </c>
      <c r="J2109" t="s">
        <v>107</v>
      </c>
      <c r="K2109" s="19">
        <v>0.94791666666666663</v>
      </c>
      <c r="L2109" s="19">
        <v>0.30208333333333331</v>
      </c>
      <c r="M2109">
        <v>8.5</v>
      </c>
      <c r="N2109">
        <v>405.96</v>
      </c>
      <c r="O2109">
        <v>40</v>
      </c>
      <c r="P2109">
        <v>76</v>
      </c>
      <c r="Q2109" t="s">
        <v>99</v>
      </c>
      <c r="R2109">
        <v>30</v>
      </c>
      <c r="S2109" s="19">
        <v>0</v>
      </c>
      <c r="T2109">
        <v>0</v>
      </c>
      <c r="U2109" s="19">
        <v>0.41666666666666669</v>
      </c>
      <c r="V2109" t="s">
        <v>99</v>
      </c>
      <c r="W2109">
        <v>8</v>
      </c>
      <c r="X2109" t="s">
        <v>102</v>
      </c>
      <c r="Y2109" t="b">
        <v>0</v>
      </c>
    </row>
    <row r="2110" spans="1:25" x14ac:dyDescent="0.55000000000000004">
      <c r="A2110" t="s">
        <v>94</v>
      </c>
      <c r="B2110" t="s">
        <v>449</v>
      </c>
      <c r="C2110" t="s">
        <v>322</v>
      </c>
      <c r="D2110" t="s">
        <v>174</v>
      </c>
      <c r="E2110" t="s">
        <v>211</v>
      </c>
      <c r="F2110" t="s">
        <v>99</v>
      </c>
      <c r="G2110">
        <v>15256</v>
      </c>
      <c r="H2110" t="s">
        <v>460</v>
      </c>
      <c r="I2110">
        <v>2</v>
      </c>
      <c r="J2110" t="s">
        <v>101</v>
      </c>
      <c r="K2110" s="19">
        <v>0.94791666666666663</v>
      </c>
      <c r="L2110" s="19">
        <v>0.30208333333333331</v>
      </c>
      <c r="M2110">
        <v>8.5</v>
      </c>
      <c r="N2110">
        <v>323.01</v>
      </c>
      <c r="O2110">
        <v>40</v>
      </c>
      <c r="P2110">
        <v>76</v>
      </c>
      <c r="Q2110" t="s">
        <v>99</v>
      </c>
      <c r="R2110">
        <v>30</v>
      </c>
      <c r="S2110" s="19">
        <v>0</v>
      </c>
      <c r="T2110">
        <v>0</v>
      </c>
      <c r="U2110" s="19"/>
      <c r="V2110" t="s">
        <v>99</v>
      </c>
      <c r="W2110">
        <v>8</v>
      </c>
      <c r="X2110" t="s">
        <v>102</v>
      </c>
      <c r="Y2110" t="b">
        <v>0</v>
      </c>
    </row>
    <row r="2111" spans="1:25" x14ac:dyDescent="0.55000000000000004">
      <c r="A2111" t="s">
        <v>94</v>
      </c>
      <c r="B2111" t="s">
        <v>449</v>
      </c>
      <c r="C2111" t="s">
        <v>322</v>
      </c>
      <c r="D2111" t="s">
        <v>174</v>
      </c>
      <c r="E2111" t="s">
        <v>211</v>
      </c>
      <c r="F2111" t="s">
        <v>99</v>
      </c>
      <c r="G2111">
        <v>15256</v>
      </c>
      <c r="H2111" t="s">
        <v>460</v>
      </c>
      <c r="I2111">
        <v>2</v>
      </c>
      <c r="J2111" t="s">
        <v>115</v>
      </c>
      <c r="K2111" s="19">
        <v>0.94791666666666663</v>
      </c>
      <c r="L2111" s="19">
        <v>0.30208333333333331</v>
      </c>
      <c r="M2111">
        <v>7.5</v>
      </c>
      <c r="N2111">
        <v>480.57</v>
      </c>
      <c r="O2111">
        <v>40</v>
      </c>
      <c r="P2111">
        <v>76</v>
      </c>
      <c r="Q2111" t="s">
        <v>99</v>
      </c>
      <c r="R2111">
        <v>30</v>
      </c>
      <c r="S2111" s="19">
        <v>0</v>
      </c>
      <c r="T2111">
        <v>0</v>
      </c>
      <c r="U2111" s="19"/>
      <c r="V2111" t="s">
        <v>99</v>
      </c>
      <c r="W2111">
        <v>7</v>
      </c>
      <c r="X2111" t="s">
        <v>102</v>
      </c>
      <c r="Y2111" t="b">
        <v>0</v>
      </c>
    </row>
    <row r="2112" spans="1:25" x14ac:dyDescent="0.55000000000000004">
      <c r="A2112" t="s">
        <v>94</v>
      </c>
      <c r="B2112" t="s">
        <v>449</v>
      </c>
      <c r="C2112" t="s">
        <v>322</v>
      </c>
      <c r="D2112" t="s">
        <v>174</v>
      </c>
      <c r="E2112" t="s">
        <v>211</v>
      </c>
      <c r="F2112" t="s">
        <v>99</v>
      </c>
      <c r="G2112">
        <v>15256</v>
      </c>
      <c r="H2112" t="s">
        <v>460</v>
      </c>
      <c r="I2112">
        <v>2</v>
      </c>
      <c r="J2112" t="s">
        <v>103</v>
      </c>
      <c r="K2112" s="19">
        <v>0.94791666666666663</v>
      </c>
      <c r="L2112" s="19">
        <v>0.30208333333333331</v>
      </c>
      <c r="M2112">
        <v>8.5</v>
      </c>
      <c r="N2112">
        <v>323.01</v>
      </c>
      <c r="O2112">
        <v>40</v>
      </c>
      <c r="P2112">
        <v>76</v>
      </c>
      <c r="Q2112" t="s">
        <v>99</v>
      </c>
      <c r="R2112">
        <v>30</v>
      </c>
      <c r="S2112" s="19">
        <v>0</v>
      </c>
      <c r="T2112">
        <v>0</v>
      </c>
      <c r="U2112" s="19">
        <v>0.41666666666666669</v>
      </c>
      <c r="V2112" t="s">
        <v>99</v>
      </c>
      <c r="W2112">
        <v>8</v>
      </c>
      <c r="X2112" t="s">
        <v>102</v>
      </c>
      <c r="Y2112" t="b">
        <v>0</v>
      </c>
    </row>
    <row r="2113" spans="1:25" x14ac:dyDescent="0.55000000000000004">
      <c r="A2113" t="s">
        <v>94</v>
      </c>
      <c r="B2113" t="s">
        <v>449</v>
      </c>
      <c r="C2113" t="s">
        <v>322</v>
      </c>
      <c r="D2113" t="s">
        <v>174</v>
      </c>
      <c r="E2113" t="s">
        <v>211</v>
      </c>
      <c r="F2113" t="s">
        <v>99</v>
      </c>
      <c r="G2113">
        <v>23098</v>
      </c>
      <c r="H2113" t="s">
        <v>461</v>
      </c>
      <c r="I2113">
        <v>1</v>
      </c>
      <c r="J2113" t="s">
        <v>101</v>
      </c>
      <c r="K2113" s="19">
        <v>0.94791666666666663</v>
      </c>
      <c r="L2113" s="19">
        <v>0.30208333333333331</v>
      </c>
      <c r="M2113">
        <v>8.5</v>
      </c>
      <c r="N2113">
        <v>323.01</v>
      </c>
      <c r="O2113">
        <v>32</v>
      </c>
      <c r="P2113">
        <v>76</v>
      </c>
      <c r="Q2113" t="s">
        <v>99</v>
      </c>
      <c r="R2113">
        <v>30</v>
      </c>
      <c r="S2113" s="19">
        <v>0</v>
      </c>
      <c r="T2113">
        <v>0</v>
      </c>
      <c r="U2113" s="19"/>
      <c r="V2113" t="s">
        <v>99</v>
      </c>
      <c r="W2113">
        <v>8</v>
      </c>
      <c r="X2113" t="s">
        <v>102</v>
      </c>
      <c r="Y2113" t="b">
        <v>0</v>
      </c>
    </row>
    <row r="2114" spans="1:25" x14ac:dyDescent="0.55000000000000004">
      <c r="A2114" t="s">
        <v>94</v>
      </c>
      <c r="B2114" t="s">
        <v>449</v>
      </c>
      <c r="C2114" t="s">
        <v>322</v>
      </c>
      <c r="D2114" t="s">
        <v>174</v>
      </c>
      <c r="E2114" t="s">
        <v>211</v>
      </c>
      <c r="F2114" t="s">
        <v>99</v>
      </c>
      <c r="G2114">
        <v>23098</v>
      </c>
      <c r="H2114" t="s">
        <v>461</v>
      </c>
      <c r="I2114">
        <v>1</v>
      </c>
      <c r="J2114" t="s">
        <v>104</v>
      </c>
      <c r="K2114" s="19">
        <v>0.94791666666666663</v>
      </c>
      <c r="L2114" s="19">
        <v>0.30208333333333331</v>
      </c>
      <c r="M2114">
        <v>8.5</v>
      </c>
      <c r="N2114">
        <v>323.01</v>
      </c>
      <c r="O2114">
        <v>32</v>
      </c>
      <c r="P2114">
        <v>76</v>
      </c>
      <c r="Q2114" t="s">
        <v>99</v>
      </c>
      <c r="R2114">
        <v>30</v>
      </c>
      <c r="S2114" s="19">
        <v>0</v>
      </c>
      <c r="T2114">
        <v>0</v>
      </c>
      <c r="U2114" s="19"/>
      <c r="V2114" t="s">
        <v>99</v>
      </c>
      <c r="W2114">
        <v>8</v>
      </c>
      <c r="X2114" t="s">
        <v>102</v>
      </c>
      <c r="Y2114" t="b">
        <v>0</v>
      </c>
    </row>
    <row r="2115" spans="1:25" x14ac:dyDescent="0.55000000000000004">
      <c r="A2115" t="s">
        <v>94</v>
      </c>
      <c r="B2115" t="s">
        <v>449</v>
      </c>
      <c r="C2115" t="s">
        <v>322</v>
      </c>
      <c r="D2115" t="s">
        <v>174</v>
      </c>
      <c r="E2115" t="s">
        <v>211</v>
      </c>
      <c r="F2115" t="s">
        <v>99</v>
      </c>
      <c r="G2115">
        <v>23098</v>
      </c>
      <c r="H2115" t="s">
        <v>461</v>
      </c>
      <c r="I2115">
        <v>2</v>
      </c>
      <c r="J2115" t="s">
        <v>101</v>
      </c>
      <c r="K2115" s="19">
        <v>0.94791666666666663</v>
      </c>
      <c r="L2115" s="19">
        <v>0.30208333333333331</v>
      </c>
      <c r="M2115">
        <v>8.5</v>
      </c>
      <c r="N2115">
        <v>323.01</v>
      </c>
      <c r="O2115">
        <v>32</v>
      </c>
      <c r="P2115">
        <v>76</v>
      </c>
      <c r="Q2115" t="s">
        <v>99</v>
      </c>
      <c r="R2115">
        <v>30</v>
      </c>
      <c r="S2115" s="19">
        <v>0</v>
      </c>
      <c r="T2115">
        <v>0</v>
      </c>
      <c r="U2115" s="19"/>
      <c r="V2115" t="s">
        <v>99</v>
      </c>
      <c r="W2115">
        <v>8</v>
      </c>
      <c r="X2115" t="s">
        <v>102</v>
      </c>
      <c r="Y2115" t="b">
        <v>0</v>
      </c>
    </row>
    <row r="2116" spans="1:25" x14ac:dyDescent="0.55000000000000004">
      <c r="A2116" t="s">
        <v>94</v>
      </c>
      <c r="B2116" t="s">
        <v>449</v>
      </c>
      <c r="C2116" t="s">
        <v>322</v>
      </c>
      <c r="D2116" t="s">
        <v>174</v>
      </c>
      <c r="E2116" t="s">
        <v>211</v>
      </c>
      <c r="F2116" t="s">
        <v>99</v>
      </c>
      <c r="G2116">
        <v>23098</v>
      </c>
      <c r="H2116" t="s">
        <v>461</v>
      </c>
      <c r="I2116">
        <v>2</v>
      </c>
      <c r="J2116" t="s">
        <v>104</v>
      </c>
      <c r="K2116" s="19">
        <v>0.94791666666666663</v>
      </c>
      <c r="L2116" s="19">
        <v>0.30208333333333331</v>
      </c>
      <c r="M2116">
        <v>8.5</v>
      </c>
      <c r="N2116">
        <v>323.01</v>
      </c>
      <c r="O2116">
        <v>32</v>
      </c>
      <c r="P2116">
        <v>76</v>
      </c>
      <c r="Q2116" t="s">
        <v>99</v>
      </c>
      <c r="R2116">
        <v>30</v>
      </c>
      <c r="S2116" s="19">
        <v>0</v>
      </c>
      <c r="T2116">
        <v>0</v>
      </c>
      <c r="U2116" s="19"/>
      <c r="V2116" t="s">
        <v>99</v>
      </c>
      <c r="W2116">
        <v>8</v>
      </c>
      <c r="X2116" t="s">
        <v>102</v>
      </c>
      <c r="Y2116" t="b">
        <v>0</v>
      </c>
    </row>
    <row r="2117" spans="1:25" x14ac:dyDescent="0.55000000000000004">
      <c r="A2117" t="s">
        <v>94</v>
      </c>
      <c r="B2117" t="s">
        <v>449</v>
      </c>
      <c r="C2117" t="s">
        <v>322</v>
      </c>
      <c r="D2117" t="s">
        <v>174</v>
      </c>
      <c r="E2117" t="s">
        <v>211</v>
      </c>
      <c r="F2117" t="s">
        <v>99</v>
      </c>
      <c r="G2117">
        <v>23874</v>
      </c>
      <c r="H2117" t="s">
        <v>403</v>
      </c>
      <c r="I2117">
        <v>1</v>
      </c>
      <c r="J2117" t="s">
        <v>107</v>
      </c>
      <c r="K2117" s="19">
        <v>0.94791666666666663</v>
      </c>
      <c r="L2117" s="19">
        <v>0.30208333333333331</v>
      </c>
      <c r="M2117">
        <v>8.5</v>
      </c>
      <c r="N2117">
        <v>405.96</v>
      </c>
      <c r="O2117">
        <v>76</v>
      </c>
      <c r="P2117">
        <v>76</v>
      </c>
      <c r="Q2117" t="s">
        <v>99</v>
      </c>
      <c r="R2117">
        <v>30</v>
      </c>
      <c r="S2117" s="19">
        <v>0</v>
      </c>
      <c r="T2117">
        <v>0</v>
      </c>
      <c r="U2117" s="19"/>
      <c r="V2117" t="s">
        <v>99</v>
      </c>
      <c r="W2117">
        <v>8</v>
      </c>
      <c r="X2117" t="s">
        <v>102</v>
      </c>
      <c r="Y2117" t="b">
        <v>0</v>
      </c>
    </row>
    <row r="2118" spans="1:25" x14ac:dyDescent="0.55000000000000004">
      <c r="A2118" t="s">
        <v>94</v>
      </c>
      <c r="B2118" t="s">
        <v>449</v>
      </c>
      <c r="C2118" t="s">
        <v>322</v>
      </c>
      <c r="D2118" t="s">
        <v>174</v>
      </c>
      <c r="E2118" t="s">
        <v>211</v>
      </c>
      <c r="F2118" t="s">
        <v>99</v>
      </c>
      <c r="G2118">
        <v>23874</v>
      </c>
      <c r="H2118" t="s">
        <v>403</v>
      </c>
      <c r="I2118">
        <v>1</v>
      </c>
      <c r="J2118" t="s">
        <v>115</v>
      </c>
      <c r="K2118" s="19">
        <v>0.94791666666666663</v>
      </c>
      <c r="L2118" s="19">
        <v>0.30208333333333331</v>
      </c>
      <c r="M2118">
        <v>8.5</v>
      </c>
      <c r="N2118">
        <v>480.57</v>
      </c>
      <c r="O2118">
        <v>76</v>
      </c>
      <c r="P2118">
        <v>76</v>
      </c>
      <c r="Q2118" t="s">
        <v>99</v>
      </c>
      <c r="R2118">
        <v>30</v>
      </c>
      <c r="S2118" s="19">
        <v>0</v>
      </c>
      <c r="T2118">
        <v>0</v>
      </c>
      <c r="U2118" s="19"/>
      <c r="V2118" t="s">
        <v>99</v>
      </c>
      <c r="W2118">
        <v>8</v>
      </c>
      <c r="X2118" t="s">
        <v>102</v>
      </c>
      <c r="Y2118" t="b">
        <v>0</v>
      </c>
    </row>
    <row r="2119" spans="1:25" x14ac:dyDescent="0.55000000000000004">
      <c r="A2119" t="s">
        <v>94</v>
      </c>
      <c r="B2119" t="s">
        <v>449</v>
      </c>
      <c r="C2119" t="s">
        <v>322</v>
      </c>
      <c r="D2119" t="s">
        <v>174</v>
      </c>
      <c r="E2119" t="s">
        <v>211</v>
      </c>
      <c r="F2119" t="s">
        <v>99</v>
      </c>
      <c r="G2119">
        <v>23874</v>
      </c>
      <c r="H2119" t="s">
        <v>403</v>
      </c>
      <c r="I2119">
        <v>1</v>
      </c>
      <c r="J2119" t="s">
        <v>116</v>
      </c>
      <c r="K2119" s="19">
        <v>0.94791666666666663</v>
      </c>
      <c r="L2119" s="19">
        <v>0.30208333333333331</v>
      </c>
      <c r="M2119">
        <v>8.5</v>
      </c>
      <c r="N2119">
        <v>349.34</v>
      </c>
      <c r="O2119">
        <v>76</v>
      </c>
      <c r="P2119">
        <v>76</v>
      </c>
      <c r="Q2119" t="s">
        <v>99</v>
      </c>
      <c r="R2119">
        <v>30</v>
      </c>
      <c r="S2119" s="19">
        <v>0</v>
      </c>
      <c r="T2119">
        <v>0</v>
      </c>
      <c r="U2119" s="19"/>
      <c r="V2119" t="s">
        <v>99</v>
      </c>
      <c r="W2119">
        <v>8</v>
      </c>
      <c r="X2119" t="s">
        <v>102</v>
      </c>
      <c r="Y2119" t="b">
        <v>0</v>
      </c>
    </row>
    <row r="2120" spans="1:25" x14ac:dyDescent="0.55000000000000004">
      <c r="A2120" t="s">
        <v>94</v>
      </c>
      <c r="B2120" t="s">
        <v>449</v>
      </c>
      <c r="C2120" t="s">
        <v>322</v>
      </c>
      <c r="D2120" t="s">
        <v>174</v>
      </c>
      <c r="E2120" t="s">
        <v>211</v>
      </c>
      <c r="F2120" t="s">
        <v>99</v>
      </c>
      <c r="G2120">
        <v>23874</v>
      </c>
      <c r="H2120" t="s">
        <v>403</v>
      </c>
      <c r="I2120">
        <v>2</v>
      </c>
      <c r="J2120" t="s">
        <v>116</v>
      </c>
      <c r="K2120" s="19">
        <v>0.94791666666666663</v>
      </c>
      <c r="L2120" s="19">
        <v>0.30208333333333331</v>
      </c>
      <c r="M2120">
        <v>8.5</v>
      </c>
      <c r="N2120">
        <v>349.34</v>
      </c>
      <c r="O2120">
        <v>76</v>
      </c>
      <c r="P2120">
        <v>76</v>
      </c>
      <c r="Q2120" t="s">
        <v>99</v>
      </c>
      <c r="R2120">
        <v>30</v>
      </c>
      <c r="S2120" s="19">
        <v>0</v>
      </c>
      <c r="T2120">
        <v>0</v>
      </c>
      <c r="U2120" s="19"/>
      <c r="V2120" t="s">
        <v>99</v>
      </c>
      <c r="W2120">
        <v>8</v>
      </c>
      <c r="X2120" t="s">
        <v>102</v>
      </c>
      <c r="Y2120" t="b">
        <v>0</v>
      </c>
    </row>
    <row r="2121" spans="1:25" x14ac:dyDescent="0.55000000000000004">
      <c r="A2121" t="s">
        <v>94</v>
      </c>
      <c r="B2121" t="s">
        <v>449</v>
      </c>
      <c r="C2121" t="s">
        <v>322</v>
      </c>
      <c r="D2121" t="s">
        <v>174</v>
      </c>
      <c r="E2121" t="s">
        <v>211</v>
      </c>
      <c r="F2121" t="s">
        <v>99</v>
      </c>
      <c r="G2121">
        <v>24612</v>
      </c>
      <c r="H2121" t="s">
        <v>395</v>
      </c>
      <c r="I2121">
        <v>1</v>
      </c>
      <c r="J2121" t="s">
        <v>107</v>
      </c>
      <c r="K2121" s="19">
        <v>0.94791666666666663</v>
      </c>
      <c r="L2121" s="19">
        <v>0.30208333333333331</v>
      </c>
      <c r="M2121">
        <v>8.5</v>
      </c>
      <c r="N2121">
        <v>405.96</v>
      </c>
      <c r="O2121">
        <v>76</v>
      </c>
      <c r="P2121">
        <v>76</v>
      </c>
      <c r="Q2121" t="s">
        <v>99</v>
      </c>
      <c r="R2121">
        <v>30</v>
      </c>
      <c r="S2121" s="19">
        <v>0</v>
      </c>
      <c r="T2121">
        <v>0</v>
      </c>
      <c r="U2121" s="19"/>
      <c r="V2121" t="s">
        <v>99</v>
      </c>
      <c r="W2121">
        <v>8</v>
      </c>
      <c r="X2121" t="s">
        <v>102</v>
      </c>
      <c r="Y2121" t="b">
        <v>0</v>
      </c>
    </row>
    <row r="2122" spans="1:25" x14ac:dyDescent="0.55000000000000004">
      <c r="A2122" t="s">
        <v>94</v>
      </c>
      <c r="B2122" t="s">
        <v>449</v>
      </c>
      <c r="C2122" t="s">
        <v>322</v>
      </c>
      <c r="D2122" t="s">
        <v>174</v>
      </c>
      <c r="E2122" t="s">
        <v>211</v>
      </c>
      <c r="F2122" t="s">
        <v>99</v>
      </c>
      <c r="G2122">
        <v>24612</v>
      </c>
      <c r="H2122" t="s">
        <v>395</v>
      </c>
      <c r="I2122">
        <v>1</v>
      </c>
      <c r="J2122" t="s">
        <v>103</v>
      </c>
      <c r="K2122" s="19">
        <v>0.94791666666666663</v>
      </c>
      <c r="L2122" s="19">
        <v>0.30208333333333331</v>
      </c>
      <c r="M2122">
        <v>8.5</v>
      </c>
      <c r="N2122">
        <v>323.01</v>
      </c>
      <c r="O2122">
        <v>76</v>
      </c>
      <c r="P2122">
        <v>76</v>
      </c>
      <c r="Q2122" t="s">
        <v>99</v>
      </c>
      <c r="R2122">
        <v>30</v>
      </c>
      <c r="S2122" s="19">
        <v>0</v>
      </c>
      <c r="T2122">
        <v>0</v>
      </c>
      <c r="U2122" s="19"/>
      <c r="V2122" t="s">
        <v>99</v>
      </c>
      <c r="W2122">
        <v>8</v>
      </c>
      <c r="X2122" t="s">
        <v>102</v>
      </c>
      <c r="Y2122" t="b">
        <v>0</v>
      </c>
    </row>
    <row r="2123" spans="1:25" x14ac:dyDescent="0.55000000000000004">
      <c r="A2123" t="s">
        <v>94</v>
      </c>
      <c r="B2123" t="s">
        <v>449</v>
      </c>
      <c r="C2123" t="s">
        <v>322</v>
      </c>
      <c r="D2123" t="s">
        <v>174</v>
      </c>
      <c r="E2123" t="s">
        <v>211</v>
      </c>
      <c r="F2123" t="s">
        <v>99</v>
      </c>
      <c r="G2123">
        <v>24612</v>
      </c>
      <c r="H2123" t="s">
        <v>395</v>
      </c>
      <c r="I2123">
        <v>1</v>
      </c>
      <c r="J2123" t="s">
        <v>104</v>
      </c>
      <c r="K2123" s="19">
        <v>0.94791666666666663</v>
      </c>
      <c r="L2123" s="19">
        <v>0.30208333333333331</v>
      </c>
      <c r="M2123">
        <v>8.5</v>
      </c>
      <c r="N2123">
        <v>323.01</v>
      </c>
      <c r="O2123">
        <v>76</v>
      </c>
      <c r="P2123">
        <v>76</v>
      </c>
      <c r="Q2123" t="s">
        <v>99</v>
      </c>
      <c r="R2123">
        <v>30</v>
      </c>
      <c r="S2123" s="19">
        <v>0</v>
      </c>
      <c r="T2123">
        <v>0</v>
      </c>
      <c r="U2123" s="19"/>
      <c r="V2123" t="s">
        <v>99</v>
      </c>
      <c r="W2123">
        <v>8</v>
      </c>
      <c r="X2123" t="s">
        <v>102</v>
      </c>
      <c r="Y2123" t="b">
        <v>0</v>
      </c>
    </row>
    <row r="2124" spans="1:25" x14ac:dyDescent="0.55000000000000004">
      <c r="A2124" t="s">
        <v>94</v>
      </c>
      <c r="B2124" t="s">
        <v>449</v>
      </c>
      <c r="C2124" t="s">
        <v>322</v>
      </c>
      <c r="D2124" t="s">
        <v>174</v>
      </c>
      <c r="E2124" t="s">
        <v>211</v>
      </c>
      <c r="F2124" t="s">
        <v>99</v>
      </c>
      <c r="G2124">
        <v>24612</v>
      </c>
      <c r="H2124" t="s">
        <v>395</v>
      </c>
      <c r="I2124">
        <v>2</v>
      </c>
      <c r="J2124" t="s">
        <v>107</v>
      </c>
      <c r="K2124" s="19">
        <v>0.94791666666666663</v>
      </c>
      <c r="L2124" s="19">
        <v>0.30208333333333331</v>
      </c>
      <c r="M2124">
        <v>8.5</v>
      </c>
      <c r="N2124">
        <v>405.96</v>
      </c>
      <c r="O2124">
        <v>76</v>
      </c>
      <c r="P2124">
        <v>76</v>
      </c>
      <c r="Q2124" t="s">
        <v>99</v>
      </c>
      <c r="R2124">
        <v>30</v>
      </c>
      <c r="S2124" s="19">
        <v>0</v>
      </c>
      <c r="T2124">
        <v>0</v>
      </c>
      <c r="U2124" s="19"/>
      <c r="V2124" t="s">
        <v>99</v>
      </c>
      <c r="W2124">
        <v>8</v>
      </c>
      <c r="X2124" t="s">
        <v>102</v>
      </c>
      <c r="Y2124" t="b">
        <v>0</v>
      </c>
    </row>
    <row r="2125" spans="1:25" x14ac:dyDescent="0.55000000000000004">
      <c r="A2125" t="s">
        <v>94</v>
      </c>
      <c r="B2125" t="s">
        <v>449</v>
      </c>
      <c r="C2125" t="s">
        <v>322</v>
      </c>
      <c r="D2125" t="s">
        <v>174</v>
      </c>
      <c r="E2125" t="s">
        <v>222</v>
      </c>
      <c r="F2125" t="s">
        <v>99</v>
      </c>
      <c r="H2125" t="s">
        <v>99</v>
      </c>
      <c r="I2125">
        <v>1</v>
      </c>
      <c r="J2125" t="s">
        <v>107</v>
      </c>
      <c r="K2125" s="19">
        <v>0.60416666666666663</v>
      </c>
      <c r="L2125" s="19">
        <v>0.95833333333333337</v>
      </c>
      <c r="M2125">
        <v>8.5</v>
      </c>
      <c r="N2125">
        <v>300.14999999999998</v>
      </c>
      <c r="O2125">
        <v>0</v>
      </c>
      <c r="P2125">
        <v>0</v>
      </c>
      <c r="Q2125" t="s">
        <v>99</v>
      </c>
      <c r="R2125">
        <v>30</v>
      </c>
      <c r="S2125" s="19">
        <v>0.8125</v>
      </c>
      <c r="T2125">
        <v>0</v>
      </c>
      <c r="U2125" s="19"/>
      <c r="V2125" t="s">
        <v>99</v>
      </c>
      <c r="W2125">
        <v>8</v>
      </c>
      <c r="X2125" t="s">
        <v>102</v>
      </c>
      <c r="Y2125" t="b">
        <v>0</v>
      </c>
    </row>
    <row r="2126" spans="1:25" x14ac:dyDescent="0.55000000000000004">
      <c r="A2126" t="s">
        <v>94</v>
      </c>
      <c r="B2126" t="s">
        <v>449</v>
      </c>
      <c r="C2126" t="s">
        <v>322</v>
      </c>
      <c r="D2126" t="s">
        <v>174</v>
      </c>
      <c r="E2126" t="s">
        <v>222</v>
      </c>
      <c r="F2126" t="s">
        <v>99</v>
      </c>
      <c r="H2126" t="s">
        <v>99</v>
      </c>
      <c r="I2126">
        <v>1</v>
      </c>
      <c r="J2126" t="s">
        <v>104</v>
      </c>
      <c r="K2126" s="19">
        <v>0.60416666666666663</v>
      </c>
      <c r="L2126" s="19">
        <v>0.95833333333333337</v>
      </c>
      <c r="M2126">
        <v>8.5</v>
      </c>
      <c r="N2126">
        <v>0</v>
      </c>
      <c r="O2126">
        <v>0</v>
      </c>
      <c r="P2126">
        <v>0</v>
      </c>
      <c r="Q2126" t="s">
        <v>99</v>
      </c>
      <c r="R2126">
        <v>30</v>
      </c>
      <c r="S2126" s="19">
        <v>0.8125</v>
      </c>
      <c r="T2126">
        <v>0</v>
      </c>
      <c r="U2126" s="19"/>
      <c r="V2126" t="s">
        <v>99</v>
      </c>
      <c r="W2126">
        <v>8</v>
      </c>
      <c r="X2126" t="s">
        <v>102</v>
      </c>
      <c r="Y2126" t="b">
        <v>0</v>
      </c>
    </row>
    <row r="2127" spans="1:25" x14ac:dyDescent="0.55000000000000004">
      <c r="A2127" t="s">
        <v>94</v>
      </c>
      <c r="B2127" t="s">
        <v>449</v>
      </c>
      <c r="C2127" t="s">
        <v>322</v>
      </c>
      <c r="D2127" t="s">
        <v>174</v>
      </c>
      <c r="E2127" t="s">
        <v>222</v>
      </c>
      <c r="F2127" t="s">
        <v>99</v>
      </c>
      <c r="H2127" t="s">
        <v>99</v>
      </c>
      <c r="I2127">
        <v>1</v>
      </c>
      <c r="J2127" t="s">
        <v>105</v>
      </c>
      <c r="K2127" s="19">
        <v>0.60416666666666663</v>
      </c>
      <c r="L2127" s="19">
        <v>0.95833333333333337</v>
      </c>
      <c r="M2127">
        <v>8.5</v>
      </c>
      <c r="N2127">
        <v>0</v>
      </c>
      <c r="O2127">
        <v>0</v>
      </c>
      <c r="P2127">
        <v>0</v>
      </c>
      <c r="Q2127" t="s">
        <v>99</v>
      </c>
      <c r="R2127">
        <v>30</v>
      </c>
      <c r="S2127" s="19">
        <v>0.8125</v>
      </c>
      <c r="T2127">
        <v>0</v>
      </c>
      <c r="U2127" s="19"/>
      <c r="V2127" t="s">
        <v>99</v>
      </c>
      <c r="W2127">
        <v>8</v>
      </c>
      <c r="X2127" t="s">
        <v>102</v>
      </c>
      <c r="Y2127" t="b">
        <v>0</v>
      </c>
    </row>
    <row r="2128" spans="1:25" x14ac:dyDescent="0.55000000000000004">
      <c r="A2128" t="s">
        <v>94</v>
      </c>
      <c r="B2128" t="s">
        <v>449</v>
      </c>
      <c r="C2128" t="s">
        <v>322</v>
      </c>
      <c r="D2128" t="s">
        <v>174</v>
      </c>
      <c r="E2128" t="s">
        <v>222</v>
      </c>
      <c r="F2128" t="s">
        <v>99</v>
      </c>
      <c r="H2128" t="s">
        <v>99</v>
      </c>
      <c r="I2128">
        <v>2</v>
      </c>
      <c r="J2128" t="s">
        <v>104</v>
      </c>
      <c r="K2128" s="19">
        <v>0.60416666666666663</v>
      </c>
      <c r="L2128" s="19">
        <v>0.95833333333333337</v>
      </c>
      <c r="M2128">
        <v>17</v>
      </c>
      <c r="N2128">
        <v>300.14999999999998</v>
      </c>
      <c r="O2128">
        <v>0</v>
      </c>
      <c r="P2128">
        <v>0</v>
      </c>
      <c r="Q2128" t="s">
        <v>99</v>
      </c>
      <c r="R2128">
        <v>60</v>
      </c>
      <c r="S2128" s="19">
        <v>0.8125</v>
      </c>
      <c r="T2128">
        <v>0</v>
      </c>
      <c r="U2128" s="19"/>
      <c r="V2128" t="s">
        <v>99</v>
      </c>
      <c r="W2128">
        <v>16</v>
      </c>
      <c r="X2128" t="s">
        <v>102</v>
      </c>
      <c r="Y2128" t="b">
        <v>0</v>
      </c>
    </row>
    <row r="2129" spans="1:25" x14ac:dyDescent="0.55000000000000004">
      <c r="A2129" t="s">
        <v>94</v>
      </c>
      <c r="B2129" t="s">
        <v>449</v>
      </c>
      <c r="C2129" t="s">
        <v>322</v>
      </c>
      <c r="D2129" t="s">
        <v>174</v>
      </c>
      <c r="E2129" t="s">
        <v>222</v>
      </c>
      <c r="F2129" t="s">
        <v>99</v>
      </c>
      <c r="H2129" t="s">
        <v>99</v>
      </c>
      <c r="I2129">
        <v>2</v>
      </c>
      <c r="J2129" t="s">
        <v>105</v>
      </c>
      <c r="K2129" s="19">
        <v>0.60416666666666663</v>
      </c>
      <c r="L2129" s="19">
        <v>0.95833333333333337</v>
      </c>
      <c r="M2129">
        <v>8.5</v>
      </c>
      <c r="N2129">
        <v>0</v>
      </c>
      <c r="O2129">
        <v>0</v>
      </c>
      <c r="P2129">
        <v>0</v>
      </c>
      <c r="Q2129" t="s">
        <v>99</v>
      </c>
      <c r="R2129">
        <v>30</v>
      </c>
      <c r="S2129" s="19">
        <v>0.8125</v>
      </c>
      <c r="T2129">
        <v>0</v>
      </c>
      <c r="U2129" s="19"/>
      <c r="V2129" t="s">
        <v>99</v>
      </c>
      <c r="W2129">
        <v>8</v>
      </c>
      <c r="X2129" t="s">
        <v>102</v>
      </c>
      <c r="Y2129" t="b">
        <v>0</v>
      </c>
    </row>
    <row r="2130" spans="1:25" x14ac:dyDescent="0.55000000000000004">
      <c r="A2130" t="s">
        <v>94</v>
      </c>
      <c r="B2130" t="s">
        <v>449</v>
      </c>
      <c r="C2130" t="s">
        <v>322</v>
      </c>
      <c r="D2130" t="s">
        <v>174</v>
      </c>
      <c r="E2130" t="s">
        <v>222</v>
      </c>
      <c r="F2130" t="s">
        <v>99</v>
      </c>
      <c r="G2130">
        <v>21139</v>
      </c>
      <c r="H2130" t="s">
        <v>457</v>
      </c>
      <c r="I2130">
        <v>1</v>
      </c>
      <c r="J2130" t="s">
        <v>107</v>
      </c>
      <c r="K2130" s="19">
        <v>0.60416666666666663</v>
      </c>
      <c r="L2130" s="19">
        <v>0.95833333333333337</v>
      </c>
      <c r="M2130">
        <v>8.5</v>
      </c>
      <c r="N2130">
        <v>300.14999999999998</v>
      </c>
      <c r="O2130">
        <v>32</v>
      </c>
      <c r="P2130">
        <v>76</v>
      </c>
      <c r="Q2130" t="s">
        <v>99</v>
      </c>
      <c r="R2130">
        <v>30</v>
      </c>
      <c r="S2130" s="19">
        <v>0.8125</v>
      </c>
      <c r="T2130">
        <v>0</v>
      </c>
      <c r="U2130" s="19"/>
      <c r="V2130" t="s">
        <v>99</v>
      </c>
      <c r="W2130">
        <v>8</v>
      </c>
      <c r="X2130" t="s">
        <v>102</v>
      </c>
      <c r="Y2130" t="b">
        <v>0</v>
      </c>
    </row>
    <row r="2131" spans="1:25" x14ac:dyDescent="0.55000000000000004">
      <c r="A2131" t="s">
        <v>94</v>
      </c>
      <c r="B2131" t="s">
        <v>449</v>
      </c>
      <c r="C2131" t="s">
        <v>322</v>
      </c>
      <c r="D2131" t="s">
        <v>174</v>
      </c>
      <c r="E2131" t="s">
        <v>222</v>
      </c>
      <c r="F2131" t="s">
        <v>99</v>
      </c>
      <c r="G2131">
        <v>21139</v>
      </c>
      <c r="H2131" t="s">
        <v>457</v>
      </c>
      <c r="I2131">
        <v>2</v>
      </c>
      <c r="J2131" t="s">
        <v>107</v>
      </c>
      <c r="K2131" s="19">
        <v>0.60416666666666663</v>
      </c>
      <c r="L2131" s="19">
        <v>0.95833333333333337</v>
      </c>
      <c r="M2131">
        <v>8.5</v>
      </c>
      <c r="N2131">
        <v>300.14999999999998</v>
      </c>
      <c r="O2131">
        <v>32</v>
      </c>
      <c r="P2131">
        <v>76</v>
      </c>
      <c r="Q2131" t="s">
        <v>99</v>
      </c>
      <c r="R2131">
        <v>30</v>
      </c>
      <c r="S2131" s="19">
        <v>0.8125</v>
      </c>
      <c r="T2131">
        <v>0</v>
      </c>
      <c r="U2131" s="19"/>
      <c r="V2131" t="s">
        <v>99</v>
      </c>
      <c r="W2131">
        <v>8</v>
      </c>
      <c r="X2131" t="s">
        <v>102</v>
      </c>
      <c r="Y2131" t="b">
        <v>0</v>
      </c>
    </row>
    <row r="2132" spans="1:25" x14ac:dyDescent="0.55000000000000004">
      <c r="A2132" t="s">
        <v>94</v>
      </c>
      <c r="B2132" t="s">
        <v>449</v>
      </c>
      <c r="C2132" t="s">
        <v>322</v>
      </c>
      <c r="D2132" t="s">
        <v>174</v>
      </c>
      <c r="E2132" t="s">
        <v>222</v>
      </c>
      <c r="F2132" t="s">
        <v>99</v>
      </c>
      <c r="G2132">
        <v>21139</v>
      </c>
      <c r="H2132" t="s">
        <v>457</v>
      </c>
      <c r="I2132">
        <v>2</v>
      </c>
      <c r="J2132" t="s">
        <v>103</v>
      </c>
      <c r="K2132" s="19">
        <v>0.60416666666666663</v>
      </c>
      <c r="L2132" s="19">
        <v>0.95833333333333337</v>
      </c>
      <c r="M2132">
        <v>8.5</v>
      </c>
      <c r="N2132">
        <v>300.14999999999998</v>
      </c>
      <c r="O2132">
        <v>32</v>
      </c>
      <c r="P2132">
        <v>76</v>
      </c>
      <c r="Q2132" t="s">
        <v>99</v>
      </c>
      <c r="R2132">
        <v>30</v>
      </c>
      <c r="S2132" s="19">
        <v>0.8125</v>
      </c>
      <c r="T2132">
        <v>0</v>
      </c>
      <c r="U2132" s="19"/>
      <c r="V2132" t="s">
        <v>99</v>
      </c>
      <c r="W2132">
        <v>8</v>
      </c>
      <c r="X2132" t="s">
        <v>102</v>
      </c>
      <c r="Y2132" t="b">
        <v>0</v>
      </c>
    </row>
    <row r="2133" spans="1:25" x14ac:dyDescent="0.55000000000000004">
      <c r="A2133" t="s">
        <v>94</v>
      </c>
      <c r="B2133" t="s">
        <v>449</v>
      </c>
      <c r="C2133" t="s">
        <v>322</v>
      </c>
      <c r="D2133" t="s">
        <v>174</v>
      </c>
      <c r="E2133" t="s">
        <v>222</v>
      </c>
      <c r="F2133" t="s">
        <v>99</v>
      </c>
      <c r="G2133">
        <v>22818</v>
      </c>
      <c r="H2133" t="s">
        <v>458</v>
      </c>
      <c r="I2133">
        <v>1</v>
      </c>
      <c r="J2133" t="s">
        <v>115</v>
      </c>
      <c r="K2133" s="19">
        <v>0.60416666666666663</v>
      </c>
      <c r="L2133" s="19">
        <v>0.95833333333333337</v>
      </c>
      <c r="M2133">
        <v>8.5</v>
      </c>
      <c r="N2133">
        <v>421.32</v>
      </c>
      <c r="O2133">
        <v>64</v>
      </c>
      <c r="P2133">
        <v>76</v>
      </c>
      <c r="Q2133" t="s">
        <v>99</v>
      </c>
      <c r="R2133">
        <v>30</v>
      </c>
      <c r="S2133" s="19">
        <v>0.8125</v>
      </c>
      <c r="T2133">
        <v>0</v>
      </c>
      <c r="U2133" s="19"/>
      <c r="V2133" t="s">
        <v>99</v>
      </c>
      <c r="W2133">
        <v>8</v>
      </c>
      <c r="X2133" t="s">
        <v>102</v>
      </c>
      <c r="Y2133" t="b">
        <v>0</v>
      </c>
    </row>
    <row r="2134" spans="1:25" x14ac:dyDescent="0.55000000000000004">
      <c r="A2134" t="s">
        <v>94</v>
      </c>
      <c r="B2134" t="s">
        <v>449</v>
      </c>
      <c r="C2134" t="s">
        <v>322</v>
      </c>
      <c r="D2134" t="s">
        <v>174</v>
      </c>
      <c r="E2134" t="s">
        <v>222</v>
      </c>
      <c r="F2134" t="s">
        <v>99</v>
      </c>
      <c r="G2134">
        <v>22818</v>
      </c>
      <c r="H2134" t="s">
        <v>458</v>
      </c>
      <c r="I2134">
        <v>1</v>
      </c>
      <c r="J2134" t="s">
        <v>116</v>
      </c>
      <c r="K2134" s="19">
        <v>0.60416666666666663</v>
      </c>
      <c r="L2134" s="19">
        <v>0.95833333333333337</v>
      </c>
      <c r="M2134">
        <v>8.5</v>
      </c>
      <c r="N2134">
        <v>491.54</v>
      </c>
      <c r="O2134">
        <v>64</v>
      </c>
      <c r="P2134">
        <v>76</v>
      </c>
      <c r="Q2134" t="s">
        <v>99</v>
      </c>
      <c r="R2134">
        <v>30</v>
      </c>
      <c r="S2134" s="19">
        <v>0.8125</v>
      </c>
      <c r="T2134">
        <v>0</v>
      </c>
      <c r="U2134" s="19"/>
      <c r="V2134" t="s">
        <v>99</v>
      </c>
      <c r="W2134">
        <v>8</v>
      </c>
      <c r="X2134" t="s">
        <v>102</v>
      </c>
      <c r="Y2134" t="b">
        <v>0</v>
      </c>
    </row>
    <row r="2135" spans="1:25" x14ac:dyDescent="0.55000000000000004">
      <c r="A2135" t="s">
        <v>94</v>
      </c>
      <c r="B2135" t="s">
        <v>449</v>
      </c>
      <c r="C2135" t="s">
        <v>322</v>
      </c>
      <c r="D2135" t="s">
        <v>174</v>
      </c>
      <c r="E2135" t="s">
        <v>222</v>
      </c>
      <c r="F2135" t="s">
        <v>99</v>
      </c>
      <c r="G2135">
        <v>22818</v>
      </c>
      <c r="H2135" t="s">
        <v>458</v>
      </c>
      <c r="I2135">
        <v>1</v>
      </c>
      <c r="J2135" t="s">
        <v>103</v>
      </c>
      <c r="K2135" s="19">
        <v>0.60416666666666663</v>
      </c>
      <c r="L2135" s="19">
        <v>0.95833333333333337</v>
      </c>
      <c r="M2135">
        <v>8.5</v>
      </c>
      <c r="N2135">
        <v>315.99</v>
      </c>
      <c r="O2135">
        <v>64</v>
      </c>
      <c r="P2135">
        <v>76</v>
      </c>
      <c r="Q2135" t="s">
        <v>99</v>
      </c>
      <c r="R2135">
        <v>30</v>
      </c>
      <c r="S2135" s="19">
        <v>0.8125</v>
      </c>
      <c r="T2135">
        <v>0</v>
      </c>
      <c r="U2135" s="19"/>
      <c r="V2135" t="s">
        <v>99</v>
      </c>
      <c r="W2135">
        <v>8</v>
      </c>
      <c r="X2135" t="s">
        <v>102</v>
      </c>
      <c r="Y2135" t="b">
        <v>0</v>
      </c>
    </row>
    <row r="2136" spans="1:25" x14ac:dyDescent="0.55000000000000004">
      <c r="A2136" t="s">
        <v>94</v>
      </c>
      <c r="B2136" t="s">
        <v>449</v>
      </c>
      <c r="C2136" t="s">
        <v>322</v>
      </c>
      <c r="D2136" t="s">
        <v>174</v>
      </c>
      <c r="E2136" t="s">
        <v>222</v>
      </c>
      <c r="F2136" t="s">
        <v>99</v>
      </c>
      <c r="G2136">
        <v>22818</v>
      </c>
      <c r="H2136" t="s">
        <v>458</v>
      </c>
      <c r="I2136">
        <v>1</v>
      </c>
      <c r="J2136" t="s">
        <v>104</v>
      </c>
      <c r="K2136" s="19">
        <v>0.60416666666666663</v>
      </c>
      <c r="L2136" s="19">
        <v>0.95833333333333337</v>
      </c>
      <c r="M2136">
        <v>8.5</v>
      </c>
      <c r="N2136">
        <v>315.99</v>
      </c>
      <c r="O2136">
        <v>64</v>
      </c>
      <c r="P2136">
        <v>76</v>
      </c>
      <c r="Q2136" t="s">
        <v>99</v>
      </c>
      <c r="R2136">
        <v>30</v>
      </c>
      <c r="S2136" s="19">
        <v>0.8125</v>
      </c>
      <c r="T2136">
        <v>0</v>
      </c>
      <c r="U2136" s="19">
        <v>0.41666666666666669</v>
      </c>
      <c r="V2136" t="s">
        <v>99</v>
      </c>
      <c r="W2136">
        <v>8</v>
      </c>
      <c r="X2136" t="s">
        <v>102</v>
      </c>
      <c r="Y2136" t="b">
        <v>0</v>
      </c>
    </row>
    <row r="2137" spans="1:25" x14ac:dyDescent="0.55000000000000004">
      <c r="A2137" t="s">
        <v>94</v>
      </c>
      <c r="B2137" t="s">
        <v>449</v>
      </c>
      <c r="C2137" t="s">
        <v>322</v>
      </c>
      <c r="D2137" t="s">
        <v>174</v>
      </c>
      <c r="E2137" t="s">
        <v>222</v>
      </c>
      <c r="F2137" t="s">
        <v>99</v>
      </c>
      <c r="G2137">
        <v>22818</v>
      </c>
      <c r="H2137" t="s">
        <v>458</v>
      </c>
      <c r="I2137">
        <v>2</v>
      </c>
      <c r="J2137" t="s">
        <v>103</v>
      </c>
      <c r="K2137" s="19">
        <v>0.60416666666666663</v>
      </c>
      <c r="L2137" s="19">
        <v>0.95833333333333337</v>
      </c>
      <c r="M2137">
        <v>8.5</v>
      </c>
      <c r="N2137">
        <v>315.99</v>
      </c>
      <c r="O2137">
        <v>64</v>
      </c>
      <c r="P2137">
        <v>76</v>
      </c>
      <c r="Q2137" t="s">
        <v>99</v>
      </c>
      <c r="R2137">
        <v>30</v>
      </c>
      <c r="S2137" s="19">
        <v>0.8125</v>
      </c>
      <c r="T2137">
        <v>0</v>
      </c>
      <c r="U2137" s="19"/>
      <c r="V2137" t="s">
        <v>99</v>
      </c>
      <c r="W2137">
        <v>8</v>
      </c>
      <c r="X2137" t="s">
        <v>102</v>
      </c>
      <c r="Y2137" t="b">
        <v>0</v>
      </c>
    </row>
    <row r="2138" spans="1:25" x14ac:dyDescent="0.55000000000000004">
      <c r="A2138" t="s">
        <v>94</v>
      </c>
      <c r="B2138" t="s">
        <v>449</v>
      </c>
      <c r="C2138" t="s">
        <v>322</v>
      </c>
      <c r="D2138" t="s">
        <v>174</v>
      </c>
      <c r="E2138" t="s">
        <v>222</v>
      </c>
      <c r="F2138" t="s">
        <v>99</v>
      </c>
      <c r="G2138">
        <v>23877</v>
      </c>
      <c r="H2138" t="s">
        <v>399</v>
      </c>
      <c r="I2138">
        <v>1</v>
      </c>
      <c r="J2138" t="s">
        <v>101</v>
      </c>
      <c r="K2138" s="19">
        <v>0.60416666666666663</v>
      </c>
      <c r="L2138" s="19">
        <v>0.95833333333333337</v>
      </c>
      <c r="M2138">
        <v>8.5</v>
      </c>
      <c r="N2138">
        <v>315.99</v>
      </c>
      <c r="O2138">
        <v>76</v>
      </c>
      <c r="P2138">
        <v>76</v>
      </c>
      <c r="Q2138" t="s">
        <v>99</v>
      </c>
      <c r="R2138">
        <v>30</v>
      </c>
      <c r="S2138" s="19">
        <v>0.8125</v>
      </c>
      <c r="T2138">
        <v>0</v>
      </c>
      <c r="U2138" s="19"/>
      <c r="V2138" t="s">
        <v>99</v>
      </c>
      <c r="W2138">
        <v>8</v>
      </c>
      <c r="X2138" t="s">
        <v>102</v>
      </c>
      <c r="Y2138" t="b">
        <v>0</v>
      </c>
    </row>
    <row r="2139" spans="1:25" x14ac:dyDescent="0.55000000000000004">
      <c r="A2139" t="s">
        <v>94</v>
      </c>
      <c r="B2139" t="s">
        <v>449</v>
      </c>
      <c r="C2139" t="s">
        <v>322</v>
      </c>
      <c r="D2139" t="s">
        <v>174</v>
      </c>
      <c r="E2139" t="s">
        <v>222</v>
      </c>
      <c r="F2139" t="s">
        <v>99</v>
      </c>
      <c r="G2139">
        <v>23877</v>
      </c>
      <c r="H2139" t="s">
        <v>399</v>
      </c>
      <c r="I2139">
        <v>1</v>
      </c>
      <c r="J2139" t="s">
        <v>105</v>
      </c>
      <c r="K2139" s="19">
        <v>0.60416666666666663</v>
      </c>
      <c r="L2139" s="19">
        <v>0.95833333333333337</v>
      </c>
      <c r="M2139">
        <v>8.5</v>
      </c>
      <c r="N2139">
        <v>315.99</v>
      </c>
      <c r="O2139">
        <v>76</v>
      </c>
      <c r="P2139">
        <v>76</v>
      </c>
      <c r="Q2139" t="s">
        <v>99</v>
      </c>
      <c r="R2139">
        <v>30</v>
      </c>
      <c r="S2139" s="19">
        <v>0.8125</v>
      </c>
      <c r="T2139">
        <v>0</v>
      </c>
      <c r="U2139" s="19"/>
      <c r="V2139" t="s">
        <v>99</v>
      </c>
      <c r="W2139">
        <v>8</v>
      </c>
      <c r="X2139" t="s">
        <v>102</v>
      </c>
      <c r="Y2139" t="b">
        <v>0</v>
      </c>
    </row>
    <row r="2140" spans="1:25" x14ac:dyDescent="0.55000000000000004">
      <c r="A2140" t="s">
        <v>94</v>
      </c>
      <c r="B2140" t="s">
        <v>449</v>
      </c>
      <c r="C2140" t="s">
        <v>322</v>
      </c>
      <c r="D2140" t="s">
        <v>174</v>
      </c>
      <c r="E2140" t="s">
        <v>222</v>
      </c>
      <c r="F2140" t="s">
        <v>99</v>
      </c>
      <c r="G2140">
        <v>23877</v>
      </c>
      <c r="H2140" t="s">
        <v>399</v>
      </c>
      <c r="I2140">
        <v>2</v>
      </c>
      <c r="J2140" t="s">
        <v>107</v>
      </c>
      <c r="K2140" s="19">
        <v>0.60416666666666663</v>
      </c>
      <c r="L2140" s="19">
        <v>0.95833333333333337</v>
      </c>
      <c r="M2140">
        <v>8.5</v>
      </c>
      <c r="N2140">
        <v>315.99</v>
      </c>
      <c r="O2140">
        <v>76</v>
      </c>
      <c r="P2140">
        <v>76</v>
      </c>
      <c r="Q2140" t="s">
        <v>99</v>
      </c>
      <c r="R2140">
        <v>30</v>
      </c>
      <c r="S2140" s="19">
        <v>0.8125</v>
      </c>
      <c r="T2140">
        <v>0</v>
      </c>
      <c r="U2140" s="19"/>
      <c r="V2140" t="s">
        <v>99</v>
      </c>
      <c r="W2140">
        <v>8</v>
      </c>
      <c r="X2140" t="s">
        <v>102</v>
      </c>
      <c r="Y2140" t="b">
        <v>0</v>
      </c>
    </row>
    <row r="2141" spans="1:25" x14ac:dyDescent="0.55000000000000004">
      <c r="A2141" t="s">
        <v>94</v>
      </c>
      <c r="B2141" t="s">
        <v>449</v>
      </c>
      <c r="C2141" t="s">
        <v>322</v>
      </c>
      <c r="D2141" t="s">
        <v>174</v>
      </c>
      <c r="E2141" t="s">
        <v>222</v>
      </c>
      <c r="F2141" t="s">
        <v>99</v>
      </c>
      <c r="G2141">
        <v>23877</v>
      </c>
      <c r="H2141" t="s">
        <v>399</v>
      </c>
      <c r="I2141">
        <v>2</v>
      </c>
      <c r="J2141" t="s">
        <v>101</v>
      </c>
      <c r="K2141" s="19">
        <v>0.60416666666666663</v>
      </c>
      <c r="L2141" s="19">
        <v>0.95833333333333337</v>
      </c>
      <c r="M2141">
        <v>8.5</v>
      </c>
      <c r="N2141">
        <v>315.99</v>
      </c>
      <c r="O2141">
        <v>76</v>
      </c>
      <c r="P2141">
        <v>76</v>
      </c>
      <c r="Q2141" t="s">
        <v>99</v>
      </c>
      <c r="R2141">
        <v>30</v>
      </c>
      <c r="S2141" s="19">
        <v>0.8125</v>
      </c>
      <c r="T2141">
        <v>0</v>
      </c>
      <c r="U2141" s="19"/>
      <c r="V2141" t="s">
        <v>99</v>
      </c>
      <c r="W2141">
        <v>8</v>
      </c>
      <c r="X2141" t="s">
        <v>102</v>
      </c>
      <c r="Y2141" t="b">
        <v>0</v>
      </c>
    </row>
    <row r="2142" spans="1:25" x14ac:dyDescent="0.55000000000000004">
      <c r="A2142" t="s">
        <v>94</v>
      </c>
      <c r="B2142" t="s">
        <v>449</v>
      </c>
      <c r="C2142" t="s">
        <v>322</v>
      </c>
      <c r="D2142" t="s">
        <v>174</v>
      </c>
      <c r="E2142" t="s">
        <v>222</v>
      </c>
      <c r="F2142" t="s">
        <v>99</v>
      </c>
      <c r="G2142">
        <v>23877</v>
      </c>
      <c r="H2142" t="s">
        <v>399</v>
      </c>
      <c r="I2142">
        <v>2</v>
      </c>
      <c r="J2142" t="s">
        <v>115</v>
      </c>
      <c r="K2142" s="19">
        <v>0.60416666666666663</v>
      </c>
      <c r="L2142" s="19">
        <v>0.95833333333333337</v>
      </c>
      <c r="M2142">
        <v>8.5</v>
      </c>
      <c r="N2142">
        <v>421.32</v>
      </c>
      <c r="O2142">
        <v>76</v>
      </c>
      <c r="P2142">
        <v>76</v>
      </c>
      <c r="Q2142" t="s">
        <v>99</v>
      </c>
      <c r="R2142">
        <v>30</v>
      </c>
      <c r="S2142" s="19">
        <v>0.8125</v>
      </c>
      <c r="T2142">
        <v>0</v>
      </c>
      <c r="U2142" s="19"/>
      <c r="V2142" t="s">
        <v>99</v>
      </c>
      <c r="W2142">
        <v>8</v>
      </c>
      <c r="X2142" t="s">
        <v>102</v>
      </c>
      <c r="Y2142" t="b">
        <v>0</v>
      </c>
    </row>
    <row r="2143" spans="1:25" x14ac:dyDescent="0.55000000000000004">
      <c r="A2143" t="s">
        <v>94</v>
      </c>
      <c r="B2143" t="s">
        <v>449</v>
      </c>
      <c r="C2143" t="s">
        <v>322</v>
      </c>
      <c r="D2143" t="s">
        <v>174</v>
      </c>
      <c r="E2143" t="s">
        <v>222</v>
      </c>
      <c r="F2143" t="s">
        <v>99</v>
      </c>
      <c r="G2143">
        <v>23877</v>
      </c>
      <c r="H2143" t="s">
        <v>399</v>
      </c>
      <c r="I2143">
        <v>2</v>
      </c>
      <c r="J2143" t="s">
        <v>116</v>
      </c>
      <c r="K2143" s="19">
        <v>0.60416666666666663</v>
      </c>
      <c r="L2143" s="19">
        <v>0.95833333333333337</v>
      </c>
      <c r="M2143">
        <v>8.5</v>
      </c>
      <c r="N2143">
        <v>491.54</v>
      </c>
      <c r="O2143">
        <v>76</v>
      </c>
      <c r="P2143">
        <v>76</v>
      </c>
      <c r="Q2143" t="s">
        <v>99</v>
      </c>
      <c r="R2143">
        <v>30</v>
      </c>
      <c r="S2143" s="19">
        <v>0.8125</v>
      </c>
      <c r="T2143">
        <v>0</v>
      </c>
      <c r="U2143" s="19"/>
      <c r="V2143" t="s">
        <v>99</v>
      </c>
      <c r="W2143">
        <v>8</v>
      </c>
      <c r="X2143" t="s">
        <v>102</v>
      </c>
      <c r="Y2143" t="b">
        <v>0</v>
      </c>
    </row>
    <row r="2144" spans="1:25" x14ac:dyDescent="0.55000000000000004">
      <c r="A2144" t="s">
        <v>94</v>
      </c>
      <c r="B2144" t="s">
        <v>449</v>
      </c>
      <c r="C2144" t="s">
        <v>322</v>
      </c>
      <c r="D2144" t="s">
        <v>174</v>
      </c>
      <c r="E2144" t="s">
        <v>222</v>
      </c>
      <c r="F2144" t="s">
        <v>99</v>
      </c>
      <c r="G2144">
        <v>23884</v>
      </c>
      <c r="H2144" t="s">
        <v>406</v>
      </c>
      <c r="I2144">
        <v>1</v>
      </c>
      <c r="J2144" t="s">
        <v>103</v>
      </c>
      <c r="K2144" s="19">
        <v>0.60416666666666663</v>
      </c>
      <c r="L2144" s="19">
        <v>0.95833333333333337</v>
      </c>
      <c r="M2144">
        <v>8.5</v>
      </c>
      <c r="N2144">
        <v>293.49</v>
      </c>
      <c r="O2144">
        <v>76</v>
      </c>
      <c r="P2144">
        <v>76</v>
      </c>
      <c r="Q2144" t="s">
        <v>99</v>
      </c>
      <c r="R2144">
        <v>30</v>
      </c>
      <c r="S2144" s="19">
        <v>0.8125</v>
      </c>
      <c r="T2144">
        <v>0</v>
      </c>
      <c r="U2144" s="19"/>
      <c r="V2144" t="s">
        <v>99</v>
      </c>
      <c r="W2144">
        <v>8</v>
      </c>
      <c r="X2144" t="s">
        <v>102</v>
      </c>
      <c r="Y2144" t="b">
        <v>0</v>
      </c>
    </row>
    <row r="2145" spans="1:25" x14ac:dyDescent="0.55000000000000004">
      <c r="A2145" t="s">
        <v>94</v>
      </c>
      <c r="B2145" t="s">
        <v>449</v>
      </c>
      <c r="C2145" t="s">
        <v>322</v>
      </c>
      <c r="D2145" t="s">
        <v>174</v>
      </c>
      <c r="E2145" t="s">
        <v>222</v>
      </c>
      <c r="F2145" t="s">
        <v>99</v>
      </c>
      <c r="G2145">
        <v>24863</v>
      </c>
      <c r="H2145" t="s">
        <v>385</v>
      </c>
      <c r="I2145">
        <v>1</v>
      </c>
      <c r="J2145" t="s">
        <v>101</v>
      </c>
      <c r="K2145" s="19">
        <v>0.60416666666666663</v>
      </c>
      <c r="L2145" s="19">
        <v>0.95833333333333337</v>
      </c>
      <c r="M2145">
        <v>8.5</v>
      </c>
      <c r="N2145">
        <v>300.14999999999998</v>
      </c>
      <c r="O2145">
        <v>64</v>
      </c>
      <c r="P2145">
        <v>76</v>
      </c>
      <c r="Q2145" t="s">
        <v>99</v>
      </c>
      <c r="R2145">
        <v>30</v>
      </c>
      <c r="S2145" s="19">
        <v>0.8125</v>
      </c>
      <c r="T2145">
        <v>0</v>
      </c>
      <c r="U2145" s="19"/>
      <c r="V2145" t="s">
        <v>99</v>
      </c>
      <c r="W2145">
        <v>8</v>
      </c>
      <c r="X2145" t="s">
        <v>102</v>
      </c>
      <c r="Y2145" t="b">
        <v>0</v>
      </c>
    </row>
    <row r="2146" spans="1:25" x14ac:dyDescent="0.55000000000000004">
      <c r="A2146" t="s">
        <v>94</v>
      </c>
      <c r="B2146" t="s">
        <v>449</v>
      </c>
      <c r="C2146" t="s">
        <v>322</v>
      </c>
      <c r="D2146" t="s">
        <v>174</v>
      </c>
      <c r="E2146" t="s">
        <v>222</v>
      </c>
      <c r="F2146" t="s">
        <v>99</v>
      </c>
      <c r="G2146">
        <v>25187</v>
      </c>
      <c r="H2146" t="s">
        <v>386</v>
      </c>
      <c r="I2146">
        <v>1</v>
      </c>
      <c r="J2146" t="s">
        <v>115</v>
      </c>
      <c r="K2146" s="19">
        <v>0.60416666666666663</v>
      </c>
      <c r="L2146" s="19">
        <v>0.95833333333333337</v>
      </c>
      <c r="M2146">
        <v>8.5</v>
      </c>
      <c r="N2146">
        <v>421.32</v>
      </c>
      <c r="O2146">
        <v>76</v>
      </c>
      <c r="P2146">
        <v>76</v>
      </c>
      <c r="Q2146" t="s">
        <v>99</v>
      </c>
      <c r="R2146">
        <v>30</v>
      </c>
      <c r="S2146" s="19">
        <v>0.8125</v>
      </c>
      <c r="T2146">
        <v>0</v>
      </c>
      <c r="U2146" s="19"/>
      <c r="V2146" t="s">
        <v>99</v>
      </c>
      <c r="W2146">
        <v>8</v>
      </c>
      <c r="X2146" t="s">
        <v>102</v>
      </c>
      <c r="Y2146" t="b">
        <v>0</v>
      </c>
    </row>
    <row r="2147" spans="1:25" x14ac:dyDescent="0.55000000000000004">
      <c r="A2147" t="s">
        <v>94</v>
      </c>
      <c r="B2147" t="s">
        <v>449</v>
      </c>
      <c r="C2147" t="s">
        <v>322</v>
      </c>
      <c r="D2147" t="s">
        <v>174</v>
      </c>
      <c r="E2147" t="s">
        <v>222</v>
      </c>
      <c r="F2147" t="s">
        <v>99</v>
      </c>
      <c r="G2147">
        <v>25187</v>
      </c>
      <c r="H2147" t="s">
        <v>386</v>
      </c>
      <c r="I2147">
        <v>1</v>
      </c>
      <c r="J2147" t="s">
        <v>116</v>
      </c>
      <c r="K2147" s="19">
        <v>0.60416666666666663</v>
      </c>
      <c r="L2147" s="19">
        <v>0.95833333333333337</v>
      </c>
      <c r="M2147">
        <v>8.5</v>
      </c>
      <c r="N2147">
        <v>491.54</v>
      </c>
      <c r="O2147">
        <v>76</v>
      </c>
      <c r="P2147">
        <v>76</v>
      </c>
      <c r="Q2147" t="s">
        <v>99</v>
      </c>
      <c r="R2147">
        <v>30</v>
      </c>
      <c r="S2147" s="19">
        <v>0.8125</v>
      </c>
      <c r="T2147">
        <v>0</v>
      </c>
      <c r="U2147" s="19"/>
      <c r="V2147" t="s">
        <v>99</v>
      </c>
      <c r="W2147">
        <v>8</v>
      </c>
      <c r="X2147" t="s">
        <v>102</v>
      </c>
      <c r="Y2147" t="b">
        <v>0</v>
      </c>
    </row>
    <row r="2148" spans="1:25" x14ac:dyDescent="0.55000000000000004">
      <c r="A2148" t="s">
        <v>94</v>
      </c>
      <c r="B2148" t="s">
        <v>449</v>
      </c>
      <c r="C2148" t="s">
        <v>322</v>
      </c>
      <c r="D2148" t="s">
        <v>174</v>
      </c>
      <c r="E2148" t="s">
        <v>222</v>
      </c>
      <c r="F2148" t="s">
        <v>99</v>
      </c>
      <c r="G2148">
        <v>25187</v>
      </c>
      <c r="H2148" t="s">
        <v>386</v>
      </c>
      <c r="I2148">
        <v>2</v>
      </c>
      <c r="J2148" t="s">
        <v>101</v>
      </c>
      <c r="K2148" s="19">
        <v>0.60416666666666663</v>
      </c>
      <c r="L2148" s="19">
        <v>0.95833333333333337</v>
      </c>
      <c r="M2148">
        <v>8.5</v>
      </c>
      <c r="N2148">
        <v>315.99</v>
      </c>
      <c r="O2148">
        <v>76</v>
      </c>
      <c r="P2148">
        <v>76</v>
      </c>
      <c r="Q2148" t="s">
        <v>99</v>
      </c>
      <c r="R2148">
        <v>30</v>
      </c>
      <c r="S2148" s="19">
        <v>0.8125</v>
      </c>
      <c r="T2148">
        <v>0</v>
      </c>
      <c r="U2148" s="19"/>
      <c r="V2148" t="s">
        <v>99</v>
      </c>
      <c r="W2148">
        <v>8</v>
      </c>
      <c r="X2148" t="s">
        <v>102</v>
      </c>
      <c r="Y2148" t="b">
        <v>0</v>
      </c>
    </row>
    <row r="2149" spans="1:25" x14ac:dyDescent="0.55000000000000004">
      <c r="A2149" t="s">
        <v>94</v>
      </c>
      <c r="B2149" t="s">
        <v>449</v>
      </c>
      <c r="C2149" t="s">
        <v>322</v>
      </c>
      <c r="D2149" t="s">
        <v>174</v>
      </c>
      <c r="E2149" t="s">
        <v>222</v>
      </c>
      <c r="F2149" t="s">
        <v>99</v>
      </c>
      <c r="G2149">
        <v>25204</v>
      </c>
      <c r="H2149" t="s">
        <v>391</v>
      </c>
      <c r="I2149">
        <v>2</v>
      </c>
      <c r="J2149" t="s">
        <v>115</v>
      </c>
      <c r="K2149" s="19">
        <v>0.60416666666666663</v>
      </c>
      <c r="L2149" s="19">
        <v>0.95833333333333337</v>
      </c>
      <c r="M2149">
        <v>8.5</v>
      </c>
      <c r="N2149">
        <v>421.32</v>
      </c>
      <c r="O2149">
        <v>76</v>
      </c>
      <c r="P2149">
        <v>76</v>
      </c>
      <c r="Q2149" t="s">
        <v>99</v>
      </c>
      <c r="R2149">
        <v>30</v>
      </c>
      <c r="S2149" s="19">
        <v>0.8125</v>
      </c>
      <c r="T2149">
        <v>0</v>
      </c>
      <c r="U2149" s="19"/>
      <c r="V2149" t="s">
        <v>99</v>
      </c>
      <c r="W2149">
        <v>8</v>
      </c>
      <c r="X2149" t="s">
        <v>102</v>
      </c>
      <c r="Y2149" t="b">
        <v>0</v>
      </c>
    </row>
    <row r="2150" spans="1:25" x14ac:dyDescent="0.55000000000000004">
      <c r="A2150" t="s">
        <v>94</v>
      </c>
      <c r="B2150" t="s">
        <v>449</v>
      </c>
      <c r="C2150" t="s">
        <v>322</v>
      </c>
      <c r="D2150" t="s">
        <v>174</v>
      </c>
      <c r="E2150" t="s">
        <v>222</v>
      </c>
      <c r="F2150" t="s">
        <v>99</v>
      </c>
      <c r="G2150">
        <v>25204</v>
      </c>
      <c r="H2150" t="s">
        <v>391</v>
      </c>
      <c r="I2150">
        <v>2</v>
      </c>
      <c r="J2150" t="s">
        <v>116</v>
      </c>
      <c r="K2150" s="19">
        <v>0.60416666666666663</v>
      </c>
      <c r="L2150" s="19">
        <v>0.95833333333333337</v>
      </c>
      <c r="M2150">
        <v>8.5</v>
      </c>
      <c r="N2150">
        <v>491.54</v>
      </c>
      <c r="O2150">
        <v>76</v>
      </c>
      <c r="P2150">
        <v>76</v>
      </c>
      <c r="Q2150" t="s">
        <v>99</v>
      </c>
      <c r="R2150">
        <v>30</v>
      </c>
      <c r="S2150" s="19">
        <v>0.8125</v>
      </c>
      <c r="T2150">
        <v>0</v>
      </c>
      <c r="U2150" s="19"/>
      <c r="V2150" t="s">
        <v>99</v>
      </c>
      <c r="W2150">
        <v>8</v>
      </c>
      <c r="X2150" t="s">
        <v>102</v>
      </c>
      <c r="Y2150" t="b">
        <v>0</v>
      </c>
    </row>
    <row r="2151" spans="1:25" x14ac:dyDescent="0.55000000000000004">
      <c r="A2151" t="s">
        <v>94</v>
      </c>
      <c r="B2151" t="s">
        <v>449</v>
      </c>
      <c r="C2151" t="s">
        <v>322</v>
      </c>
      <c r="D2151" t="s">
        <v>174</v>
      </c>
      <c r="E2151" t="s">
        <v>222</v>
      </c>
      <c r="F2151" t="s">
        <v>99</v>
      </c>
      <c r="G2151">
        <v>25204</v>
      </c>
      <c r="H2151" t="s">
        <v>391</v>
      </c>
      <c r="I2151">
        <v>2</v>
      </c>
      <c r="J2151" t="s">
        <v>105</v>
      </c>
      <c r="K2151" s="19">
        <v>0.60416666666666663</v>
      </c>
      <c r="L2151" s="19">
        <v>0.95833333333333337</v>
      </c>
      <c r="M2151">
        <v>8.5</v>
      </c>
      <c r="N2151">
        <v>315.99</v>
      </c>
      <c r="O2151">
        <v>76</v>
      </c>
      <c r="P2151">
        <v>76</v>
      </c>
      <c r="Q2151" t="s">
        <v>99</v>
      </c>
      <c r="R2151">
        <v>30</v>
      </c>
      <c r="S2151" s="19">
        <v>0.8125</v>
      </c>
      <c r="T2151">
        <v>0</v>
      </c>
      <c r="U2151" s="19"/>
      <c r="V2151" t="s">
        <v>99</v>
      </c>
      <c r="W2151">
        <v>8</v>
      </c>
      <c r="X2151" t="s">
        <v>102</v>
      </c>
      <c r="Y2151" t="b">
        <v>0</v>
      </c>
    </row>
    <row r="2152" spans="1:25" x14ac:dyDescent="0.55000000000000004">
      <c r="A2152" t="s">
        <v>94</v>
      </c>
      <c r="B2152" t="s">
        <v>449</v>
      </c>
      <c r="C2152" t="s">
        <v>322</v>
      </c>
      <c r="D2152" t="s">
        <v>174</v>
      </c>
      <c r="E2152" t="s">
        <v>241</v>
      </c>
      <c r="F2152" t="s">
        <v>99</v>
      </c>
      <c r="G2152">
        <v>24688</v>
      </c>
      <c r="H2152" t="s">
        <v>410</v>
      </c>
      <c r="I2152">
        <v>1</v>
      </c>
      <c r="J2152" t="s">
        <v>107</v>
      </c>
      <c r="K2152" s="19">
        <v>0.3125</v>
      </c>
      <c r="L2152" s="19">
        <v>0.47916666666666669</v>
      </c>
      <c r="M2152">
        <v>4</v>
      </c>
      <c r="N2152">
        <v>250.8</v>
      </c>
      <c r="O2152">
        <v>76</v>
      </c>
      <c r="P2152">
        <v>76</v>
      </c>
      <c r="Q2152" t="s">
        <v>99</v>
      </c>
      <c r="R2152">
        <v>0</v>
      </c>
      <c r="S2152" s="19">
        <v>0.45833333333333331</v>
      </c>
      <c r="U2152" s="19">
        <v>0.41666666666666669</v>
      </c>
      <c r="V2152" t="s">
        <v>99</v>
      </c>
      <c r="W2152">
        <v>4</v>
      </c>
      <c r="X2152" t="s">
        <v>102</v>
      </c>
      <c r="Y2152" t="b">
        <v>0</v>
      </c>
    </row>
    <row r="2153" spans="1:25" x14ac:dyDescent="0.55000000000000004">
      <c r="A2153" t="s">
        <v>94</v>
      </c>
      <c r="B2153" t="s">
        <v>449</v>
      </c>
      <c r="C2153" t="s">
        <v>322</v>
      </c>
      <c r="D2153" t="s">
        <v>174</v>
      </c>
      <c r="E2153" t="s">
        <v>241</v>
      </c>
      <c r="F2153" t="s">
        <v>99</v>
      </c>
      <c r="G2153">
        <v>24688</v>
      </c>
      <c r="H2153" t="s">
        <v>410</v>
      </c>
      <c r="I2153">
        <v>1</v>
      </c>
      <c r="J2153" t="s">
        <v>101</v>
      </c>
      <c r="K2153" s="19">
        <v>0.3125</v>
      </c>
      <c r="L2153" s="19">
        <v>0.47916666666666669</v>
      </c>
      <c r="M2153">
        <v>4</v>
      </c>
      <c r="N2153">
        <v>250.8</v>
      </c>
      <c r="O2153">
        <v>76</v>
      </c>
      <c r="P2153">
        <v>76</v>
      </c>
      <c r="Q2153" t="s">
        <v>99</v>
      </c>
      <c r="R2153">
        <v>0</v>
      </c>
      <c r="S2153" s="19">
        <v>0.45833333333333331</v>
      </c>
      <c r="T2153">
        <v>0</v>
      </c>
      <c r="U2153" s="19"/>
      <c r="V2153" t="s">
        <v>99</v>
      </c>
      <c r="W2153">
        <v>4</v>
      </c>
      <c r="X2153" t="s">
        <v>102</v>
      </c>
      <c r="Y2153" t="b">
        <v>0</v>
      </c>
    </row>
    <row r="2154" spans="1:25" x14ac:dyDescent="0.55000000000000004">
      <c r="A2154" t="s">
        <v>94</v>
      </c>
      <c r="B2154" t="s">
        <v>449</v>
      </c>
      <c r="C2154" t="s">
        <v>322</v>
      </c>
      <c r="D2154" t="s">
        <v>174</v>
      </c>
      <c r="E2154" t="s">
        <v>241</v>
      </c>
      <c r="F2154" t="s">
        <v>99</v>
      </c>
      <c r="G2154">
        <v>24688</v>
      </c>
      <c r="H2154" t="s">
        <v>410</v>
      </c>
      <c r="I2154">
        <v>1</v>
      </c>
      <c r="J2154" t="s">
        <v>103</v>
      </c>
      <c r="K2154" s="19">
        <v>0.3125</v>
      </c>
      <c r="L2154" s="19">
        <v>0.47916666666666669</v>
      </c>
      <c r="M2154">
        <v>4</v>
      </c>
      <c r="N2154">
        <v>250.8</v>
      </c>
      <c r="O2154">
        <v>76</v>
      </c>
      <c r="P2154">
        <v>76</v>
      </c>
      <c r="Q2154" t="s">
        <v>99</v>
      </c>
      <c r="R2154">
        <v>0</v>
      </c>
      <c r="S2154" s="19">
        <v>0.45833333333333331</v>
      </c>
      <c r="T2154">
        <v>0</v>
      </c>
      <c r="U2154" s="19"/>
      <c r="V2154" t="s">
        <v>99</v>
      </c>
      <c r="W2154">
        <v>4</v>
      </c>
      <c r="X2154" t="s">
        <v>102</v>
      </c>
      <c r="Y2154" t="b">
        <v>0</v>
      </c>
    </row>
    <row r="2155" spans="1:25" x14ac:dyDescent="0.55000000000000004">
      <c r="A2155" t="s">
        <v>94</v>
      </c>
      <c r="B2155" t="s">
        <v>449</v>
      </c>
      <c r="C2155" t="s">
        <v>322</v>
      </c>
      <c r="D2155" t="s">
        <v>174</v>
      </c>
      <c r="E2155" t="s">
        <v>241</v>
      </c>
      <c r="F2155" t="s">
        <v>99</v>
      </c>
      <c r="G2155">
        <v>24688</v>
      </c>
      <c r="H2155" t="s">
        <v>410</v>
      </c>
      <c r="I2155">
        <v>1</v>
      </c>
      <c r="J2155" t="s">
        <v>104</v>
      </c>
      <c r="K2155" s="19">
        <v>0.3125</v>
      </c>
      <c r="L2155" s="19">
        <v>0.47916666666666669</v>
      </c>
      <c r="M2155">
        <v>4</v>
      </c>
      <c r="N2155">
        <v>250.8</v>
      </c>
      <c r="O2155">
        <v>76</v>
      </c>
      <c r="P2155">
        <v>76</v>
      </c>
      <c r="Q2155" t="s">
        <v>99</v>
      </c>
      <c r="R2155">
        <v>0</v>
      </c>
      <c r="S2155" s="19">
        <v>0.45833333333333331</v>
      </c>
      <c r="T2155">
        <v>0</v>
      </c>
      <c r="U2155" s="19"/>
      <c r="V2155" t="s">
        <v>99</v>
      </c>
      <c r="W2155">
        <v>4</v>
      </c>
      <c r="X2155" t="s">
        <v>102</v>
      </c>
      <c r="Y2155" t="b">
        <v>0</v>
      </c>
    </row>
    <row r="2156" spans="1:25" x14ac:dyDescent="0.55000000000000004">
      <c r="A2156" t="s">
        <v>94</v>
      </c>
      <c r="B2156" t="s">
        <v>449</v>
      </c>
      <c r="C2156" t="s">
        <v>322</v>
      </c>
      <c r="D2156" t="s">
        <v>174</v>
      </c>
      <c r="E2156" t="s">
        <v>241</v>
      </c>
      <c r="F2156" t="s">
        <v>99</v>
      </c>
      <c r="G2156">
        <v>24688</v>
      </c>
      <c r="H2156" t="s">
        <v>410</v>
      </c>
      <c r="I2156">
        <v>1</v>
      </c>
      <c r="J2156" t="s">
        <v>105</v>
      </c>
      <c r="K2156" s="19">
        <v>0.3125</v>
      </c>
      <c r="L2156" s="19">
        <v>0.47916666666666669</v>
      </c>
      <c r="M2156">
        <v>4</v>
      </c>
      <c r="N2156">
        <v>250.8</v>
      </c>
      <c r="O2156">
        <v>76</v>
      </c>
      <c r="P2156">
        <v>76</v>
      </c>
      <c r="Q2156" t="s">
        <v>99</v>
      </c>
      <c r="R2156">
        <v>0</v>
      </c>
      <c r="S2156" s="19">
        <v>0.45833333333333331</v>
      </c>
      <c r="T2156">
        <v>0</v>
      </c>
      <c r="U2156" s="19"/>
      <c r="V2156" t="s">
        <v>99</v>
      </c>
      <c r="W2156">
        <v>4</v>
      </c>
      <c r="X2156" t="s">
        <v>102</v>
      </c>
      <c r="Y2156" t="b">
        <v>0</v>
      </c>
    </row>
    <row r="2157" spans="1:25" x14ac:dyDescent="0.55000000000000004">
      <c r="A2157" t="s">
        <v>94</v>
      </c>
      <c r="B2157" t="s">
        <v>449</v>
      </c>
      <c r="C2157" t="s">
        <v>322</v>
      </c>
      <c r="D2157" t="s">
        <v>174</v>
      </c>
      <c r="E2157" t="s">
        <v>241</v>
      </c>
      <c r="F2157" t="s">
        <v>99</v>
      </c>
      <c r="G2157">
        <v>24688</v>
      </c>
      <c r="H2157" t="s">
        <v>410</v>
      </c>
      <c r="I2157">
        <v>2</v>
      </c>
      <c r="J2157" t="s">
        <v>107</v>
      </c>
      <c r="K2157" s="19">
        <v>0.3125</v>
      </c>
      <c r="L2157" s="19">
        <v>0.47916666666666669</v>
      </c>
      <c r="M2157">
        <v>4</v>
      </c>
      <c r="N2157">
        <v>250.8</v>
      </c>
      <c r="O2157">
        <v>76</v>
      </c>
      <c r="P2157">
        <v>76</v>
      </c>
      <c r="Q2157" t="s">
        <v>99</v>
      </c>
      <c r="R2157">
        <v>0</v>
      </c>
      <c r="S2157" s="19">
        <v>0.45833333333333331</v>
      </c>
      <c r="U2157" s="19">
        <v>0.41666666666666669</v>
      </c>
      <c r="V2157" t="s">
        <v>99</v>
      </c>
      <c r="W2157">
        <v>4</v>
      </c>
      <c r="X2157" t="s">
        <v>102</v>
      </c>
      <c r="Y2157" t="b">
        <v>0</v>
      </c>
    </row>
    <row r="2158" spans="1:25" x14ac:dyDescent="0.55000000000000004">
      <c r="A2158" t="s">
        <v>94</v>
      </c>
      <c r="B2158" t="s">
        <v>449</v>
      </c>
      <c r="C2158" t="s">
        <v>322</v>
      </c>
      <c r="D2158" t="s">
        <v>174</v>
      </c>
      <c r="E2158" t="s">
        <v>241</v>
      </c>
      <c r="F2158" t="s">
        <v>99</v>
      </c>
      <c r="G2158">
        <v>24688</v>
      </c>
      <c r="H2158" t="s">
        <v>410</v>
      </c>
      <c r="I2158">
        <v>2</v>
      </c>
      <c r="J2158" t="s">
        <v>101</v>
      </c>
      <c r="K2158" s="19">
        <v>0.3125</v>
      </c>
      <c r="L2158" s="19">
        <v>0.47916666666666669</v>
      </c>
      <c r="M2158">
        <v>4</v>
      </c>
      <c r="N2158">
        <v>250.8</v>
      </c>
      <c r="O2158">
        <v>76</v>
      </c>
      <c r="P2158">
        <v>76</v>
      </c>
      <c r="Q2158" t="s">
        <v>99</v>
      </c>
      <c r="R2158">
        <v>0</v>
      </c>
      <c r="S2158" s="19">
        <v>0.45833333333333331</v>
      </c>
      <c r="T2158">
        <v>0</v>
      </c>
      <c r="U2158" s="19"/>
      <c r="V2158" t="s">
        <v>99</v>
      </c>
      <c r="W2158">
        <v>4</v>
      </c>
      <c r="X2158" t="s">
        <v>102</v>
      </c>
      <c r="Y2158" t="b">
        <v>0</v>
      </c>
    </row>
    <row r="2159" spans="1:25" x14ac:dyDescent="0.55000000000000004">
      <c r="A2159" t="s">
        <v>94</v>
      </c>
      <c r="B2159" t="s">
        <v>449</v>
      </c>
      <c r="C2159" t="s">
        <v>322</v>
      </c>
      <c r="D2159" t="s">
        <v>174</v>
      </c>
      <c r="E2159" t="s">
        <v>241</v>
      </c>
      <c r="F2159" t="s">
        <v>99</v>
      </c>
      <c r="G2159">
        <v>24688</v>
      </c>
      <c r="H2159" t="s">
        <v>410</v>
      </c>
      <c r="I2159">
        <v>2</v>
      </c>
      <c r="J2159" t="s">
        <v>103</v>
      </c>
      <c r="K2159" s="19">
        <v>0.3125</v>
      </c>
      <c r="L2159" s="19">
        <v>0.47916666666666669</v>
      </c>
      <c r="M2159">
        <v>4</v>
      </c>
      <c r="N2159">
        <v>250.8</v>
      </c>
      <c r="O2159">
        <v>76</v>
      </c>
      <c r="P2159">
        <v>76</v>
      </c>
      <c r="Q2159" t="s">
        <v>99</v>
      </c>
      <c r="R2159">
        <v>0</v>
      </c>
      <c r="S2159" s="19">
        <v>0.45833333333333331</v>
      </c>
      <c r="T2159">
        <v>0</v>
      </c>
      <c r="U2159" s="19"/>
      <c r="V2159" t="s">
        <v>99</v>
      </c>
      <c r="W2159">
        <v>4</v>
      </c>
      <c r="X2159" t="s">
        <v>102</v>
      </c>
      <c r="Y2159" t="b">
        <v>0</v>
      </c>
    </row>
    <row r="2160" spans="1:25" x14ac:dyDescent="0.55000000000000004">
      <c r="A2160" t="s">
        <v>94</v>
      </c>
      <c r="B2160" t="s">
        <v>449</v>
      </c>
      <c r="C2160" t="s">
        <v>322</v>
      </c>
      <c r="D2160" t="s">
        <v>174</v>
      </c>
      <c r="E2160" t="s">
        <v>241</v>
      </c>
      <c r="F2160" t="s">
        <v>99</v>
      </c>
      <c r="G2160">
        <v>24688</v>
      </c>
      <c r="H2160" t="s">
        <v>410</v>
      </c>
      <c r="I2160">
        <v>2</v>
      </c>
      <c r="J2160" t="s">
        <v>104</v>
      </c>
      <c r="K2160" s="19">
        <v>0.3125</v>
      </c>
      <c r="L2160" s="19">
        <v>0.47916666666666669</v>
      </c>
      <c r="M2160">
        <v>4</v>
      </c>
      <c r="N2160">
        <v>250.8</v>
      </c>
      <c r="O2160">
        <v>76</v>
      </c>
      <c r="P2160">
        <v>76</v>
      </c>
      <c r="Q2160" t="s">
        <v>99</v>
      </c>
      <c r="R2160">
        <v>0</v>
      </c>
      <c r="S2160" s="19">
        <v>0.45833333333333331</v>
      </c>
      <c r="T2160">
        <v>0</v>
      </c>
      <c r="U2160" s="19"/>
      <c r="V2160" t="s">
        <v>99</v>
      </c>
      <c r="W2160">
        <v>4</v>
      </c>
      <c r="X2160" t="s">
        <v>102</v>
      </c>
      <c r="Y2160" t="b">
        <v>0</v>
      </c>
    </row>
    <row r="2161" spans="1:25" x14ac:dyDescent="0.55000000000000004">
      <c r="A2161" t="s">
        <v>94</v>
      </c>
      <c r="B2161" t="s">
        <v>449</v>
      </c>
      <c r="C2161" t="s">
        <v>322</v>
      </c>
      <c r="D2161" t="s">
        <v>174</v>
      </c>
      <c r="E2161" t="s">
        <v>241</v>
      </c>
      <c r="F2161" t="s">
        <v>99</v>
      </c>
      <c r="G2161">
        <v>24688</v>
      </c>
      <c r="H2161" t="s">
        <v>410</v>
      </c>
      <c r="I2161">
        <v>2</v>
      </c>
      <c r="J2161" t="s">
        <v>105</v>
      </c>
      <c r="K2161" s="19">
        <v>0.3125</v>
      </c>
      <c r="L2161" s="19">
        <v>0.47916666666666669</v>
      </c>
      <c r="M2161">
        <v>4</v>
      </c>
      <c r="N2161">
        <v>250.8</v>
      </c>
      <c r="O2161">
        <v>76</v>
      </c>
      <c r="P2161">
        <v>76</v>
      </c>
      <c r="Q2161" t="s">
        <v>99</v>
      </c>
      <c r="R2161">
        <v>0</v>
      </c>
      <c r="S2161" s="19">
        <v>0.45833333333333331</v>
      </c>
      <c r="T2161">
        <v>0</v>
      </c>
      <c r="U2161" s="19"/>
      <c r="V2161" t="s">
        <v>99</v>
      </c>
      <c r="W2161">
        <v>4</v>
      </c>
      <c r="X2161" t="s">
        <v>102</v>
      </c>
      <c r="Y2161" t="b">
        <v>0</v>
      </c>
    </row>
    <row r="2162" spans="1:25" x14ac:dyDescent="0.55000000000000004">
      <c r="A2162" t="s">
        <v>94</v>
      </c>
      <c r="B2162" t="s">
        <v>449</v>
      </c>
      <c r="C2162" t="s">
        <v>322</v>
      </c>
      <c r="D2162" t="s">
        <v>174</v>
      </c>
      <c r="E2162" t="s">
        <v>243</v>
      </c>
      <c r="F2162" t="s">
        <v>99</v>
      </c>
      <c r="H2162" t="s">
        <v>99</v>
      </c>
      <c r="I2162">
        <v>1</v>
      </c>
      <c r="J2162" t="s">
        <v>101</v>
      </c>
      <c r="K2162" s="19">
        <v>0.29166666666666669</v>
      </c>
      <c r="L2162" s="19">
        <v>0.64583333333333337</v>
      </c>
      <c r="M2162">
        <v>8.5</v>
      </c>
      <c r="N2162">
        <v>447.04</v>
      </c>
      <c r="O2162">
        <v>0</v>
      </c>
      <c r="P2162">
        <v>0</v>
      </c>
      <c r="Q2162" t="s">
        <v>99</v>
      </c>
      <c r="R2162">
        <v>30</v>
      </c>
      <c r="S2162" s="19">
        <v>0.5</v>
      </c>
      <c r="T2162">
        <v>0</v>
      </c>
      <c r="U2162" s="19"/>
      <c r="V2162" t="s">
        <v>99</v>
      </c>
      <c r="W2162">
        <v>8</v>
      </c>
      <c r="X2162" t="s">
        <v>102</v>
      </c>
      <c r="Y2162" t="b">
        <v>0</v>
      </c>
    </row>
    <row r="2163" spans="1:25" x14ac:dyDescent="0.55000000000000004">
      <c r="A2163" t="s">
        <v>94</v>
      </c>
      <c r="B2163" t="s">
        <v>449</v>
      </c>
      <c r="C2163" t="s">
        <v>322</v>
      </c>
      <c r="D2163" t="s">
        <v>174</v>
      </c>
      <c r="E2163" t="s">
        <v>243</v>
      </c>
      <c r="F2163" t="s">
        <v>99</v>
      </c>
      <c r="H2163" t="s">
        <v>99</v>
      </c>
      <c r="I2163">
        <v>1</v>
      </c>
      <c r="J2163" t="s">
        <v>103</v>
      </c>
      <c r="K2163" s="19">
        <v>0.29166666666666669</v>
      </c>
      <c r="L2163" s="19">
        <v>0.64583333333333337</v>
      </c>
      <c r="M2163">
        <v>8.5</v>
      </c>
      <c r="N2163">
        <v>447.04</v>
      </c>
      <c r="O2163">
        <v>0</v>
      </c>
      <c r="P2163">
        <v>0</v>
      </c>
      <c r="Q2163" t="s">
        <v>99</v>
      </c>
      <c r="R2163">
        <v>30</v>
      </c>
      <c r="S2163" s="19">
        <v>0.5</v>
      </c>
      <c r="T2163">
        <v>0</v>
      </c>
      <c r="U2163" s="19"/>
      <c r="V2163" t="s">
        <v>99</v>
      </c>
      <c r="W2163">
        <v>8</v>
      </c>
      <c r="X2163" t="s">
        <v>102</v>
      </c>
      <c r="Y2163" t="b">
        <v>0</v>
      </c>
    </row>
    <row r="2164" spans="1:25" x14ac:dyDescent="0.55000000000000004">
      <c r="A2164" t="s">
        <v>94</v>
      </c>
      <c r="B2164" t="s">
        <v>449</v>
      </c>
      <c r="C2164" t="s">
        <v>322</v>
      </c>
      <c r="D2164" t="s">
        <v>174</v>
      </c>
      <c r="E2164" t="s">
        <v>243</v>
      </c>
      <c r="F2164" t="s">
        <v>99</v>
      </c>
      <c r="H2164" t="s">
        <v>99</v>
      </c>
      <c r="I2164">
        <v>1</v>
      </c>
      <c r="J2164" t="s">
        <v>104</v>
      </c>
      <c r="K2164" s="19">
        <v>0.29166666666666669</v>
      </c>
      <c r="L2164" s="19">
        <v>0.64583333333333337</v>
      </c>
      <c r="M2164">
        <v>8.5</v>
      </c>
      <c r="N2164">
        <v>447.04</v>
      </c>
      <c r="O2164">
        <v>0</v>
      </c>
      <c r="P2164">
        <v>0</v>
      </c>
      <c r="Q2164" t="s">
        <v>99</v>
      </c>
      <c r="R2164">
        <v>30</v>
      </c>
      <c r="S2164" s="19">
        <v>0.5</v>
      </c>
      <c r="T2164">
        <v>0</v>
      </c>
      <c r="U2164" s="19"/>
      <c r="V2164" t="s">
        <v>99</v>
      </c>
      <c r="W2164">
        <v>8</v>
      </c>
      <c r="X2164" t="s">
        <v>102</v>
      </c>
      <c r="Y2164" t="b">
        <v>0</v>
      </c>
    </row>
    <row r="2165" spans="1:25" x14ac:dyDescent="0.55000000000000004">
      <c r="A2165" t="s">
        <v>94</v>
      </c>
      <c r="B2165" t="s">
        <v>449</v>
      </c>
      <c r="C2165" t="s">
        <v>322</v>
      </c>
      <c r="D2165" t="s">
        <v>174</v>
      </c>
      <c r="E2165" t="s">
        <v>243</v>
      </c>
      <c r="F2165" t="s">
        <v>99</v>
      </c>
      <c r="H2165" t="s">
        <v>99</v>
      </c>
      <c r="I2165">
        <v>1</v>
      </c>
      <c r="J2165" t="s">
        <v>105</v>
      </c>
      <c r="K2165" s="19">
        <v>0.29166666666666669</v>
      </c>
      <c r="L2165" s="19">
        <v>0.64583333333333337</v>
      </c>
      <c r="M2165">
        <v>8.5</v>
      </c>
      <c r="N2165">
        <v>447.04</v>
      </c>
      <c r="O2165">
        <v>0</v>
      </c>
      <c r="P2165">
        <v>0</v>
      </c>
      <c r="Q2165" t="s">
        <v>99</v>
      </c>
      <c r="R2165">
        <v>30</v>
      </c>
      <c r="S2165" s="19">
        <v>0.5</v>
      </c>
      <c r="T2165">
        <v>0</v>
      </c>
      <c r="U2165" s="19"/>
      <c r="V2165" t="s">
        <v>99</v>
      </c>
      <c r="W2165">
        <v>8</v>
      </c>
      <c r="X2165" t="s">
        <v>102</v>
      </c>
      <c r="Y2165" t="b">
        <v>0</v>
      </c>
    </row>
    <row r="2166" spans="1:25" x14ac:dyDescent="0.55000000000000004">
      <c r="A2166" t="s">
        <v>94</v>
      </c>
      <c r="B2166" t="s">
        <v>449</v>
      </c>
      <c r="C2166" t="s">
        <v>322</v>
      </c>
      <c r="D2166" t="s">
        <v>174</v>
      </c>
      <c r="E2166" t="s">
        <v>243</v>
      </c>
      <c r="F2166" t="s">
        <v>99</v>
      </c>
      <c r="H2166" t="s">
        <v>99</v>
      </c>
      <c r="I2166">
        <v>2</v>
      </c>
      <c r="J2166" t="s">
        <v>101</v>
      </c>
      <c r="K2166" s="19">
        <v>0.29166666666666669</v>
      </c>
      <c r="L2166" s="19">
        <v>0.64583333333333337</v>
      </c>
      <c r="M2166">
        <v>8.5</v>
      </c>
      <c r="N2166">
        <v>447.04</v>
      </c>
      <c r="O2166">
        <v>0</v>
      </c>
      <c r="P2166">
        <v>0</v>
      </c>
      <c r="Q2166" t="s">
        <v>99</v>
      </c>
      <c r="R2166">
        <v>30</v>
      </c>
      <c r="S2166" s="19">
        <v>0.5</v>
      </c>
      <c r="T2166">
        <v>0</v>
      </c>
      <c r="U2166" s="19"/>
      <c r="V2166" t="s">
        <v>99</v>
      </c>
      <c r="W2166">
        <v>8</v>
      </c>
      <c r="X2166" t="s">
        <v>102</v>
      </c>
      <c r="Y2166" t="b">
        <v>0</v>
      </c>
    </row>
    <row r="2167" spans="1:25" x14ac:dyDescent="0.55000000000000004">
      <c r="A2167" t="s">
        <v>94</v>
      </c>
      <c r="B2167" t="s">
        <v>449</v>
      </c>
      <c r="C2167" t="s">
        <v>322</v>
      </c>
      <c r="D2167" t="s">
        <v>174</v>
      </c>
      <c r="E2167" t="s">
        <v>243</v>
      </c>
      <c r="F2167" t="s">
        <v>99</v>
      </c>
      <c r="H2167" t="s">
        <v>99</v>
      </c>
      <c r="I2167">
        <v>2</v>
      </c>
      <c r="J2167" t="s">
        <v>104</v>
      </c>
      <c r="K2167" s="19">
        <v>0.29166666666666669</v>
      </c>
      <c r="L2167" s="19">
        <v>0.64583333333333337</v>
      </c>
      <c r="M2167">
        <v>8.5</v>
      </c>
      <c r="N2167">
        <v>447.04</v>
      </c>
      <c r="O2167">
        <v>0</v>
      </c>
      <c r="P2167">
        <v>0</v>
      </c>
      <c r="Q2167" t="s">
        <v>99</v>
      </c>
      <c r="R2167">
        <v>30</v>
      </c>
      <c r="S2167" s="19">
        <v>0.5</v>
      </c>
      <c r="T2167">
        <v>0</v>
      </c>
      <c r="U2167" s="19"/>
      <c r="V2167" t="s">
        <v>99</v>
      </c>
      <c r="W2167">
        <v>8</v>
      </c>
      <c r="X2167" t="s">
        <v>102</v>
      </c>
      <c r="Y2167" t="b">
        <v>0</v>
      </c>
    </row>
    <row r="2168" spans="1:25" x14ac:dyDescent="0.55000000000000004">
      <c r="A2168" t="s">
        <v>94</v>
      </c>
      <c r="B2168" t="s">
        <v>449</v>
      </c>
      <c r="C2168" t="s">
        <v>322</v>
      </c>
      <c r="D2168" t="s">
        <v>174</v>
      </c>
      <c r="E2168" t="s">
        <v>243</v>
      </c>
      <c r="F2168" t="s">
        <v>99</v>
      </c>
      <c r="H2168" t="s">
        <v>99</v>
      </c>
      <c r="I2168">
        <v>2</v>
      </c>
      <c r="J2168" t="s">
        <v>105</v>
      </c>
      <c r="K2168" s="19">
        <v>0.29166666666666669</v>
      </c>
      <c r="L2168" s="19">
        <v>0.64583333333333337</v>
      </c>
      <c r="M2168">
        <v>8.5</v>
      </c>
      <c r="N2168">
        <v>447.04</v>
      </c>
      <c r="O2168">
        <v>0</v>
      </c>
      <c r="P2168">
        <v>0</v>
      </c>
      <c r="Q2168" t="s">
        <v>99</v>
      </c>
      <c r="R2168">
        <v>30</v>
      </c>
      <c r="S2168" s="19">
        <v>0.5</v>
      </c>
      <c r="T2168">
        <v>0</v>
      </c>
      <c r="U2168" s="19"/>
      <c r="V2168" t="s">
        <v>99</v>
      </c>
      <c r="W2168">
        <v>8</v>
      </c>
      <c r="X2168" t="s">
        <v>102</v>
      </c>
      <c r="Y2168" t="b">
        <v>0</v>
      </c>
    </row>
    <row r="2169" spans="1:25" x14ac:dyDescent="0.55000000000000004">
      <c r="A2169" t="s">
        <v>94</v>
      </c>
      <c r="B2169" t="s">
        <v>449</v>
      </c>
      <c r="C2169" t="s">
        <v>322</v>
      </c>
      <c r="D2169" t="s">
        <v>174</v>
      </c>
      <c r="E2169" t="s">
        <v>245</v>
      </c>
      <c r="F2169" t="s">
        <v>99</v>
      </c>
      <c r="G2169">
        <v>10953</v>
      </c>
      <c r="H2169" t="s">
        <v>411</v>
      </c>
      <c r="I2169">
        <v>1</v>
      </c>
      <c r="J2169" t="s">
        <v>101</v>
      </c>
      <c r="K2169" s="19">
        <v>0.29166666666666669</v>
      </c>
      <c r="L2169" s="19">
        <v>0.64583333333333337</v>
      </c>
      <c r="M2169">
        <v>8.5</v>
      </c>
      <c r="N2169">
        <v>309.60000000000002</v>
      </c>
      <c r="O2169">
        <v>72</v>
      </c>
      <c r="P2169">
        <v>76</v>
      </c>
      <c r="Q2169" t="s">
        <v>99</v>
      </c>
      <c r="R2169">
        <v>30</v>
      </c>
      <c r="S2169" s="19">
        <v>0.5</v>
      </c>
      <c r="U2169" s="19">
        <v>0.41666666666666669</v>
      </c>
      <c r="V2169" t="s">
        <v>99</v>
      </c>
      <c r="W2169">
        <v>8</v>
      </c>
      <c r="X2169" t="s">
        <v>412</v>
      </c>
      <c r="Y2169" t="b">
        <v>0</v>
      </c>
    </row>
    <row r="2170" spans="1:25" x14ac:dyDescent="0.55000000000000004">
      <c r="A2170" t="s">
        <v>94</v>
      </c>
      <c r="B2170" t="s">
        <v>449</v>
      </c>
      <c r="C2170" t="s">
        <v>322</v>
      </c>
      <c r="D2170" t="s">
        <v>174</v>
      </c>
      <c r="E2170" t="s">
        <v>245</v>
      </c>
      <c r="F2170" t="s">
        <v>99</v>
      </c>
      <c r="G2170">
        <v>10953</v>
      </c>
      <c r="H2170" t="s">
        <v>411</v>
      </c>
      <c r="I2170">
        <v>1</v>
      </c>
      <c r="J2170" t="s">
        <v>103</v>
      </c>
      <c r="K2170" s="19">
        <v>0.29166666666666669</v>
      </c>
      <c r="L2170" s="19">
        <v>0.64583333333333337</v>
      </c>
      <c r="M2170">
        <v>8.5</v>
      </c>
      <c r="N2170">
        <v>309.60000000000002</v>
      </c>
      <c r="O2170">
        <v>72</v>
      </c>
      <c r="P2170">
        <v>76</v>
      </c>
      <c r="Q2170" t="s">
        <v>99</v>
      </c>
      <c r="R2170">
        <v>30</v>
      </c>
      <c r="S2170" s="19">
        <v>0.5</v>
      </c>
      <c r="T2170">
        <v>0</v>
      </c>
      <c r="U2170" s="19"/>
      <c r="V2170" t="s">
        <v>99</v>
      </c>
      <c r="W2170">
        <v>8</v>
      </c>
      <c r="X2170" t="s">
        <v>412</v>
      </c>
      <c r="Y2170" t="b">
        <v>0</v>
      </c>
    </row>
    <row r="2171" spans="1:25" x14ac:dyDescent="0.55000000000000004">
      <c r="A2171" t="s">
        <v>94</v>
      </c>
      <c r="B2171" t="s">
        <v>449</v>
      </c>
      <c r="C2171" t="s">
        <v>322</v>
      </c>
      <c r="D2171" t="s">
        <v>174</v>
      </c>
      <c r="E2171" t="s">
        <v>245</v>
      </c>
      <c r="F2171" t="s">
        <v>99</v>
      </c>
      <c r="G2171">
        <v>10953</v>
      </c>
      <c r="H2171" t="s">
        <v>411</v>
      </c>
      <c r="I2171">
        <v>1</v>
      </c>
      <c r="J2171" t="s">
        <v>104</v>
      </c>
      <c r="K2171" s="19">
        <v>0.29166666666666669</v>
      </c>
      <c r="L2171" s="19">
        <v>0.64583333333333337</v>
      </c>
      <c r="M2171">
        <v>8.5</v>
      </c>
      <c r="N2171">
        <v>309.60000000000002</v>
      </c>
      <c r="O2171">
        <v>72</v>
      </c>
      <c r="P2171">
        <v>76</v>
      </c>
      <c r="Q2171" t="s">
        <v>99</v>
      </c>
      <c r="R2171">
        <v>30</v>
      </c>
      <c r="S2171" s="19">
        <v>0.5</v>
      </c>
      <c r="U2171" s="19">
        <v>0.41666666666666669</v>
      </c>
      <c r="V2171" t="s">
        <v>99</v>
      </c>
      <c r="W2171">
        <v>8</v>
      </c>
      <c r="X2171" t="s">
        <v>412</v>
      </c>
      <c r="Y2171" t="b">
        <v>0</v>
      </c>
    </row>
    <row r="2172" spans="1:25" x14ac:dyDescent="0.55000000000000004">
      <c r="A2172" t="s">
        <v>94</v>
      </c>
      <c r="B2172" t="s">
        <v>449</v>
      </c>
      <c r="C2172" t="s">
        <v>322</v>
      </c>
      <c r="D2172" t="s">
        <v>174</v>
      </c>
      <c r="E2172" t="s">
        <v>245</v>
      </c>
      <c r="F2172" t="s">
        <v>99</v>
      </c>
      <c r="G2172">
        <v>10953</v>
      </c>
      <c r="H2172" t="s">
        <v>411</v>
      </c>
      <c r="I2172">
        <v>1</v>
      </c>
      <c r="J2172" t="s">
        <v>105</v>
      </c>
      <c r="K2172" s="19">
        <v>0.29166666666666669</v>
      </c>
      <c r="L2172" s="19">
        <v>0.64583333333333337</v>
      </c>
      <c r="M2172">
        <v>8.5</v>
      </c>
      <c r="N2172">
        <v>309.60000000000002</v>
      </c>
      <c r="O2172">
        <v>72</v>
      </c>
      <c r="P2172">
        <v>76</v>
      </c>
      <c r="Q2172" t="s">
        <v>99</v>
      </c>
      <c r="R2172">
        <v>30</v>
      </c>
      <c r="S2172" s="19">
        <v>0.5</v>
      </c>
      <c r="U2172" s="19">
        <v>0.41666666666666669</v>
      </c>
      <c r="V2172" t="s">
        <v>99</v>
      </c>
      <c r="W2172">
        <v>8</v>
      </c>
      <c r="X2172" t="s">
        <v>412</v>
      </c>
      <c r="Y2172" t="b">
        <v>0</v>
      </c>
    </row>
    <row r="2173" spans="1:25" x14ac:dyDescent="0.55000000000000004">
      <c r="A2173" t="s">
        <v>94</v>
      </c>
      <c r="B2173" t="s">
        <v>449</v>
      </c>
      <c r="C2173" t="s">
        <v>322</v>
      </c>
      <c r="D2173" t="s">
        <v>174</v>
      </c>
      <c r="E2173" t="s">
        <v>245</v>
      </c>
      <c r="F2173" t="s">
        <v>99</v>
      </c>
      <c r="G2173">
        <v>10953</v>
      </c>
      <c r="H2173" t="s">
        <v>411</v>
      </c>
      <c r="I2173">
        <v>2</v>
      </c>
      <c r="J2173" t="s">
        <v>107</v>
      </c>
      <c r="K2173" s="19">
        <v>0.29166666666666669</v>
      </c>
      <c r="L2173" s="19">
        <v>0.64583333333333337</v>
      </c>
      <c r="M2173">
        <v>8.5</v>
      </c>
      <c r="N2173">
        <v>309.60000000000002</v>
      </c>
      <c r="O2173">
        <v>72</v>
      </c>
      <c r="P2173">
        <v>76</v>
      </c>
      <c r="Q2173" t="s">
        <v>99</v>
      </c>
      <c r="R2173">
        <v>30</v>
      </c>
      <c r="S2173" s="19">
        <v>0.5</v>
      </c>
      <c r="U2173" s="19">
        <v>0.41666666666666669</v>
      </c>
      <c r="V2173" t="s">
        <v>99</v>
      </c>
      <c r="W2173">
        <v>8</v>
      </c>
      <c r="X2173" t="s">
        <v>412</v>
      </c>
      <c r="Y2173" t="b">
        <v>0</v>
      </c>
    </row>
    <row r="2174" spans="1:25" x14ac:dyDescent="0.55000000000000004">
      <c r="A2174" t="s">
        <v>94</v>
      </c>
      <c r="B2174" t="s">
        <v>449</v>
      </c>
      <c r="C2174" t="s">
        <v>322</v>
      </c>
      <c r="D2174" t="s">
        <v>174</v>
      </c>
      <c r="E2174" t="s">
        <v>245</v>
      </c>
      <c r="F2174" t="s">
        <v>99</v>
      </c>
      <c r="G2174">
        <v>10953</v>
      </c>
      <c r="H2174" t="s">
        <v>411</v>
      </c>
      <c r="I2174">
        <v>2</v>
      </c>
      <c r="J2174" t="s">
        <v>103</v>
      </c>
      <c r="K2174" s="19">
        <v>0.29166666666666669</v>
      </c>
      <c r="L2174" s="19">
        <v>0.64583333333333337</v>
      </c>
      <c r="M2174">
        <v>8.5</v>
      </c>
      <c r="N2174">
        <v>309.60000000000002</v>
      </c>
      <c r="O2174">
        <v>72</v>
      </c>
      <c r="P2174">
        <v>76</v>
      </c>
      <c r="Q2174" t="s">
        <v>99</v>
      </c>
      <c r="R2174">
        <v>30</v>
      </c>
      <c r="S2174" s="19">
        <v>0.5</v>
      </c>
      <c r="T2174">
        <v>0</v>
      </c>
      <c r="U2174" s="19"/>
      <c r="V2174" t="s">
        <v>99</v>
      </c>
      <c r="W2174">
        <v>8</v>
      </c>
      <c r="X2174" t="s">
        <v>412</v>
      </c>
      <c r="Y2174" t="b">
        <v>0</v>
      </c>
    </row>
    <row r="2175" spans="1:25" x14ac:dyDescent="0.55000000000000004">
      <c r="A2175" t="s">
        <v>94</v>
      </c>
      <c r="B2175" t="s">
        <v>449</v>
      </c>
      <c r="C2175" t="s">
        <v>322</v>
      </c>
      <c r="D2175" t="s">
        <v>174</v>
      </c>
      <c r="E2175" t="s">
        <v>245</v>
      </c>
      <c r="F2175" t="s">
        <v>99</v>
      </c>
      <c r="G2175">
        <v>12388</v>
      </c>
      <c r="H2175" t="s">
        <v>413</v>
      </c>
      <c r="I2175">
        <v>1</v>
      </c>
      <c r="J2175" t="s">
        <v>105</v>
      </c>
      <c r="K2175" s="19">
        <v>0.29166666666666669</v>
      </c>
      <c r="L2175" s="19">
        <v>0.64583333333333337</v>
      </c>
      <c r="M2175">
        <v>8.5</v>
      </c>
      <c r="N2175">
        <v>322.48</v>
      </c>
      <c r="O2175">
        <v>76</v>
      </c>
      <c r="P2175">
        <v>76</v>
      </c>
      <c r="Q2175" t="s">
        <v>99</v>
      </c>
      <c r="R2175">
        <v>30</v>
      </c>
      <c r="S2175" s="19">
        <v>0.5</v>
      </c>
      <c r="T2175">
        <v>0</v>
      </c>
      <c r="U2175" s="19"/>
      <c r="V2175" t="s">
        <v>99</v>
      </c>
      <c r="W2175">
        <v>8</v>
      </c>
      <c r="X2175" t="s">
        <v>102</v>
      </c>
      <c r="Y2175" t="b">
        <v>0</v>
      </c>
    </row>
    <row r="2176" spans="1:25" x14ac:dyDescent="0.55000000000000004">
      <c r="A2176" t="s">
        <v>94</v>
      </c>
      <c r="B2176" t="s">
        <v>449</v>
      </c>
      <c r="C2176" t="s">
        <v>322</v>
      </c>
      <c r="D2176" t="s">
        <v>174</v>
      </c>
      <c r="E2176" t="s">
        <v>245</v>
      </c>
      <c r="F2176" t="s">
        <v>99</v>
      </c>
      <c r="G2176">
        <v>12388</v>
      </c>
      <c r="H2176" t="s">
        <v>413</v>
      </c>
      <c r="I2176">
        <v>2</v>
      </c>
      <c r="J2176" t="s">
        <v>105</v>
      </c>
      <c r="K2176" s="19">
        <v>0.29166666666666669</v>
      </c>
      <c r="L2176" s="19">
        <v>0.64583333333333337</v>
      </c>
      <c r="M2176">
        <v>8.5</v>
      </c>
      <c r="N2176">
        <v>322.48</v>
      </c>
      <c r="O2176">
        <v>76</v>
      </c>
      <c r="P2176">
        <v>76</v>
      </c>
      <c r="Q2176" t="s">
        <v>99</v>
      </c>
      <c r="R2176">
        <v>30</v>
      </c>
      <c r="S2176" s="19">
        <v>0.5</v>
      </c>
      <c r="T2176">
        <v>0</v>
      </c>
      <c r="U2176" s="19"/>
      <c r="V2176" t="s">
        <v>99</v>
      </c>
      <c r="W2176">
        <v>8</v>
      </c>
      <c r="X2176" t="s">
        <v>102</v>
      </c>
      <c r="Y2176" t="b">
        <v>0</v>
      </c>
    </row>
    <row r="2177" spans="1:25" x14ac:dyDescent="0.55000000000000004">
      <c r="A2177" t="s">
        <v>94</v>
      </c>
      <c r="B2177" t="s">
        <v>449</v>
      </c>
      <c r="C2177" t="s">
        <v>322</v>
      </c>
      <c r="D2177" t="s">
        <v>174</v>
      </c>
      <c r="E2177" t="s">
        <v>416</v>
      </c>
      <c r="F2177" t="s">
        <v>99</v>
      </c>
      <c r="G2177">
        <v>12705</v>
      </c>
      <c r="H2177" t="s">
        <v>417</v>
      </c>
      <c r="I2177">
        <v>1</v>
      </c>
      <c r="J2177" t="s">
        <v>103</v>
      </c>
      <c r="K2177" s="19">
        <v>0.29166666666666669</v>
      </c>
      <c r="L2177" s="19">
        <v>0.64583333333333337</v>
      </c>
      <c r="M2177">
        <v>8.5</v>
      </c>
      <c r="N2177">
        <v>432.88</v>
      </c>
      <c r="O2177">
        <v>48</v>
      </c>
      <c r="P2177">
        <v>76</v>
      </c>
      <c r="Q2177" t="s">
        <v>99</v>
      </c>
      <c r="R2177">
        <v>30</v>
      </c>
      <c r="S2177" s="19">
        <v>0.5</v>
      </c>
      <c r="T2177">
        <v>0</v>
      </c>
      <c r="U2177" s="19"/>
      <c r="V2177" t="s">
        <v>99</v>
      </c>
      <c r="W2177">
        <v>8</v>
      </c>
      <c r="X2177" t="s">
        <v>102</v>
      </c>
      <c r="Y2177" t="b">
        <v>0</v>
      </c>
    </row>
    <row r="2178" spans="1:25" x14ac:dyDescent="0.55000000000000004">
      <c r="A2178" t="s">
        <v>94</v>
      </c>
      <c r="B2178" t="s">
        <v>449</v>
      </c>
      <c r="C2178" t="s">
        <v>322</v>
      </c>
      <c r="D2178" t="s">
        <v>174</v>
      </c>
      <c r="E2178" t="s">
        <v>416</v>
      </c>
      <c r="F2178" t="s">
        <v>99</v>
      </c>
      <c r="G2178">
        <v>12705</v>
      </c>
      <c r="H2178" t="s">
        <v>417</v>
      </c>
      <c r="I2178">
        <v>2</v>
      </c>
      <c r="J2178" t="s">
        <v>103</v>
      </c>
      <c r="K2178" s="19">
        <v>0.29166666666666669</v>
      </c>
      <c r="L2178" s="19">
        <v>0.64583333333333337</v>
      </c>
      <c r="M2178">
        <v>8.5</v>
      </c>
      <c r="N2178">
        <v>432.88</v>
      </c>
      <c r="O2178">
        <v>48</v>
      </c>
      <c r="P2178">
        <v>76</v>
      </c>
      <c r="Q2178" t="s">
        <v>99</v>
      </c>
      <c r="R2178">
        <v>30</v>
      </c>
      <c r="S2178" s="19">
        <v>0.5</v>
      </c>
      <c r="T2178">
        <v>0</v>
      </c>
      <c r="U2178" s="19"/>
      <c r="V2178" t="s">
        <v>99</v>
      </c>
      <c r="W2178">
        <v>8</v>
      </c>
      <c r="X2178" t="s">
        <v>102</v>
      </c>
      <c r="Y2178" t="b">
        <v>0</v>
      </c>
    </row>
    <row r="2179" spans="1:25" x14ac:dyDescent="0.55000000000000004">
      <c r="A2179" t="s">
        <v>94</v>
      </c>
      <c r="B2179" t="s">
        <v>449</v>
      </c>
      <c r="C2179" t="s">
        <v>322</v>
      </c>
      <c r="D2179" t="s">
        <v>174</v>
      </c>
      <c r="E2179" t="s">
        <v>277</v>
      </c>
      <c r="F2179" t="s">
        <v>99</v>
      </c>
      <c r="H2179" t="s">
        <v>99</v>
      </c>
      <c r="I2179">
        <v>1</v>
      </c>
      <c r="J2179" t="s">
        <v>107</v>
      </c>
      <c r="K2179" s="19">
        <v>0.29166666666666669</v>
      </c>
      <c r="L2179" s="19">
        <v>0.64583333333333337</v>
      </c>
      <c r="M2179">
        <v>8.5</v>
      </c>
      <c r="N2179">
        <v>409.52</v>
      </c>
      <c r="O2179">
        <v>0</v>
      </c>
      <c r="P2179">
        <v>0</v>
      </c>
      <c r="Q2179" t="s">
        <v>99</v>
      </c>
      <c r="R2179">
        <v>30</v>
      </c>
      <c r="S2179" s="19">
        <v>0.5</v>
      </c>
      <c r="T2179">
        <v>0</v>
      </c>
      <c r="U2179" s="19"/>
      <c r="V2179" t="s">
        <v>99</v>
      </c>
      <c r="W2179">
        <v>8</v>
      </c>
      <c r="X2179" t="s">
        <v>102</v>
      </c>
      <c r="Y2179" t="b">
        <v>0</v>
      </c>
    </row>
    <row r="2180" spans="1:25" x14ac:dyDescent="0.55000000000000004">
      <c r="A2180" t="s">
        <v>94</v>
      </c>
      <c r="B2180" t="s">
        <v>449</v>
      </c>
      <c r="C2180" t="s">
        <v>322</v>
      </c>
      <c r="D2180" t="s">
        <v>174</v>
      </c>
      <c r="E2180" t="s">
        <v>277</v>
      </c>
      <c r="F2180" t="s">
        <v>99</v>
      </c>
      <c r="H2180" t="s">
        <v>99</v>
      </c>
      <c r="I2180">
        <v>1</v>
      </c>
      <c r="J2180" t="s">
        <v>116</v>
      </c>
      <c r="K2180" s="19">
        <v>0.29166666666666669</v>
      </c>
      <c r="L2180" s="19">
        <v>0.64583333333333337</v>
      </c>
      <c r="M2180">
        <v>8.5</v>
      </c>
      <c r="N2180">
        <v>716.66</v>
      </c>
      <c r="O2180">
        <v>0</v>
      </c>
      <c r="P2180">
        <v>0</v>
      </c>
      <c r="Q2180" t="s">
        <v>99</v>
      </c>
      <c r="R2180">
        <v>30</v>
      </c>
      <c r="S2180" s="19">
        <v>0.5</v>
      </c>
      <c r="T2180">
        <v>0</v>
      </c>
      <c r="U2180" s="19">
        <v>0.41666666666666669</v>
      </c>
      <c r="V2180" t="s">
        <v>99</v>
      </c>
      <c r="W2180">
        <v>8</v>
      </c>
      <c r="X2180" t="s">
        <v>102</v>
      </c>
      <c r="Y2180" t="b">
        <v>0</v>
      </c>
    </row>
    <row r="2181" spans="1:25" x14ac:dyDescent="0.55000000000000004">
      <c r="A2181" t="s">
        <v>94</v>
      </c>
      <c r="B2181" t="s">
        <v>449</v>
      </c>
      <c r="C2181" t="s">
        <v>322</v>
      </c>
      <c r="D2181" t="s">
        <v>174</v>
      </c>
      <c r="E2181" t="s">
        <v>277</v>
      </c>
      <c r="F2181" t="s">
        <v>99</v>
      </c>
      <c r="G2181">
        <v>24411</v>
      </c>
      <c r="H2181" t="s">
        <v>419</v>
      </c>
      <c r="I2181">
        <v>1</v>
      </c>
      <c r="J2181" t="s">
        <v>115</v>
      </c>
      <c r="K2181" s="19">
        <v>0.29166666666666669</v>
      </c>
      <c r="L2181" s="19">
        <v>0.64583333333333337</v>
      </c>
      <c r="M2181">
        <v>8.5</v>
      </c>
      <c r="N2181">
        <v>614.28</v>
      </c>
      <c r="O2181">
        <v>76</v>
      </c>
      <c r="P2181">
        <v>76</v>
      </c>
      <c r="Q2181" t="s">
        <v>99</v>
      </c>
      <c r="R2181">
        <v>30</v>
      </c>
      <c r="S2181" s="19">
        <v>0.5</v>
      </c>
      <c r="T2181">
        <v>0</v>
      </c>
      <c r="U2181" s="19">
        <v>0.41666666666666669</v>
      </c>
      <c r="V2181" t="s">
        <v>99</v>
      </c>
      <c r="W2181">
        <v>8</v>
      </c>
      <c r="X2181" t="s">
        <v>102</v>
      </c>
      <c r="Y2181" t="b">
        <v>0</v>
      </c>
    </row>
    <row r="2182" spans="1:25" x14ac:dyDescent="0.55000000000000004">
      <c r="A2182" t="s">
        <v>94</v>
      </c>
      <c r="B2182" t="s">
        <v>449</v>
      </c>
      <c r="C2182" t="s">
        <v>322</v>
      </c>
      <c r="D2182" t="s">
        <v>174</v>
      </c>
      <c r="E2182" t="s">
        <v>277</v>
      </c>
      <c r="F2182" t="s">
        <v>99</v>
      </c>
      <c r="G2182">
        <v>24873</v>
      </c>
      <c r="H2182" t="s">
        <v>423</v>
      </c>
      <c r="I2182">
        <v>2</v>
      </c>
      <c r="J2182" t="s">
        <v>107</v>
      </c>
      <c r="K2182" s="19">
        <v>0.29166666666666669</v>
      </c>
      <c r="L2182" s="19">
        <v>0.64583333333333337</v>
      </c>
      <c r="M2182">
        <v>8.5</v>
      </c>
      <c r="N2182">
        <v>432.88</v>
      </c>
      <c r="O2182">
        <v>76</v>
      </c>
      <c r="P2182">
        <v>76</v>
      </c>
      <c r="Q2182" t="s">
        <v>99</v>
      </c>
      <c r="R2182">
        <v>30</v>
      </c>
      <c r="S2182" s="19">
        <v>0.54166666666666663</v>
      </c>
      <c r="U2182" s="19">
        <v>0.41666666666666669</v>
      </c>
      <c r="V2182" t="s">
        <v>99</v>
      </c>
      <c r="W2182">
        <v>8</v>
      </c>
      <c r="X2182" t="s">
        <v>102</v>
      </c>
      <c r="Y2182" t="b">
        <v>0</v>
      </c>
    </row>
    <row r="2183" spans="1:25" x14ac:dyDescent="0.55000000000000004">
      <c r="A2183" t="s">
        <v>94</v>
      </c>
      <c r="B2183" t="s">
        <v>449</v>
      </c>
      <c r="C2183" t="s">
        <v>322</v>
      </c>
      <c r="D2183" t="s">
        <v>174</v>
      </c>
      <c r="E2183" t="s">
        <v>277</v>
      </c>
      <c r="F2183" t="s">
        <v>99</v>
      </c>
      <c r="G2183">
        <v>24873</v>
      </c>
      <c r="H2183" t="s">
        <v>423</v>
      </c>
      <c r="I2183">
        <v>2</v>
      </c>
      <c r="J2183" t="s">
        <v>115</v>
      </c>
      <c r="K2183" s="19">
        <v>0.29166666666666669</v>
      </c>
      <c r="L2183" s="19">
        <v>0.64583333333333337</v>
      </c>
      <c r="M2183">
        <v>8.5</v>
      </c>
      <c r="N2183">
        <v>649.32000000000005</v>
      </c>
      <c r="O2183">
        <v>76</v>
      </c>
      <c r="P2183">
        <v>76</v>
      </c>
      <c r="Q2183" t="s">
        <v>99</v>
      </c>
      <c r="R2183">
        <v>30</v>
      </c>
      <c r="S2183" s="19">
        <v>0.54166666666666663</v>
      </c>
      <c r="U2183" s="19">
        <v>0.41666666666666669</v>
      </c>
      <c r="V2183" t="s">
        <v>99</v>
      </c>
      <c r="W2183">
        <v>8</v>
      </c>
      <c r="X2183" t="s">
        <v>102</v>
      </c>
      <c r="Y2183" t="b">
        <v>0</v>
      </c>
    </row>
    <row r="2184" spans="1:25" x14ac:dyDescent="0.55000000000000004">
      <c r="A2184" t="s">
        <v>94</v>
      </c>
      <c r="B2184" t="s">
        <v>449</v>
      </c>
      <c r="C2184" t="s">
        <v>322</v>
      </c>
      <c r="D2184" t="s">
        <v>174</v>
      </c>
      <c r="E2184" t="s">
        <v>277</v>
      </c>
      <c r="F2184" t="s">
        <v>99</v>
      </c>
      <c r="G2184">
        <v>24873</v>
      </c>
      <c r="H2184" t="s">
        <v>423</v>
      </c>
      <c r="I2184">
        <v>2</v>
      </c>
      <c r="J2184" t="s">
        <v>103</v>
      </c>
      <c r="K2184" s="19">
        <v>0.29166666666666669</v>
      </c>
      <c r="L2184" s="19">
        <v>0.64583333333333337</v>
      </c>
      <c r="M2184">
        <v>8.5</v>
      </c>
      <c r="N2184">
        <v>432.88</v>
      </c>
      <c r="O2184">
        <v>76</v>
      </c>
      <c r="P2184">
        <v>76</v>
      </c>
      <c r="Q2184" t="s">
        <v>99</v>
      </c>
      <c r="R2184">
        <v>30</v>
      </c>
      <c r="S2184" s="19">
        <v>0.54166666666666663</v>
      </c>
      <c r="U2184" s="19"/>
      <c r="V2184" t="s">
        <v>99</v>
      </c>
      <c r="W2184">
        <v>8</v>
      </c>
      <c r="X2184" t="s">
        <v>102</v>
      </c>
      <c r="Y2184" t="b">
        <v>0</v>
      </c>
    </row>
    <row r="2185" spans="1:25" x14ac:dyDescent="0.55000000000000004">
      <c r="A2185" t="s">
        <v>94</v>
      </c>
      <c r="B2185" t="s">
        <v>449</v>
      </c>
      <c r="C2185" t="s">
        <v>322</v>
      </c>
      <c r="D2185" t="s">
        <v>174</v>
      </c>
      <c r="E2185" t="s">
        <v>277</v>
      </c>
      <c r="F2185" t="s">
        <v>99</v>
      </c>
      <c r="G2185">
        <v>25632</v>
      </c>
      <c r="H2185" t="s">
        <v>424</v>
      </c>
      <c r="I2185">
        <v>2</v>
      </c>
      <c r="J2185" t="s">
        <v>116</v>
      </c>
      <c r="K2185" s="19">
        <v>0.29166666666666669</v>
      </c>
      <c r="L2185" s="19">
        <v>0.64583333333333337</v>
      </c>
      <c r="M2185">
        <v>8.5</v>
      </c>
      <c r="N2185">
        <v>757.54</v>
      </c>
      <c r="O2185">
        <v>76</v>
      </c>
      <c r="P2185">
        <v>76</v>
      </c>
      <c r="Q2185" t="s">
        <v>99</v>
      </c>
      <c r="R2185">
        <v>30</v>
      </c>
      <c r="S2185" s="19">
        <v>0.5</v>
      </c>
      <c r="T2185">
        <v>0</v>
      </c>
      <c r="U2185" s="19">
        <v>0.41666666666666669</v>
      </c>
      <c r="V2185" t="s">
        <v>99</v>
      </c>
      <c r="W2185">
        <v>8</v>
      </c>
      <c r="X2185" t="s">
        <v>102</v>
      </c>
      <c r="Y2185" t="b">
        <v>0</v>
      </c>
    </row>
    <row r="2186" spans="1:25" x14ac:dyDescent="0.55000000000000004">
      <c r="A2186" t="s">
        <v>94</v>
      </c>
      <c r="B2186" t="s">
        <v>449</v>
      </c>
      <c r="C2186" t="s">
        <v>322</v>
      </c>
      <c r="D2186" t="s">
        <v>174</v>
      </c>
      <c r="E2186" t="s">
        <v>277</v>
      </c>
      <c r="F2186" t="s">
        <v>462</v>
      </c>
      <c r="G2186">
        <v>12705</v>
      </c>
      <c r="H2186" t="s">
        <v>417</v>
      </c>
      <c r="I2186">
        <v>1</v>
      </c>
      <c r="J2186" t="s">
        <v>107</v>
      </c>
      <c r="K2186" s="19">
        <v>0.3125</v>
      </c>
      <c r="L2186" s="19">
        <v>0.66666666666666663</v>
      </c>
      <c r="M2186">
        <v>8.5</v>
      </c>
      <c r="N2186">
        <v>432.88</v>
      </c>
      <c r="O2186">
        <v>48</v>
      </c>
      <c r="P2186">
        <v>76</v>
      </c>
      <c r="Q2186" t="s">
        <v>99</v>
      </c>
      <c r="R2186">
        <v>30</v>
      </c>
      <c r="S2186" s="19">
        <v>0.52083333333333337</v>
      </c>
      <c r="U2186" s="19">
        <v>0.41666666666666669</v>
      </c>
      <c r="V2186" t="s">
        <v>372</v>
      </c>
      <c r="W2186">
        <v>8</v>
      </c>
      <c r="X2186" t="s">
        <v>102</v>
      </c>
      <c r="Y2186" t="b">
        <v>0</v>
      </c>
    </row>
    <row r="2187" spans="1:25" x14ac:dyDescent="0.55000000000000004">
      <c r="A2187" t="s">
        <v>94</v>
      </c>
      <c r="B2187" t="s">
        <v>449</v>
      </c>
      <c r="C2187" t="s">
        <v>322</v>
      </c>
      <c r="D2187" t="s">
        <v>174</v>
      </c>
      <c r="E2187" t="s">
        <v>277</v>
      </c>
      <c r="F2187" t="s">
        <v>462</v>
      </c>
      <c r="G2187">
        <v>12705</v>
      </c>
      <c r="H2187" t="s">
        <v>417</v>
      </c>
      <c r="I2187">
        <v>1</v>
      </c>
      <c r="J2187" t="s">
        <v>105</v>
      </c>
      <c r="K2187" s="19">
        <v>0.3125</v>
      </c>
      <c r="L2187" s="19">
        <v>0.66666666666666663</v>
      </c>
      <c r="M2187">
        <v>8.5</v>
      </c>
      <c r="N2187">
        <v>432.88</v>
      </c>
      <c r="O2187">
        <v>48</v>
      </c>
      <c r="P2187">
        <v>76</v>
      </c>
      <c r="Q2187" t="s">
        <v>99</v>
      </c>
      <c r="R2187">
        <v>30</v>
      </c>
      <c r="S2187" s="19">
        <v>0.52083333333333337</v>
      </c>
      <c r="U2187" s="19"/>
      <c r="V2187" t="s">
        <v>372</v>
      </c>
      <c r="W2187">
        <v>8</v>
      </c>
      <c r="X2187" t="s">
        <v>102</v>
      </c>
      <c r="Y2187" t="b">
        <v>0</v>
      </c>
    </row>
    <row r="2188" spans="1:25" x14ac:dyDescent="0.55000000000000004">
      <c r="A2188" t="s">
        <v>94</v>
      </c>
      <c r="B2188" t="s">
        <v>449</v>
      </c>
      <c r="C2188" t="s">
        <v>322</v>
      </c>
      <c r="D2188" t="s">
        <v>174</v>
      </c>
      <c r="E2188" t="s">
        <v>277</v>
      </c>
      <c r="F2188" t="s">
        <v>462</v>
      </c>
      <c r="G2188">
        <v>12705</v>
      </c>
      <c r="H2188" t="s">
        <v>417</v>
      </c>
      <c r="I2188">
        <v>2</v>
      </c>
      <c r="J2188" t="s">
        <v>107</v>
      </c>
      <c r="K2188" s="19">
        <v>0.3125</v>
      </c>
      <c r="L2188" s="19">
        <v>0.66666666666666663</v>
      </c>
      <c r="M2188">
        <v>8.5</v>
      </c>
      <c r="N2188">
        <v>432.88</v>
      </c>
      <c r="O2188">
        <v>48</v>
      </c>
      <c r="P2188">
        <v>76</v>
      </c>
      <c r="Q2188" t="s">
        <v>99</v>
      </c>
      <c r="R2188">
        <v>30</v>
      </c>
      <c r="S2188" s="19">
        <v>0.52083333333333337</v>
      </c>
      <c r="U2188" s="19"/>
      <c r="V2188" t="s">
        <v>372</v>
      </c>
      <c r="W2188">
        <v>8</v>
      </c>
      <c r="X2188" t="s">
        <v>102</v>
      </c>
      <c r="Y2188" t="b">
        <v>0</v>
      </c>
    </row>
    <row r="2189" spans="1:25" x14ac:dyDescent="0.55000000000000004">
      <c r="A2189" t="s">
        <v>94</v>
      </c>
      <c r="B2189" t="s">
        <v>449</v>
      </c>
      <c r="C2189" t="s">
        <v>322</v>
      </c>
      <c r="D2189" t="s">
        <v>174</v>
      </c>
      <c r="E2189" t="s">
        <v>277</v>
      </c>
      <c r="F2189" t="s">
        <v>462</v>
      </c>
      <c r="G2189">
        <v>12705</v>
      </c>
      <c r="H2189" t="s">
        <v>417</v>
      </c>
      <c r="I2189">
        <v>2</v>
      </c>
      <c r="J2189" t="s">
        <v>105</v>
      </c>
      <c r="K2189" s="19">
        <v>0.3125</v>
      </c>
      <c r="L2189" s="19">
        <v>0.66666666666666663</v>
      </c>
      <c r="M2189">
        <v>8.5</v>
      </c>
      <c r="N2189">
        <v>432.88</v>
      </c>
      <c r="O2189">
        <v>48</v>
      </c>
      <c r="P2189">
        <v>76</v>
      </c>
      <c r="Q2189" t="s">
        <v>99</v>
      </c>
      <c r="R2189">
        <v>30</v>
      </c>
      <c r="S2189" s="19">
        <v>0.52083333333333337</v>
      </c>
      <c r="U2189" s="19">
        <v>0.41666666666666669</v>
      </c>
      <c r="V2189" t="s">
        <v>372</v>
      </c>
      <c r="W2189">
        <v>8</v>
      </c>
      <c r="X2189" t="s">
        <v>102</v>
      </c>
      <c r="Y2189" t="b">
        <v>0</v>
      </c>
    </row>
    <row r="2190" spans="1:25" x14ac:dyDescent="0.55000000000000004">
      <c r="A2190" t="s">
        <v>94</v>
      </c>
      <c r="B2190" t="s">
        <v>449</v>
      </c>
      <c r="C2190" t="s">
        <v>322</v>
      </c>
      <c r="D2190" t="s">
        <v>174</v>
      </c>
      <c r="E2190" t="s">
        <v>463</v>
      </c>
      <c r="F2190" t="s">
        <v>99</v>
      </c>
      <c r="H2190" t="s">
        <v>99</v>
      </c>
      <c r="I2190">
        <v>1</v>
      </c>
      <c r="J2190" t="s">
        <v>101</v>
      </c>
      <c r="K2190" s="19">
        <v>0.94791666666666663</v>
      </c>
      <c r="L2190" s="19">
        <v>0.30208333333333331</v>
      </c>
      <c r="M2190">
        <v>8.5</v>
      </c>
      <c r="N2190">
        <v>470.95</v>
      </c>
      <c r="O2190">
        <v>0</v>
      </c>
      <c r="P2190">
        <v>0</v>
      </c>
      <c r="Q2190" t="s">
        <v>99</v>
      </c>
      <c r="R2190">
        <v>30</v>
      </c>
      <c r="S2190" s="19">
        <v>0</v>
      </c>
      <c r="T2190">
        <v>0</v>
      </c>
      <c r="U2190" s="19"/>
      <c r="V2190" t="s">
        <v>99</v>
      </c>
      <c r="W2190">
        <v>8</v>
      </c>
      <c r="X2190" t="s">
        <v>102</v>
      </c>
      <c r="Y2190" t="b">
        <v>0</v>
      </c>
    </row>
    <row r="2191" spans="1:25" x14ac:dyDescent="0.55000000000000004">
      <c r="A2191" t="s">
        <v>94</v>
      </c>
      <c r="B2191" t="s">
        <v>449</v>
      </c>
      <c r="C2191" t="s">
        <v>322</v>
      </c>
      <c r="D2191" t="s">
        <v>174</v>
      </c>
      <c r="E2191" t="s">
        <v>463</v>
      </c>
      <c r="F2191" t="s">
        <v>99</v>
      </c>
      <c r="H2191" t="s">
        <v>99</v>
      </c>
      <c r="I2191">
        <v>1</v>
      </c>
      <c r="J2191" t="s">
        <v>103</v>
      </c>
      <c r="K2191" s="19">
        <v>0.94791666666666663</v>
      </c>
      <c r="L2191" s="19">
        <v>0.30208333333333331</v>
      </c>
      <c r="M2191">
        <v>8.5</v>
      </c>
      <c r="N2191">
        <v>470.95</v>
      </c>
      <c r="O2191">
        <v>0</v>
      </c>
      <c r="P2191">
        <v>0</v>
      </c>
      <c r="Q2191" t="s">
        <v>99</v>
      </c>
      <c r="R2191">
        <v>30</v>
      </c>
      <c r="S2191" s="19">
        <v>0</v>
      </c>
      <c r="T2191">
        <v>0</v>
      </c>
      <c r="U2191" s="19">
        <v>0.41666666666666669</v>
      </c>
      <c r="V2191" t="s">
        <v>99</v>
      </c>
      <c r="W2191">
        <v>8</v>
      </c>
      <c r="X2191" t="s">
        <v>102</v>
      </c>
      <c r="Y2191" t="b">
        <v>0</v>
      </c>
    </row>
    <row r="2192" spans="1:25" x14ac:dyDescent="0.55000000000000004">
      <c r="A2192" t="s">
        <v>94</v>
      </c>
      <c r="B2192" t="s">
        <v>449</v>
      </c>
      <c r="C2192" t="s">
        <v>322</v>
      </c>
      <c r="D2192" t="s">
        <v>174</v>
      </c>
      <c r="E2192" t="s">
        <v>463</v>
      </c>
      <c r="F2192" t="s">
        <v>99</v>
      </c>
      <c r="H2192" t="s">
        <v>99</v>
      </c>
      <c r="I2192">
        <v>1</v>
      </c>
      <c r="J2192" t="s">
        <v>104</v>
      </c>
      <c r="K2192" s="19">
        <v>0.94791666666666663</v>
      </c>
      <c r="L2192" s="19">
        <v>0.30208333333333331</v>
      </c>
      <c r="M2192">
        <v>8.5</v>
      </c>
      <c r="N2192">
        <v>470.95</v>
      </c>
      <c r="O2192">
        <v>0</v>
      </c>
      <c r="P2192">
        <v>0</v>
      </c>
      <c r="Q2192" t="s">
        <v>99</v>
      </c>
      <c r="R2192">
        <v>30</v>
      </c>
      <c r="S2192" s="19">
        <v>0</v>
      </c>
      <c r="T2192">
        <v>0</v>
      </c>
      <c r="U2192" s="19">
        <v>0.41666666666666669</v>
      </c>
      <c r="V2192" t="s">
        <v>99</v>
      </c>
      <c r="W2192">
        <v>8</v>
      </c>
      <c r="X2192" t="s">
        <v>102</v>
      </c>
      <c r="Y2192" t="b">
        <v>0</v>
      </c>
    </row>
    <row r="2193" spans="1:25" x14ac:dyDescent="0.55000000000000004">
      <c r="A2193" t="s">
        <v>94</v>
      </c>
      <c r="B2193" t="s">
        <v>449</v>
      </c>
      <c r="C2193" t="s">
        <v>322</v>
      </c>
      <c r="D2193" t="s">
        <v>174</v>
      </c>
      <c r="E2193" t="s">
        <v>463</v>
      </c>
      <c r="F2193" t="s">
        <v>99</v>
      </c>
      <c r="H2193" t="s">
        <v>99</v>
      </c>
      <c r="I2193">
        <v>2</v>
      </c>
      <c r="J2193" t="s">
        <v>101</v>
      </c>
      <c r="K2193" s="19">
        <v>0.94791666666666663</v>
      </c>
      <c r="L2193" s="19">
        <v>0.30208333333333331</v>
      </c>
      <c r="M2193">
        <v>8.5</v>
      </c>
      <c r="N2193">
        <v>470.95</v>
      </c>
      <c r="O2193">
        <v>0</v>
      </c>
      <c r="P2193">
        <v>0</v>
      </c>
      <c r="Q2193" t="s">
        <v>99</v>
      </c>
      <c r="R2193">
        <v>30</v>
      </c>
      <c r="S2193" s="19">
        <v>0</v>
      </c>
      <c r="T2193">
        <v>0</v>
      </c>
      <c r="U2193" s="19"/>
      <c r="V2193" t="s">
        <v>99</v>
      </c>
      <c r="W2193">
        <v>8</v>
      </c>
      <c r="X2193" t="s">
        <v>102</v>
      </c>
      <c r="Y2193" t="b">
        <v>0</v>
      </c>
    </row>
    <row r="2194" spans="1:25" x14ac:dyDescent="0.55000000000000004">
      <c r="A2194" t="s">
        <v>94</v>
      </c>
      <c r="B2194" t="s">
        <v>449</v>
      </c>
      <c r="C2194" t="s">
        <v>322</v>
      </c>
      <c r="D2194" t="s">
        <v>174</v>
      </c>
      <c r="E2194" t="s">
        <v>463</v>
      </c>
      <c r="F2194" t="s">
        <v>99</v>
      </c>
      <c r="H2194" t="s">
        <v>99</v>
      </c>
      <c r="I2194">
        <v>2</v>
      </c>
      <c r="J2194" t="s">
        <v>103</v>
      </c>
      <c r="K2194" s="19">
        <v>0.94791666666666663</v>
      </c>
      <c r="L2194" s="19">
        <v>0.30208333333333331</v>
      </c>
      <c r="M2194">
        <v>8.5</v>
      </c>
      <c r="N2194">
        <v>470.95</v>
      </c>
      <c r="O2194">
        <v>0</v>
      </c>
      <c r="P2194">
        <v>0</v>
      </c>
      <c r="Q2194" t="s">
        <v>99</v>
      </c>
      <c r="R2194">
        <v>30</v>
      </c>
      <c r="S2194" s="19">
        <v>0</v>
      </c>
      <c r="T2194">
        <v>0</v>
      </c>
      <c r="U2194" s="19">
        <v>0.41666666666666669</v>
      </c>
      <c r="V2194" t="s">
        <v>99</v>
      </c>
      <c r="W2194">
        <v>8</v>
      </c>
      <c r="X2194" t="s">
        <v>102</v>
      </c>
      <c r="Y2194" t="b">
        <v>0</v>
      </c>
    </row>
    <row r="2195" spans="1:25" x14ac:dyDescent="0.55000000000000004">
      <c r="A2195" t="s">
        <v>94</v>
      </c>
      <c r="B2195" t="s">
        <v>449</v>
      </c>
      <c r="C2195" t="s">
        <v>322</v>
      </c>
      <c r="D2195" t="s">
        <v>174</v>
      </c>
      <c r="E2195" t="s">
        <v>463</v>
      </c>
      <c r="F2195" t="s">
        <v>99</v>
      </c>
      <c r="H2195" t="s">
        <v>99</v>
      </c>
      <c r="I2195">
        <v>2</v>
      </c>
      <c r="J2195" t="s">
        <v>104</v>
      </c>
      <c r="K2195" s="19">
        <v>0.94791666666666663</v>
      </c>
      <c r="L2195" s="19">
        <v>0.30208333333333331</v>
      </c>
      <c r="M2195">
        <v>8.5</v>
      </c>
      <c r="N2195">
        <v>470.95</v>
      </c>
      <c r="O2195">
        <v>0</v>
      </c>
      <c r="P2195">
        <v>0</v>
      </c>
      <c r="Q2195" t="s">
        <v>99</v>
      </c>
      <c r="R2195">
        <v>30</v>
      </c>
      <c r="S2195" s="19">
        <v>0</v>
      </c>
      <c r="T2195">
        <v>0</v>
      </c>
      <c r="U2195" s="19">
        <v>0.41666666666666669</v>
      </c>
      <c r="V2195" t="s">
        <v>99</v>
      </c>
      <c r="W2195">
        <v>8</v>
      </c>
      <c r="X2195" t="s">
        <v>102</v>
      </c>
      <c r="Y2195" t="b">
        <v>0</v>
      </c>
    </row>
    <row r="2196" spans="1:25" x14ac:dyDescent="0.55000000000000004">
      <c r="A2196" t="s">
        <v>94</v>
      </c>
      <c r="B2196" t="s">
        <v>449</v>
      </c>
      <c r="C2196" t="s">
        <v>322</v>
      </c>
      <c r="D2196" t="s">
        <v>174</v>
      </c>
      <c r="E2196" t="s">
        <v>463</v>
      </c>
      <c r="F2196" t="s">
        <v>99</v>
      </c>
      <c r="H2196" t="s">
        <v>99</v>
      </c>
      <c r="I2196">
        <v>2</v>
      </c>
      <c r="J2196" t="s">
        <v>105</v>
      </c>
      <c r="K2196" s="19">
        <v>0.94791666666666663</v>
      </c>
      <c r="L2196" s="19">
        <v>0.30208333333333331</v>
      </c>
      <c r="M2196">
        <v>8.5</v>
      </c>
      <c r="N2196">
        <v>470.95</v>
      </c>
      <c r="O2196">
        <v>0</v>
      </c>
      <c r="P2196">
        <v>0</v>
      </c>
      <c r="Q2196" t="s">
        <v>99</v>
      </c>
      <c r="R2196">
        <v>30</v>
      </c>
      <c r="S2196" s="19">
        <v>0</v>
      </c>
      <c r="T2196">
        <v>0</v>
      </c>
      <c r="U2196" s="19">
        <v>0.41666666666666669</v>
      </c>
      <c r="V2196" t="s">
        <v>99</v>
      </c>
      <c r="W2196">
        <v>8</v>
      </c>
      <c r="X2196" t="s">
        <v>102</v>
      </c>
      <c r="Y2196" t="b">
        <v>0</v>
      </c>
    </row>
    <row r="2197" spans="1:25" x14ac:dyDescent="0.55000000000000004">
      <c r="A2197" t="s">
        <v>94</v>
      </c>
      <c r="B2197" t="s">
        <v>449</v>
      </c>
      <c r="C2197" t="s">
        <v>322</v>
      </c>
      <c r="D2197" t="s">
        <v>174</v>
      </c>
      <c r="E2197" t="s">
        <v>463</v>
      </c>
      <c r="F2197" t="s">
        <v>99</v>
      </c>
      <c r="G2197">
        <v>24468</v>
      </c>
      <c r="H2197" t="s">
        <v>425</v>
      </c>
      <c r="I2197">
        <v>2</v>
      </c>
      <c r="J2197" t="s">
        <v>107</v>
      </c>
      <c r="K2197" s="19">
        <v>0.94791666666666663</v>
      </c>
      <c r="L2197" s="19">
        <v>0.30208333333333331</v>
      </c>
      <c r="M2197">
        <v>8.5</v>
      </c>
      <c r="N2197">
        <v>625.65</v>
      </c>
      <c r="O2197">
        <v>76</v>
      </c>
      <c r="P2197">
        <v>76</v>
      </c>
      <c r="Q2197" t="s">
        <v>99</v>
      </c>
      <c r="R2197">
        <v>30</v>
      </c>
      <c r="S2197" s="19">
        <v>0</v>
      </c>
      <c r="T2197">
        <v>0</v>
      </c>
      <c r="U2197" s="19">
        <v>0.41666666666666669</v>
      </c>
      <c r="V2197" t="s">
        <v>99</v>
      </c>
      <c r="W2197">
        <v>8</v>
      </c>
      <c r="X2197" t="s">
        <v>102</v>
      </c>
      <c r="Y2197" t="b">
        <v>0</v>
      </c>
    </row>
    <row r="2198" spans="1:25" x14ac:dyDescent="0.55000000000000004">
      <c r="A2198" t="s">
        <v>94</v>
      </c>
      <c r="B2198" t="s">
        <v>449</v>
      </c>
      <c r="C2198" t="s">
        <v>322</v>
      </c>
      <c r="D2198" t="s">
        <v>174</v>
      </c>
      <c r="E2198" t="s">
        <v>463</v>
      </c>
      <c r="F2198" t="s">
        <v>99</v>
      </c>
      <c r="G2198">
        <v>24468</v>
      </c>
      <c r="H2198" t="s">
        <v>425</v>
      </c>
      <c r="I2198">
        <v>2</v>
      </c>
      <c r="J2198" t="s">
        <v>115</v>
      </c>
      <c r="K2198" s="19">
        <v>0.94791666666666663</v>
      </c>
      <c r="L2198" s="19">
        <v>0.30208333333333331</v>
      </c>
      <c r="M2198">
        <v>8.5</v>
      </c>
      <c r="N2198">
        <v>740.63</v>
      </c>
      <c r="O2198">
        <v>76</v>
      </c>
      <c r="P2198">
        <v>76</v>
      </c>
      <c r="Q2198" t="s">
        <v>99</v>
      </c>
      <c r="R2198">
        <v>30</v>
      </c>
      <c r="S2198" s="19">
        <v>0.125</v>
      </c>
      <c r="T2198">
        <v>0</v>
      </c>
      <c r="U2198" s="19"/>
      <c r="V2198" t="s">
        <v>464</v>
      </c>
      <c r="W2198">
        <v>8</v>
      </c>
      <c r="X2198" t="s">
        <v>102</v>
      </c>
      <c r="Y2198" t="b">
        <v>0</v>
      </c>
    </row>
    <row r="2199" spans="1:25" x14ac:dyDescent="0.55000000000000004">
      <c r="A2199" t="s">
        <v>94</v>
      </c>
      <c r="B2199" t="s">
        <v>449</v>
      </c>
      <c r="C2199" t="s">
        <v>322</v>
      </c>
      <c r="D2199" t="s">
        <v>174</v>
      </c>
      <c r="E2199" t="s">
        <v>463</v>
      </c>
      <c r="F2199" t="s">
        <v>99</v>
      </c>
      <c r="G2199">
        <v>24484</v>
      </c>
      <c r="H2199" t="s">
        <v>426</v>
      </c>
      <c r="I2199">
        <v>1</v>
      </c>
      <c r="J2199" t="s">
        <v>105</v>
      </c>
      <c r="K2199" s="19">
        <v>0.94791666666666663</v>
      </c>
      <c r="L2199" s="19">
        <v>0.30208333333333331</v>
      </c>
      <c r="M2199">
        <v>8.5</v>
      </c>
      <c r="N2199">
        <v>497.81</v>
      </c>
      <c r="O2199">
        <v>76</v>
      </c>
      <c r="P2199">
        <v>76</v>
      </c>
      <c r="Q2199" t="s">
        <v>99</v>
      </c>
      <c r="R2199">
        <v>30</v>
      </c>
      <c r="S2199" s="19">
        <v>0</v>
      </c>
      <c r="T2199">
        <v>0</v>
      </c>
      <c r="U2199" s="19">
        <v>0.41666666666666669</v>
      </c>
      <c r="V2199" t="s">
        <v>99</v>
      </c>
      <c r="W2199">
        <v>8</v>
      </c>
      <c r="X2199" t="s">
        <v>102</v>
      </c>
      <c r="Y2199" t="b">
        <v>0</v>
      </c>
    </row>
    <row r="2200" spans="1:25" x14ac:dyDescent="0.55000000000000004">
      <c r="A2200" t="s">
        <v>94</v>
      </c>
      <c r="B2200" t="s">
        <v>449</v>
      </c>
      <c r="C2200" t="s">
        <v>322</v>
      </c>
      <c r="D2200" t="s">
        <v>174</v>
      </c>
      <c r="E2200" t="s">
        <v>463</v>
      </c>
      <c r="F2200" t="s">
        <v>99</v>
      </c>
      <c r="G2200">
        <v>24873</v>
      </c>
      <c r="H2200" t="s">
        <v>423</v>
      </c>
      <c r="I2200">
        <v>2</v>
      </c>
      <c r="J2200" t="s">
        <v>116</v>
      </c>
      <c r="K2200" s="19">
        <v>0.94791666666666663</v>
      </c>
      <c r="L2200" s="19">
        <v>0.30208333333333331</v>
      </c>
      <c r="M2200">
        <v>8.5</v>
      </c>
      <c r="N2200">
        <v>538.39</v>
      </c>
      <c r="O2200">
        <v>76</v>
      </c>
      <c r="P2200">
        <v>76</v>
      </c>
      <c r="Q2200" t="s">
        <v>99</v>
      </c>
      <c r="R2200">
        <v>30</v>
      </c>
      <c r="S2200" s="19">
        <v>0</v>
      </c>
      <c r="T2200">
        <v>0</v>
      </c>
      <c r="U2200" s="19"/>
      <c r="V2200" t="s">
        <v>99</v>
      </c>
      <c r="W2200">
        <v>8</v>
      </c>
      <c r="X2200" t="s">
        <v>102</v>
      </c>
      <c r="Y2200" t="b">
        <v>0</v>
      </c>
    </row>
    <row r="2201" spans="1:25" x14ac:dyDescent="0.55000000000000004">
      <c r="A2201" t="s">
        <v>94</v>
      </c>
      <c r="B2201" t="s">
        <v>449</v>
      </c>
      <c r="C2201" t="s">
        <v>322</v>
      </c>
      <c r="D2201" t="s">
        <v>174</v>
      </c>
      <c r="E2201" t="s">
        <v>463</v>
      </c>
      <c r="F2201" t="s">
        <v>99</v>
      </c>
      <c r="G2201">
        <v>25632</v>
      </c>
      <c r="H2201" t="s">
        <v>424</v>
      </c>
      <c r="I2201">
        <v>1</v>
      </c>
      <c r="J2201" t="s">
        <v>107</v>
      </c>
      <c r="K2201" s="19">
        <v>0.94791666666666663</v>
      </c>
      <c r="L2201" s="19">
        <v>0.30208333333333331</v>
      </c>
      <c r="M2201">
        <v>8.5</v>
      </c>
      <c r="N2201">
        <v>625.65</v>
      </c>
      <c r="O2201">
        <v>76</v>
      </c>
      <c r="P2201">
        <v>76</v>
      </c>
      <c r="Q2201" t="s">
        <v>99</v>
      </c>
      <c r="R2201">
        <v>30</v>
      </c>
      <c r="S2201" s="19">
        <v>0</v>
      </c>
      <c r="T2201">
        <v>0</v>
      </c>
      <c r="U2201" s="19">
        <v>0.41666666666666669</v>
      </c>
      <c r="V2201" t="s">
        <v>99</v>
      </c>
      <c r="W2201">
        <v>8</v>
      </c>
      <c r="X2201" t="s">
        <v>102</v>
      </c>
      <c r="Y2201" t="b">
        <v>0</v>
      </c>
    </row>
    <row r="2202" spans="1:25" x14ac:dyDescent="0.55000000000000004">
      <c r="A2202" t="s">
        <v>94</v>
      </c>
      <c r="B2202" t="s">
        <v>449</v>
      </c>
      <c r="C2202" t="s">
        <v>322</v>
      </c>
      <c r="D2202" t="s">
        <v>174</v>
      </c>
      <c r="E2202" t="s">
        <v>463</v>
      </c>
      <c r="F2202" t="s">
        <v>99</v>
      </c>
      <c r="G2202">
        <v>25632</v>
      </c>
      <c r="H2202" t="s">
        <v>424</v>
      </c>
      <c r="I2202">
        <v>1</v>
      </c>
      <c r="J2202" t="s">
        <v>115</v>
      </c>
      <c r="K2202" s="19">
        <v>0.94791666666666663</v>
      </c>
      <c r="L2202" s="19">
        <v>0.30208333333333331</v>
      </c>
      <c r="M2202">
        <v>8.5</v>
      </c>
      <c r="N2202">
        <v>740.63</v>
      </c>
      <c r="O2202">
        <v>76</v>
      </c>
      <c r="P2202">
        <v>76</v>
      </c>
      <c r="Q2202" t="s">
        <v>99</v>
      </c>
      <c r="R2202">
        <v>30</v>
      </c>
      <c r="S2202" s="19">
        <v>0</v>
      </c>
      <c r="T2202">
        <v>0</v>
      </c>
      <c r="U2202" s="19"/>
      <c r="V2202" t="s">
        <v>99</v>
      </c>
      <c r="W2202">
        <v>8</v>
      </c>
      <c r="X2202" t="s">
        <v>102</v>
      </c>
      <c r="Y2202" t="b">
        <v>0</v>
      </c>
    </row>
    <row r="2203" spans="1:25" x14ac:dyDescent="0.55000000000000004">
      <c r="A2203" t="s">
        <v>94</v>
      </c>
      <c r="B2203" t="s">
        <v>449</v>
      </c>
      <c r="C2203" t="s">
        <v>322</v>
      </c>
      <c r="D2203" t="s">
        <v>174</v>
      </c>
      <c r="E2203" t="s">
        <v>463</v>
      </c>
      <c r="F2203" t="s">
        <v>99</v>
      </c>
      <c r="G2203">
        <v>25632</v>
      </c>
      <c r="H2203" t="s">
        <v>424</v>
      </c>
      <c r="I2203">
        <v>1</v>
      </c>
      <c r="J2203" t="s">
        <v>116</v>
      </c>
      <c r="K2203" s="19">
        <v>0.94791666666666663</v>
      </c>
      <c r="L2203" s="19">
        <v>0.30208333333333331</v>
      </c>
      <c r="M2203">
        <v>8.5</v>
      </c>
      <c r="N2203">
        <v>538.39</v>
      </c>
      <c r="O2203">
        <v>76</v>
      </c>
      <c r="P2203">
        <v>76</v>
      </c>
      <c r="Q2203" t="s">
        <v>99</v>
      </c>
      <c r="R2203">
        <v>30</v>
      </c>
      <c r="S2203" s="19">
        <v>0</v>
      </c>
      <c r="T2203">
        <v>0</v>
      </c>
      <c r="U2203" s="19">
        <v>0.41666666666666669</v>
      </c>
      <c r="V2203" t="s">
        <v>99</v>
      </c>
      <c r="W2203">
        <v>8</v>
      </c>
      <c r="X2203" t="s">
        <v>102</v>
      </c>
      <c r="Y2203" t="b">
        <v>0</v>
      </c>
    </row>
    <row r="2204" spans="1:25" x14ac:dyDescent="0.55000000000000004">
      <c r="A2204" t="s">
        <v>94</v>
      </c>
      <c r="B2204" t="s">
        <v>449</v>
      </c>
      <c r="C2204" t="s">
        <v>322</v>
      </c>
      <c r="D2204" t="s">
        <v>174</v>
      </c>
      <c r="E2204" t="s">
        <v>286</v>
      </c>
      <c r="F2204" t="s">
        <v>99</v>
      </c>
      <c r="H2204" t="s">
        <v>99</v>
      </c>
      <c r="I2204">
        <v>1</v>
      </c>
      <c r="J2204" t="s">
        <v>107</v>
      </c>
      <c r="K2204" s="19">
        <v>0.60416666666666663</v>
      </c>
      <c r="L2204" s="19">
        <v>0.95833333333333337</v>
      </c>
      <c r="M2204">
        <v>8.5</v>
      </c>
      <c r="N2204">
        <v>460.71</v>
      </c>
      <c r="O2204">
        <v>0</v>
      </c>
      <c r="P2204">
        <v>0</v>
      </c>
      <c r="Q2204" t="s">
        <v>99</v>
      </c>
      <c r="R2204">
        <v>30</v>
      </c>
      <c r="S2204" s="19">
        <v>0.8125</v>
      </c>
      <c r="U2204" s="19"/>
      <c r="V2204" t="s">
        <v>99</v>
      </c>
      <c r="W2204">
        <v>8</v>
      </c>
      <c r="X2204" t="s">
        <v>102</v>
      </c>
      <c r="Y2204" t="b">
        <v>0</v>
      </c>
    </row>
    <row r="2205" spans="1:25" x14ac:dyDescent="0.55000000000000004">
      <c r="A2205" t="s">
        <v>94</v>
      </c>
      <c r="B2205" t="s">
        <v>449</v>
      </c>
      <c r="C2205" t="s">
        <v>322</v>
      </c>
      <c r="D2205" t="s">
        <v>174</v>
      </c>
      <c r="E2205" t="s">
        <v>286</v>
      </c>
      <c r="F2205" t="s">
        <v>99</v>
      </c>
      <c r="H2205" t="s">
        <v>99</v>
      </c>
      <c r="I2205">
        <v>1</v>
      </c>
      <c r="J2205" t="s">
        <v>103</v>
      </c>
      <c r="K2205" s="19">
        <v>0.60416666666666663</v>
      </c>
      <c r="L2205" s="19">
        <v>0.95833333333333337</v>
      </c>
      <c r="M2205">
        <v>8.5</v>
      </c>
      <c r="N2205">
        <v>460.71</v>
      </c>
      <c r="O2205">
        <v>0</v>
      </c>
      <c r="P2205">
        <v>0</v>
      </c>
      <c r="Q2205" t="s">
        <v>99</v>
      </c>
      <c r="R2205">
        <v>30</v>
      </c>
      <c r="S2205" s="19">
        <v>0.8125</v>
      </c>
      <c r="T2205">
        <v>0</v>
      </c>
      <c r="U2205" s="19">
        <v>0.41666666666666669</v>
      </c>
      <c r="V2205" t="s">
        <v>99</v>
      </c>
      <c r="W2205">
        <v>8</v>
      </c>
      <c r="X2205" t="s">
        <v>102</v>
      </c>
      <c r="Y2205" t="b">
        <v>0</v>
      </c>
    </row>
    <row r="2206" spans="1:25" x14ac:dyDescent="0.55000000000000004">
      <c r="A2206" t="s">
        <v>94</v>
      </c>
      <c r="B2206" t="s">
        <v>449</v>
      </c>
      <c r="C2206" t="s">
        <v>322</v>
      </c>
      <c r="D2206" t="s">
        <v>174</v>
      </c>
      <c r="E2206" t="s">
        <v>286</v>
      </c>
      <c r="F2206" t="s">
        <v>99</v>
      </c>
      <c r="H2206" t="s">
        <v>99</v>
      </c>
      <c r="I2206">
        <v>2</v>
      </c>
      <c r="J2206" t="s">
        <v>116</v>
      </c>
      <c r="K2206" s="19">
        <v>0.60416666666666663</v>
      </c>
      <c r="L2206" s="19">
        <v>0.95833333333333337</v>
      </c>
      <c r="M2206">
        <v>8.5</v>
      </c>
      <c r="N2206">
        <v>716.66</v>
      </c>
      <c r="O2206">
        <v>0</v>
      </c>
      <c r="P2206">
        <v>0</v>
      </c>
      <c r="Q2206" t="s">
        <v>99</v>
      </c>
      <c r="R2206">
        <v>30</v>
      </c>
      <c r="S2206" s="19">
        <v>0.8125</v>
      </c>
      <c r="U2206" s="19"/>
      <c r="V2206" t="s">
        <v>99</v>
      </c>
      <c r="W2206">
        <v>8</v>
      </c>
      <c r="X2206" t="s">
        <v>102</v>
      </c>
      <c r="Y2206" t="b">
        <v>0</v>
      </c>
    </row>
    <row r="2207" spans="1:25" x14ac:dyDescent="0.55000000000000004">
      <c r="A2207" t="s">
        <v>94</v>
      </c>
      <c r="B2207" t="s">
        <v>449</v>
      </c>
      <c r="C2207" t="s">
        <v>322</v>
      </c>
      <c r="D2207" t="s">
        <v>174</v>
      </c>
      <c r="E2207" t="s">
        <v>286</v>
      </c>
      <c r="F2207" t="s">
        <v>99</v>
      </c>
      <c r="H2207" t="s">
        <v>99</v>
      </c>
      <c r="I2207">
        <v>2</v>
      </c>
      <c r="J2207" t="s">
        <v>104</v>
      </c>
      <c r="K2207" s="19">
        <v>0.60416666666666663</v>
      </c>
      <c r="L2207" s="19">
        <v>0.95833333333333337</v>
      </c>
      <c r="M2207">
        <v>8.5</v>
      </c>
      <c r="N2207">
        <v>460.71</v>
      </c>
      <c r="O2207">
        <v>0</v>
      </c>
      <c r="P2207">
        <v>0</v>
      </c>
      <c r="Q2207" t="s">
        <v>99</v>
      </c>
      <c r="R2207">
        <v>30</v>
      </c>
      <c r="S2207" s="19">
        <v>0.8125</v>
      </c>
      <c r="T2207">
        <v>0</v>
      </c>
      <c r="U2207" s="19">
        <v>0.41666666666666669</v>
      </c>
      <c r="V2207" t="s">
        <v>99</v>
      </c>
      <c r="W2207">
        <v>8</v>
      </c>
      <c r="X2207" t="s">
        <v>102</v>
      </c>
      <c r="Y2207" t="b">
        <v>0</v>
      </c>
    </row>
    <row r="2208" spans="1:25" x14ac:dyDescent="0.55000000000000004">
      <c r="A2208" t="s">
        <v>94</v>
      </c>
      <c r="B2208" t="s">
        <v>449</v>
      </c>
      <c r="C2208" t="s">
        <v>322</v>
      </c>
      <c r="D2208" t="s">
        <v>174</v>
      </c>
      <c r="E2208" t="s">
        <v>286</v>
      </c>
      <c r="F2208" t="s">
        <v>99</v>
      </c>
      <c r="G2208">
        <v>24411</v>
      </c>
      <c r="H2208" t="s">
        <v>419</v>
      </c>
      <c r="I2208">
        <v>1</v>
      </c>
      <c r="J2208" t="s">
        <v>105</v>
      </c>
      <c r="K2208" s="19">
        <v>0.60416666666666663</v>
      </c>
      <c r="L2208" s="19">
        <v>0.95833333333333337</v>
      </c>
      <c r="M2208">
        <v>8.5</v>
      </c>
      <c r="N2208">
        <v>460.71</v>
      </c>
      <c r="O2208">
        <v>76</v>
      </c>
      <c r="P2208">
        <v>76</v>
      </c>
      <c r="Q2208" t="s">
        <v>99</v>
      </c>
      <c r="R2208">
        <v>30</v>
      </c>
      <c r="S2208" s="19">
        <v>0.8125</v>
      </c>
      <c r="T2208">
        <v>0</v>
      </c>
      <c r="U2208" s="19">
        <v>0.41666666666666669</v>
      </c>
      <c r="V2208" t="s">
        <v>99</v>
      </c>
      <c r="W2208">
        <v>8</v>
      </c>
      <c r="X2208" t="s">
        <v>102</v>
      </c>
      <c r="Y2208" t="b">
        <v>0</v>
      </c>
    </row>
    <row r="2209" spans="1:25" x14ac:dyDescent="0.55000000000000004">
      <c r="A2209" t="s">
        <v>94</v>
      </c>
      <c r="B2209" t="s">
        <v>449</v>
      </c>
      <c r="C2209" t="s">
        <v>322</v>
      </c>
      <c r="D2209" t="s">
        <v>174</v>
      </c>
      <c r="E2209" t="s">
        <v>286</v>
      </c>
      <c r="F2209" t="s">
        <v>99</v>
      </c>
      <c r="G2209">
        <v>24411</v>
      </c>
      <c r="H2209" t="s">
        <v>419</v>
      </c>
      <c r="I2209">
        <v>2</v>
      </c>
      <c r="J2209" t="s">
        <v>107</v>
      </c>
      <c r="K2209" s="19">
        <v>0.60416666666666663</v>
      </c>
      <c r="L2209" s="19">
        <v>0.95833333333333337</v>
      </c>
      <c r="M2209">
        <v>8.5</v>
      </c>
      <c r="N2209">
        <v>460.71</v>
      </c>
      <c r="O2209">
        <v>76</v>
      </c>
      <c r="P2209">
        <v>76</v>
      </c>
      <c r="Q2209" t="s">
        <v>99</v>
      </c>
      <c r="R2209">
        <v>30</v>
      </c>
      <c r="S2209" s="19">
        <v>0.8125</v>
      </c>
      <c r="T2209">
        <v>0</v>
      </c>
      <c r="U2209" s="19">
        <v>0.41666666666666669</v>
      </c>
      <c r="V2209" t="s">
        <v>99</v>
      </c>
      <c r="W2209">
        <v>8</v>
      </c>
      <c r="X2209" t="s">
        <v>102</v>
      </c>
      <c r="Y2209" t="b">
        <v>0</v>
      </c>
    </row>
    <row r="2210" spans="1:25" x14ac:dyDescent="0.55000000000000004">
      <c r="A2210" t="s">
        <v>94</v>
      </c>
      <c r="B2210" t="s">
        <v>449</v>
      </c>
      <c r="C2210" t="s">
        <v>322</v>
      </c>
      <c r="D2210" t="s">
        <v>174</v>
      </c>
      <c r="E2210" t="s">
        <v>286</v>
      </c>
      <c r="F2210" t="s">
        <v>99</v>
      </c>
      <c r="G2210">
        <v>24411</v>
      </c>
      <c r="H2210" t="s">
        <v>419</v>
      </c>
      <c r="I2210">
        <v>2</v>
      </c>
      <c r="J2210" t="s">
        <v>115</v>
      </c>
      <c r="K2210" s="19">
        <v>0.60416666666666663</v>
      </c>
      <c r="L2210" s="19">
        <v>0.95833333333333337</v>
      </c>
      <c r="M2210">
        <v>8.5</v>
      </c>
      <c r="N2210">
        <v>614.28</v>
      </c>
      <c r="O2210">
        <v>76</v>
      </c>
      <c r="P2210">
        <v>76</v>
      </c>
      <c r="Q2210" t="s">
        <v>99</v>
      </c>
      <c r="R2210">
        <v>30</v>
      </c>
      <c r="S2210" s="19">
        <v>0.8125</v>
      </c>
      <c r="U2210" s="19"/>
      <c r="V2210" t="s">
        <v>99</v>
      </c>
      <c r="W2210">
        <v>8</v>
      </c>
      <c r="X2210" t="s">
        <v>102</v>
      </c>
      <c r="Y2210" t="b">
        <v>0</v>
      </c>
    </row>
    <row r="2211" spans="1:25" x14ac:dyDescent="0.55000000000000004">
      <c r="A2211" t="s">
        <v>94</v>
      </c>
      <c r="B2211" t="s">
        <v>449</v>
      </c>
      <c r="C2211" t="s">
        <v>322</v>
      </c>
      <c r="D2211" t="s">
        <v>174</v>
      </c>
      <c r="E2211" t="s">
        <v>286</v>
      </c>
      <c r="F2211" t="s">
        <v>99</v>
      </c>
      <c r="G2211">
        <v>24484</v>
      </c>
      <c r="H2211" t="s">
        <v>426</v>
      </c>
      <c r="I2211">
        <v>1</v>
      </c>
      <c r="J2211" t="s">
        <v>115</v>
      </c>
      <c r="K2211" s="19">
        <v>0.60416666666666663</v>
      </c>
      <c r="L2211" s="19">
        <v>0.95833333333333337</v>
      </c>
      <c r="M2211">
        <v>8.5</v>
      </c>
      <c r="N2211">
        <v>649.32000000000005</v>
      </c>
      <c r="O2211">
        <v>76</v>
      </c>
      <c r="P2211">
        <v>76</v>
      </c>
      <c r="Q2211" t="s">
        <v>99</v>
      </c>
      <c r="R2211">
        <v>30</v>
      </c>
      <c r="S2211" s="19">
        <v>0.8125</v>
      </c>
      <c r="T2211">
        <v>0</v>
      </c>
      <c r="U2211" s="19">
        <v>0.41666666666666669</v>
      </c>
      <c r="V2211" t="s">
        <v>99</v>
      </c>
      <c r="W2211">
        <v>8</v>
      </c>
      <c r="X2211" t="s">
        <v>102</v>
      </c>
      <c r="Y2211" t="b">
        <v>0</v>
      </c>
    </row>
    <row r="2212" spans="1:25" x14ac:dyDescent="0.55000000000000004">
      <c r="A2212" t="s">
        <v>94</v>
      </c>
      <c r="B2212" t="s">
        <v>449</v>
      </c>
      <c r="C2212" t="s">
        <v>322</v>
      </c>
      <c r="D2212" t="s">
        <v>174</v>
      </c>
      <c r="E2212" t="s">
        <v>286</v>
      </c>
      <c r="F2212" t="s">
        <v>99</v>
      </c>
      <c r="G2212">
        <v>24484</v>
      </c>
      <c r="H2212" t="s">
        <v>426</v>
      </c>
      <c r="I2212">
        <v>1</v>
      </c>
      <c r="J2212" t="s">
        <v>116</v>
      </c>
      <c r="K2212" s="19">
        <v>0.60416666666666663</v>
      </c>
      <c r="L2212" s="19">
        <v>0.95833333333333337</v>
      </c>
      <c r="M2212">
        <v>8.5</v>
      </c>
      <c r="N2212">
        <v>757.54</v>
      </c>
      <c r="O2212">
        <v>76</v>
      </c>
      <c r="P2212">
        <v>76</v>
      </c>
      <c r="Q2212" t="s">
        <v>99</v>
      </c>
      <c r="R2212">
        <v>30</v>
      </c>
      <c r="S2212" s="19">
        <v>0.8125</v>
      </c>
      <c r="T2212">
        <v>0</v>
      </c>
      <c r="U2212" s="19">
        <v>0.41666666666666669</v>
      </c>
      <c r="V2212" t="s">
        <v>99</v>
      </c>
      <c r="W2212">
        <v>8</v>
      </c>
      <c r="X2212" t="s">
        <v>102</v>
      </c>
      <c r="Y2212" t="b">
        <v>0</v>
      </c>
    </row>
    <row r="2213" spans="1:25" x14ac:dyDescent="0.55000000000000004">
      <c r="A2213" t="s">
        <v>94</v>
      </c>
      <c r="B2213" t="s">
        <v>449</v>
      </c>
      <c r="C2213" t="s">
        <v>322</v>
      </c>
      <c r="D2213" t="s">
        <v>174</v>
      </c>
      <c r="E2213" t="s">
        <v>286</v>
      </c>
      <c r="F2213" t="s">
        <v>99</v>
      </c>
      <c r="G2213">
        <v>24484</v>
      </c>
      <c r="H2213" t="s">
        <v>426</v>
      </c>
      <c r="I2213">
        <v>1</v>
      </c>
      <c r="J2213" t="s">
        <v>104</v>
      </c>
      <c r="K2213" s="19">
        <v>0.60416666666666663</v>
      </c>
      <c r="L2213" s="19">
        <v>0.95833333333333337</v>
      </c>
      <c r="M2213">
        <v>8.5</v>
      </c>
      <c r="N2213">
        <v>486.99</v>
      </c>
      <c r="O2213">
        <v>76</v>
      </c>
      <c r="P2213">
        <v>76</v>
      </c>
      <c r="Q2213" t="s">
        <v>99</v>
      </c>
      <c r="R2213">
        <v>30</v>
      </c>
      <c r="S2213" s="19">
        <v>0.8125</v>
      </c>
      <c r="T2213">
        <v>0</v>
      </c>
      <c r="U2213" s="19"/>
      <c r="V2213" t="s">
        <v>99</v>
      </c>
      <c r="W2213">
        <v>8</v>
      </c>
      <c r="X2213" t="s">
        <v>102</v>
      </c>
      <c r="Y2213" t="b">
        <v>0</v>
      </c>
    </row>
    <row r="2214" spans="1:25" x14ac:dyDescent="0.55000000000000004">
      <c r="A2214" t="s">
        <v>94</v>
      </c>
      <c r="B2214" t="s">
        <v>449</v>
      </c>
      <c r="C2214" t="s">
        <v>322</v>
      </c>
      <c r="D2214" t="s">
        <v>174</v>
      </c>
      <c r="E2214" t="s">
        <v>286</v>
      </c>
      <c r="F2214" t="s">
        <v>99</v>
      </c>
      <c r="G2214">
        <v>24484</v>
      </c>
      <c r="H2214" t="s">
        <v>426</v>
      </c>
      <c r="I2214">
        <v>2</v>
      </c>
      <c r="J2214" t="s">
        <v>103</v>
      </c>
      <c r="K2214" s="19">
        <v>0.60416666666666663</v>
      </c>
      <c r="L2214" s="19">
        <v>0.95833333333333337</v>
      </c>
      <c r="M2214">
        <v>8.5</v>
      </c>
      <c r="N2214">
        <v>486.99</v>
      </c>
      <c r="O2214">
        <v>76</v>
      </c>
      <c r="P2214">
        <v>76</v>
      </c>
      <c r="Q2214" t="s">
        <v>99</v>
      </c>
      <c r="R2214">
        <v>30</v>
      </c>
      <c r="S2214" s="19">
        <v>0.8125</v>
      </c>
      <c r="T2214">
        <v>0</v>
      </c>
      <c r="U2214" s="19">
        <v>0.41666666666666669</v>
      </c>
      <c r="V2214" t="s">
        <v>99</v>
      </c>
      <c r="W2214">
        <v>8</v>
      </c>
      <c r="X2214" t="s">
        <v>102</v>
      </c>
      <c r="Y2214" t="b">
        <v>0</v>
      </c>
    </row>
    <row r="2215" spans="1:25" x14ac:dyDescent="0.55000000000000004">
      <c r="A2215" t="s">
        <v>94</v>
      </c>
      <c r="B2215" t="s">
        <v>449</v>
      </c>
      <c r="C2215" t="s">
        <v>322</v>
      </c>
      <c r="D2215" t="s">
        <v>174</v>
      </c>
      <c r="E2215" t="s">
        <v>286</v>
      </c>
      <c r="F2215" t="s">
        <v>99</v>
      </c>
      <c r="G2215">
        <v>24484</v>
      </c>
      <c r="H2215" t="s">
        <v>426</v>
      </c>
      <c r="I2215">
        <v>2</v>
      </c>
      <c r="J2215" t="s">
        <v>105</v>
      </c>
      <c r="K2215" s="19">
        <v>0.60416666666666663</v>
      </c>
      <c r="L2215" s="19">
        <v>0.95833333333333337</v>
      </c>
      <c r="M2215">
        <v>8.5</v>
      </c>
      <c r="N2215">
        <v>486.99</v>
      </c>
      <c r="O2215">
        <v>76</v>
      </c>
      <c r="P2215">
        <v>76</v>
      </c>
      <c r="Q2215" t="s">
        <v>99</v>
      </c>
      <c r="R2215">
        <v>30</v>
      </c>
      <c r="S2215" s="19">
        <v>0.8125</v>
      </c>
      <c r="T2215">
        <v>0</v>
      </c>
      <c r="U2215" s="19"/>
      <c r="V2215" t="s">
        <v>99</v>
      </c>
      <c r="W2215">
        <v>8</v>
      </c>
      <c r="X2215" t="s">
        <v>102</v>
      </c>
      <c r="Y2215" t="b">
        <v>0</v>
      </c>
    </row>
    <row r="2216" spans="1:25" x14ac:dyDescent="0.55000000000000004">
      <c r="A2216" t="s">
        <v>94</v>
      </c>
      <c r="B2216" t="s">
        <v>449</v>
      </c>
      <c r="C2216" t="s">
        <v>322</v>
      </c>
      <c r="D2216" t="s">
        <v>174</v>
      </c>
      <c r="E2216" t="s">
        <v>286</v>
      </c>
      <c r="F2216" t="s">
        <v>99</v>
      </c>
      <c r="G2216">
        <v>24873</v>
      </c>
      <c r="H2216" t="s">
        <v>423</v>
      </c>
      <c r="I2216">
        <v>1</v>
      </c>
      <c r="J2216" t="s">
        <v>101</v>
      </c>
      <c r="K2216" s="19">
        <v>0.60416666666666663</v>
      </c>
      <c r="L2216" s="19">
        <v>0.95833333333333337</v>
      </c>
      <c r="M2216">
        <v>8.5</v>
      </c>
      <c r="N2216">
        <v>486.99</v>
      </c>
      <c r="O2216">
        <v>76</v>
      </c>
      <c r="P2216">
        <v>76</v>
      </c>
      <c r="Q2216" t="s">
        <v>99</v>
      </c>
      <c r="R2216">
        <v>30</v>
      </c>
      <c r="S2216" s="19">
        <v>0.8125</v>
      </c>
      <c r="T2216">
        <v>0</v>
      </c>
      <c r="U2216" s="19"/>
      <c r="V2216" t="s">
        <v>99</v>
      </c>
      <c r="W2216">
        <v>8</v>
      </c>
      <c r="X2216" t="s">
        <v>102</v>
      </c>
      <c r="Y2216" t="b">
        <v>0</v>
      </c>
    </row>
    <row r="2217" spans="1:25" x14ac:dyDescent="0.55000000000000004">
      <c r="A2217" t="s">
        <v>94</v>
      </c>
      <c r="B2217" t="s">
        <v>449</v>
      </c>
      <c r="C2217" t="s">
        <v>322</v>
      </c>
      <c r="D2217" t="s">
        <v>174</v>
      </c>
      <c r="E2217" t="s">
        <v>286</v>
      </c>
      <c r="F2217" t="s">
        <v>99</v>
      </c>
      <c r="G2217">
        <v>24873</v>
      </c>
      <c r="H2217" t="s">
        <v>423</v>
      </c>
      <c r="I2217">
        <v>2</v>
      </c>
      <c r="J2217" t="s">
        <v>101</v>
      </c>
      <c r="K2217" s="19">
        <v>0.60416666666666663</v>
      </c>
      <c r="L2217" s="19">
        <v>0.95833333333333337</v>
      </c>
      <c r="M2217">
        <v>8.5</v>
      </c>
      <c r="N2217">
        <v>486.99</v>
      </c>
      <c r="O2217">
        <v>76</v>
      </c>
      <c r="P2217">
        <v>76</v>
      </c>
      <c r="Q2217" t="s">
        <v>99</v>
      </c>
      <c r="R2217">
        <v>30</v>
      </c>
      <c r="S2217" s="19">
        <v>0.8125</v>
      </c>
      <c r="T2217">
        <v>0</v>
      </c>
      <c r="U2217" s="19"/>
      <c r="V2217" t="s">
        <v>99</v>
      </c>
      <c r="W2217">
        <v>8</v>
      </c>
      <c r="X2217" t="s">
        <v>102</v>
      </c>
      <c r="Y2217" t="b">
        <v>0</v>
      </c>
    </row>
    <row r="2218" spans="1:25" x14ac:dyDescent="0.55000000000000004">
      <c r="A2218" t="s">
        <v>94</v>
      </c>
      <c r="B2218" t="s">
        <v>449</v>
      </c>
      <c r="C2218" t="s">
        <v>322</v>
      </c>
      <c r="D2218" t="s">
        <v>174</v>
      </c>
      <c r="E2218" t="s">
        <v>287</v>
      </c>
      <c r="F2218" t="s">
        <v>99</v>
      </c>
      <c r="G2218">
        <v>11014</v>
      </c>
      <c r="H2218" t="s">
        <v>427</v>
      </c>
      <c r="I2218">
        <v>1</v>
      </c>
      <c r="J2218" t="s">
        <v>107</v>
      </c>
      <c r="K2218" s="19">
        <v>0.35416666666666669</v>
      </c>
      <c r="L2218" s="19">
        <v>0.5</v>
      </c>
      <c r="M2218">
        <v>3.5</v>
      </c>
      <c r="N2218">
        <v>0</v>
      </c>
      <c r="O2218">
        <v>76</v>
      </c>
      <c r="P2218">
        <v>76</v>
      </c>
      <c r="Q2218" t="s">
        <v>99</v>
      </c>
      <c r="R2218">
        <v>0</v>
      </c>
      <c r="S2218" s="19">
        <v>0.45833333333333331</v>
      </c>
      <c r="U2218" s="19"/>
      <c r="V2218" t="s">
        <v>99</v>
      </c>
      <c r="W2218">
        <v>3.5</v>
      </c>
      <c r="X2218" t="s">
        <v>102</v>
      </c>
      <c r="Y2218" t="b">
        <v>0</v>
      </c>
    </row>
    <row r="2219" spans="1:25" x14ac:dyDescent="0.55000000000000004">
      <c r="A2219" t="s">
        <v>94</v>
      </c>
      <c r="B2219" t="s">
        <v>449</v>
      </c>
      <c r="C2219" t="s">
        <v>322</v>
      </c>
      <c r="D2219" t="s">
        <v>174</v>
      </c>
      <c r="E2219" t="s">
        <v>287</v>
      </c>
      <c r="F2219" t="s">
        <v>99</v>
      </c>
      <c r="G2219">
        <v>11014</v>
      </c>
      <c r="H2219" t="s">
        <v>427</v>
      </c>
      <c r="I2219">
        <v>1</v>
      </c>
      <c r="J2219" t="s">
        <v>103</v>
      </c>
      <c r="K2219" s="19">
        <v>0.35416666666666669</v>
      </c>
      <c r="L2219" s="19">
        <v>0.5</v>
      </c>
      <c r="M2219">
        <v>3.5</v>
      </c>
      <c r="N2219">
        <v>0</v>
      </c>
      <c r="O2219">
        <v>76</v>
      </c>
      <c r="P2219">
        <v>76</v>
      </c>
      <c r="Q2219" t="s">
        <v>99</v>
      </c>
      <c r="R2219">
        <v>0</v>
      </c>
      <c r="S2219" s="19">
        <v>0.45833333333333331</v>
      </c>
      <c r="U2219" s="19"/>
      <c r="V2219" t="s">
        <v>99</v>
      </c>
      <c r="W2219">
        <v>3.5</v>
      </c>
      <c r="X2219" t="s">
        <v>102</v>
      </c>
      <c r="Y2219" t="b">
        <v>0</v>
      </c>
    </row>
    <row r="2220" spans="1:25" x14ac:dyDescent="0.55000000000000004">
      <c r="A2220" t="s">
        <v>94</v>
      </c>
      <c r="B2220" t="s">
        <v>449</v>
      </c>
      <c r="C2220" t="s">
        <v>322</v>
      </c>
      <c r="D2220" t="s">
        <v>174</v>
      </c>
      <c r="E2220" t="s">
        <v>287</v>
      </c>
      <c r="F2220" t="s">
        <v>99</v>
      </c>
      <c r="G2220">
        <v>11014</v>
      </c>
      <c r="H2220" t="s">
        <v>427</v>
      </c>
      <c r="I2220">
        <v>1</v>
      </c>
      <c r="J2220" t="s">
        <v>104</v>
      </c>
      <c r="K2220" s="19">
        <v>0.35416666666666669</v>
      </c>
      <c r="L2220" s="19">
        <v>0.5</v>
      </c>
      <c r="M2220">
        <v>3.5</v>
      </c>
      <c r="N2220">
        <v>0</v>
      </c>
      <c r="O2220">
        <v>76</v>
      </c>
      <c r="P2220">
        <v>76</v>
      </c>
      <c r="Q2220" t="s">
        <v>99</v>
      </c>
      <c r="R2220">
        <v>0</v>
      </c>
      <c r="S2220" s="19">
        <v>0.45833333333333331</v>
      </c>
      <c r="U2220" s="19"/>
      <c r="V2220" t="s">
        <v>99</v>
      </c>
      <c r="W2220">
        <v>3.5</v>
      </c>
      <c r="X2220" t="s">
        <v>102</v>
      </c>
      <c r="Y2220" t="b">
        <v>0</v>
      </c>
    </row>
    <row r="2221" spans="1:25" x14ac:dyDescent="0.55000000000000004">
      <c r="A2221" t="s">
        <v>94</v>
      </c>
      <c r="B2221" t="s">
        <v>449</v>
      </c>
      <c r="C2221" t="s">
        <v>322</v>
      </c>
      <c r="D2221" t="s">
        <v>174</v>
      </c>
      <c r="E2221" t="s">
        <v>287</v>
      </c>
      <c r="F2221" t="s">
        <v>99</v>
      </c>
      <c r="G2221">
        <v>11014</v>
      </c>
      <c r="H2221" t="s">
        <v>427</v>
      </c>
      <c r="I2221">
        <v>1</v>
      </c>
      <c r="J2221" t="s">
        <v>105</v>
      </c>
      <c r="K2221" s="19">
        <v>0.35416666666666669</v>
      </c>
      <c r="L2221" s="19">
        <v>0.5</v>
      </c>
      <c r="M2221">
        <v>3.5</v>
      </c>
      <c r="N2221">
        <v>0</v>
      </c>
      <c r="O2221">
        <v>76</v>
      </c>
      <c r="P2221">
        <v>76</v>
      </c>
      <c r="Q2221" t="s">
        <v>99</v>
      </c>
      <c r="R2221">
        <v>0</v>
      </c>
      <c r="S2221" s="19">
        <v>0.45833333333333331</v>
      </c>
      <c r="U2221" s="19"/>
      <c r="V2221" t="s">
        <v>99</v>
      </c>
      <c r="W2221">
        <v>3.5</v>
      </c>
      <c r="X2221" t="s">
        <v>102</v>
      </c>
      <c r="Y2221" t="b">
        <v>0</v>
      </c>
    </row>
    <row r="2222" spans="1:25" x14ac:dyDescent="0.55000000000000004">
      <c r="A2222" t="s">
        <v>94</v>
      </c>
      <c r="B2222" t="s">
        <v>449</v>
      </c>
      <c r="C2222" t="s">
        <v>322</v>
      </c>
      <c r="D2222" t="s">
        <v>174</v>
      </c>
      <c r="E2222" t="s">
        <v>287</v>
      </c>
      <c r="F2222" t="s">
        <v>99</v>
      </c>
      <c r="G2222">
        <v>11014</v>
      </c>
      <c r="H2222" t="s">
        <v>427</v>
      </c>
      <c r="I2222">
        <v>2</v>
      </c>
      <c r="J2222" t="s">
        <v>107</v>
      </c>
      <c r="K2222" s="19">
        <v>0.35416666666666669</v>
      </c>
      <c r="L2222" s="19">
        <v>0.5</v>
      </c>
      <c r="M2222">
        <v>3.5</v>
      </c>
      <c r="N2222">
        <v>0</v>
      </c>
      <c r="O2222">
        <v>76</v>
      </c>
      <c r="P2222">
        <v>76</v>
      </c>
      <c r="Q2222" t="s">
        <v>99</v>
      </c>
      <c r="R2222">
        <v>0</v>
      </c>
      <c r="S2222" s="19">
        <v>0.45833333333333331</v>
      </c>
      <c r="U2222" s="19"/>
      <c r="V2222" t="s">
        <v>99</v>
      </c>
      <c r="W2222">
        <v>3.5</v>
      </c>
      <c r="X2222" t="s">
        <v>102</v>
      </c>
      <c r="Y2222" t="b">
        <v>0</v>
      </c>
    </row>
    <row r="2223" spans="1:25" x14ac:dyDescent="0.55000000000000004">
      <c r="A2223" t="s">
        <v>94</v>
      </c>
      <c r="B2223" t="s">
        <v>449</v>
      </c>
      <c r="C2223" t="s">
        <v>322</v>
      </c>
      <c r="D2223" t="s">
        <v>174</v>
      </c>
      <c r="E2223" t="s">
        <v>287</v>
      </c>
      <c r="F2223" t="s">
        <v>99</v>
      </c>
      <c r="G2223">
        <v>11014</v>
      </c>
      <c r="H2223" t="s">
        <v>427</v>
      </c>
      <c r="I2223">
        <v>2</v>
      </c>
      <c r="J2223" t="s">
        <v>101</v>
      </c>
      <c r="K2223" s="19">
        <v>0.35416666666666669</v>
      </c>
      <c r="L2223" s="19">
        <v>0.5</v>
      </c>
      <c r="M2223">
        <v>3.5</v>
      </c>
      <c r="N2223">
        <v>0</v>
      </c>
      <c r="O2223">
        <v>76</v>
      </c>
      <c r="P2223">
        <v>76</v>
      </c>
      <c r="Q2223" t="s">
        <v>99</v>
      </c>
      <c r="R2223">
        <v>0</v>
      </c>
      <c r="S2223" s="19">
        <v>0.45833333333333331</v>
      </c>
      <c r="U2223" s="19"/>
      <c r="V2223" t="s">
        <v>99</v>
      </c>
      <c r="W2223">
        <v>3.5</v>
      </c>
      <c r="X2223" t="s">
        <v>102</v>
      </c>
      <c r="Y2223" t="b">
        <v>0</v>
      </c>
    </row>
    <row r="2224" spans="1:25" x14ac:dyDescent="0.55000000000000004">
      <c r="A2224" t="s">
        <v>94</v>
      </c>
      <c r="B2224" t="s">
        <v>449</v>
      </c>
      <c r="C2224" t="s">
        <v>322</v>
      </c>
      <c r="D2224" t="s">
        <v>174</v>
      </c>
      <c r="E2224" t="s">
        <v>287</v>
      </c>
      <c r="F2224" t="s">
        <v>99</v>
      </c>
      <c r="G2224">
        <v>11014</v>
      </c>
      <c r="H2224" t="s">
        <v>427</v>
      </c>
      <c r="I2224">
        <v>2</v>
      </c>
      <c r="J2224" t="s">
        <v>103</v>
      </c>
      <c r="K2224" s="19">
        <v>0.35416666666666669</v>
      </c>
      <c r="L2224" s="19">
        <v>0.5</v>
      </c>
      <c r="M2224">
        <v>3.5</v>
      </c>
      <c r="N2224">
        <v>0</v>
      </c>
      <c r="O2224">
        <v>76</v>
      </c>
      <c r="P2224">
        <v>76</v>
      </c>
      <c r="Q2224" t="s">
        <v>99</v>
      </c>
      <c r="R2224">
        <v>0</v>
      </c>
      <c r="S2224" s="19">
        <v>0.45833333333333331</v>
      </c>
      <c r="U2224" s="19"/>
      <c r="V2224" t="s">
        <v>99</v>
      </c>
      <c r="W2224">
        <v>3.5</v>
      </c>
      <c r="X2224" t="s">
        <v>102</v>
      </c>
      <c r="Y2224" t="b">
        <v>0</v>
      </c>
    </row>
    <row r="2225" spans="1:25" x14ac:dyDescent="0.55000000000000004">
      <c r="A2225" t="s">
        <v>94</v>
      </c>
      <c r="B2225" t="s">
        <v>449</v>
      </c>
      <c r="C2225" t="s">
        <v>322</v>
      </c>
      <c r="D2225" t="s">
        <v>174</v>
      </c>
      <c r="E2225" t="s">
        <v>287</v>
      </c>
      <c r="F2225" t="s">
        <v>99</v>
      </c>
      <c r="G2225">
        <v>11014</v>
      </c>
      <c r="H2225" t="s">
        <v>427</v>
      </c>
      <c r="I2225">
        <v>2</v>
      </c>
      <c r="J2225" t="s">
        <v>104</v>
      </c>
      <c r="K2225" s="19">
        <v>0.35416666666666669</v>
      </c>
      <c r="L2225" s="19">
        <v>0.5</v>
      </c>
      <c r="M2225">
        <v>3.5</v>
      </c>
      <c r="N2225">
        <v>0</v>
      </c>
      <c r="O2225">
        <v>76</v>
      </c>
      <c r="P2225">
        <v>76</v>
      </c>
      <c r="Q2225" t="s">
        <v>99</v>
      </c>
      <c r="R2225">
        <v>0</v>
      </c>
      <c r="S2225" s="19">
        <v>0.45833333333333331</v>
      </c>
      <c r="U2225" s="19"/>
      <c r="V2225" t="s">
        <v>99</v>
      </c>
      <c r="W2225">
        <v>3.5</v>
      </c>
      <c r="X2225" t="s">
        <v>102</v>
      </c>
      <c r="Y2225" t="b">
        <v>0</v>
      </c>
    </row>
    <row r="2226" spans="1:25" x14ac:dyDescent="0.55000000000000004">
      <c r="A2226" t="s">
        <v>94</v>
      </c>
      <c r="B2226" t="s">
        <v>449</v>
      </c>
      <c r="C2226" t="s">
        <v>322</v>
      </c>
      <c r="D2226" t="s">
        <v>174</v>
      </c>
      <c r="E2226" t="s">
        <v>287</v>
      </c>
      <c r="F2226" t="s">
        <v>99</v>
      </c>
      <c r="G2226">
        <v>11014</v>
      </c>
      <c r="H2226" t="s">
        <v>427</v>
      </c>
      <c r="I2226">
        <v>2</v>
      </c>
      <c r="J2226" t="s">
        <v>105</v>
      </c>
      <c r="K2226" s="19">
        <v>0.35416666666666669</v>
      </c>
      <c r="L2226" s="19">
        <v>0.5</v>
      </c>
      <c r="M2226">
        <v>3.5</v>
      </c>
      <c r="N2226">
        <v>0</v>
      </c>
      <c r="O2226">
        <v>76</v>
      </c>
      <c r="P2226">
        <v>76</v>
      </c>
      <c r="Q2226" t="s">
        <v>99</v>
      </c>
      <c r="R2226">
        <v>0</v>
      </c>
      <c r="S2226" s="19">
        <v>0.45833333333333331</v>
      </c>
      <c r="U2226" s="19"/>
      <c r="V2226" t="s">
        <v>99</v>
      </c>
      <c r="W2226">
        <v>3.5</v>
      </c>
      <c r="X2226" t="s">
        <v>102</v>
      </c>
      <c r="Y2226" t="b">
        <v>0</v>
      </c>
    </row>
    <row r="2227" spans="1:25" x14ac:dyDescent="0.55000000000000004">
      <c r="A2227" t="s">
        <v>94</v>
      </c>
      <c r="B2227" t="s">
        <v>449</v>
      </c>
      <c r="C2227" t="s">
        <v>322</v>
      </c>
      <c r="D2227" t="s">
        <v>174</v>
      </c>
      <c r="E2227" t="s">
        <v>287</v>
      </c>
      <c r="F2227" t="s">
        <v>462</v>
      </c>
      <c r="G2227">
        <v>11014</v>
      </c>
      <c r="H2227" t="s">
        <v>427</v>
      </c>
      <c r="I2227">
        <v>1</v>
      </c>
      <c r="J2227" t="s">
        <v>101</v>
      </c>
      <c r="K2227" s="19">
        <v>0.35416666666666669</v>
      </c>
      <c r="L2227" s="19">
        <v>0.5</v>
      </c>
      <c r="M2227">
        <v>3.5</v>
      </c>
      <c r="N2227">
        <v>0</v>
      </c>
      <c r="O2227">
        <v>76</v>
      </c>
      <c r="P2227">
        <v>76</v>
      </c>
      <c r="Q2227" t="s">
        <v>99</v>
      </c>
      <c r="R2227">
        <v>0</v>
      </c>
      <c r="S2227" s="19">
        <v>0.45833333333333331</v>
      </c>
      <c r="U2227" s="19"/>
      <c r="V2227" t="s">
        <v>99</v>
      </c>
      <c r="W2227">
        <v>3.5</v>
      </c>
      <c r="X2227" t="s">
        <v>102</v>
      </c>
      <c r="Y2227" t="b">
        <v>0</v>
      </c>
    </row>
    <row r="2228" spans="1:25" x14ac:dyDescent="0.55000000000000004">
      <c r="A2228" t="s">
        <v>94</v>
      </c>
      <c r="B2228" t="s">
        <v>449</v>
      </c>
      <c r="C2228" t="s">
        <v>322</v>
      </c>
      <c r="D2228" t="s">
        <v>174</v>
      </c>
      <c r="E2228" t="s">
        <v>289</v>
      </c>
      <c r="F2228" t="s">
        <v>99</v>
      </c>
      <c r="G2228">
        <v>12388</v>
      </c>
      <c r="H2228" t="s">
        <v>413</v>
      </c>
      <c r="I2228">
        <v>1</v>
      </c>
      <c r="J2228" t="s">
        <v>101</v>
      </c>
      <c r="K2228" s="19">
        <v>0.45833333333333331</v>
      </c>
      <c r="L2228" s="19">
        <v>0.64583333333333337</v>
      </c>
      <c r="M2228">
        <v>4.5</v>
      </c>
      <c r="N2228">
        <v>161.24</v>
      </c>
      <c r="O2228">
        <v>76</v>
      </c>
      <c r="P2228">
        <v>76</v>
      </c>
      <c r="Q2228" t="s">
        <v>99</v>
      </c>
      <c r="R2228">
        <v>30</v>
      </c>
      <c r="S2228" s="19">
        <v>0.625</v>
      </c>
      <c r="T2228">
        <v>0</v>
      </c>
      <c r="U2228" s="19"/>
      <c r="V2228" t="s">
        <v>99</v>
      </c>
      <c r="W2228">
        <v>4</v>
      </c>
      <c r="X2228" t="s">
        <v>102</v>
      </c>
      <c r="Y2228" t="b">
        <v>0</v>
      </c>
    </row>
    <row r="2229" spans="1:25" x14ac:dyDescent="0.55000000000000004">
      <c r="A2229" t="s">
        <v>94</v>
      </c>
      <c r="B2229" t="s">
        <v>449</v>
      </c>
      <c r="C2229" t="s">
        <v>322</v>
      </c>
      <c r="D2229" t="s">
        <v>174</v>
      </c>
      <c r="E2229" t="s">
        <v>289</v>
      </c>
      <c r="F2229" t="s">
        <v>99</v>
      </c>
      <c r="G2229">
        <v>12388</v>
      </c>
      <c r="H2229" t="s">
        <v>413</v>
      </c>
      <c r="I2229">
        <v>1</v>
      </c>
      <c r="J2229" t="s">
        <v>104</v>
      </c>
      <c r="K2229" s="19">
        <v>0.45833333333333331</v>
      </c>
      <c r="L2229" s="19">
        <v>0.64583333333333337</v>
      </c>
      <c r="M2229">
        <v>4.5</v>
      </c>
      <c r="N2229">
        <v>161.24</v>
      </c>
      <c r="O2229">
        <v>76</v>
      </c>
      <c r="P2229">
        <v>76</v>
      </c>
      <c r="Q2229" t="s">
        <v>99</v>
      </c>
      <c r="R2229">
        <v>30</v>
      </c>
      <c r="S2229" s="19">
        <v>0.625</v>
      </c>
      <c r="T2229">
        <v>0</v>
      </c>
      <c r="U2229" s="19">
        <v>0.41666666666666669</v>
      </c>
      <c r="V2229" t="s">
        <v>99</v>
      </c>
      <c r="W2229">
        <v>4</v>
      </c>
      <c r="X2229" t="s">
        <v>102</v>
      </c>
      <c r="Y2229" t="b">
        <v>0</v>
      </c>
    </row>
    <row r="2230" spans="1:25" x14ac:dyDescent="0.55000000000000004">
      <c r="A2230" t="s">
        <v>94</v>
      </c>
      <c r="B2230" t="s">
        <v>449</v>
      </c>
      <c r="C2230" t="s">
        <v>322</v>
      </c>
      <c r="D2230" t="s">
        <v>174</v>
      </c>
      <c r="E2230" t="s">
        <v>289</v>
      </c>
      <c r="F2230" t="s">
        <v>99</v>
      </c>
      <c r="G2230">
        <v>12388</v>
      </c>
      <c r="H2230" t="s">
        <v>413</v>
      </c>
      <c r="I2230">
        <v>2</v>
      </c>
      <c r="J2230" t="s">
        <v>104</v>
      </c>
      <c r="K2230" s="19">
        <v>0.45833333333333331</v>
      </c>
      <c r="L2230" s="19">
        <v>0.64583333333333337</v>
      </c>
      <c r="M2230">
        <v>4.5</v>
      </c>
      <c r="N2230">
        <v>161.24</v>
      </c>
      <c r="O2230">
        <v>76</v>
      </c>
      <c r="P2230">
        <v>76</v>
      </c>
      <c r="Q2230" t="s">
        <v>99</v>
      </c>
      <c r="R2230">
        <v>30</v>
      </c>
      <c r="S2230" s="19">
        <v>0.625</v>
      </c>
      <c r="T2230">
        <v>0</v>
      </c>
      <c r="U2230" s="19">
        <v>0.41666666666666669</v>
      </c>
      <c r="V2230" t="s">
        <v>99</v>
      </c>
      <c r="W2230">
        <v>4</v>
      </c>
      <c r="X2230" t="s">
        <v>102</v>
      </c>
      <c r="Y2230" t="b">
        <v>0</v>
      </c>
    </row>
    <row r="2231" spans="1:25" x14ac:dyDescent="0.55000000000000004">
      <c r="A2231" t="s">
        <v>94</v>
      </c>
      <c r="B2231" t="s">
        <v>449</v>
      </c>
      <c r="C2231" t="s">
        <v>322</v>
      </c>
      <c r="D2231" t="s">
        <v>174</v>
      </c>
      <c r="E2231" t="s">
        <v>289</v>
      </c>
      <c r="F2231" t="s">
        <v>462</v>
      </c>
      <c r="G2231">
        <v>12388</v>
      </c>
      <c r="H2231" t="s">
        <v>413</v>
      </c>
      <c r="I2231">
        <v>2</v>
      </c>
      <c r="J2231" t="s">
        <v>101</v>
      </c>
      <c r="K2231" s="19">
        <v>0.29166666666666669</v>
      </c>
      <c r="L2231" s="19">
        <v>0.64583333333333337</v>
      </c>
      <c r="M2231">
        <v>8.5</v>
      </c>
      <c r="N2231">
        <v>322.48</v>
      </c>
      <c r="O2231">
        <v>76</v>
      </c>
      <c r="P2231">
        <v>76</v>
      </c>
      <c r="Q2231" t="s">
        <v>99</v>
      </c>
      <c r="R2231">
        <v>30</v>
      </c>
      <c r="S2231" s="19">
        <v>0.54166666666666663</v>
      </c>
      <c r="T2231">
        <v>0</v>
      </c>
      <c r="U2231" s="19"/>
      <c r="V2231" t="s">
        <v>465</v>
      </c>
      <c r="W2231">
        <v>8</v>
      </c>
      <c r="X2231" t="s">
        <v>102</v>
      </c>
      <c r="Y2231" t="b">
        <v>0</v>
      </c>
    </row>
    <row r="2232" spans="1:25" x14ac:dyDescent="0.55000000000000004">
      <c r="A2232" t="s">
        <v>94</v>
      </c>
      <c r="B2232" t="s">
        <v>466</v>
      </c>
      <c r="C2232" t="s">
        <v>308</v>
      </c>
      <c r="D2232" t="s">
        <v>111</v>
      </c>
      <c r="E2232" t="s">
        <v>112</v>
      </c>
      <c r="F2232" t="s">
        <v>99</v>
      </c>
      <c r="G2232">
        <v>18235</v>
      </c>
      <c r="H2232" t="s">
        <v>467</v>
      </c>
      <c r="I2232">
        <v>1</v>
      </c>
      <c r="J2232" t="s">
        <v>107</v>
      </c>
      <c r="K2232" s="19">
        <v>0.4375</v>
      </c>
      <c r="L2232" s="19">
        <v>0.79166666666666663</v>
      </c>
      <c r="M2232">
        <v>8.5</v>
      </c>
      <c r="N2232">
        <v>235.12</v>
      </c>
      <c r="O2232">
        <v>60</v>
      </c>
      <c r="P2232">
        <v>76</v>
      </c>
      <c r="Q2232" t="s">
        <v>99</v>
      </c>
      <c r="R2232">
        <v>30</v>
      </c>
      <c r="S2232" s="19">
        <v>0.58333333333333337</v>
      </c>
      <c r="T2232">
        <v>0</v>
      </c>
      <c r="U2232" s="19">
        <v>0.54166666666666663</v>
      </c>
      <c r="V2232" t="s">
        <v>99</v>
      </c>
      <c r="W2232">
        <v>8</v>
      </c>
      <c r="X2232" t="s">
        <v>102</v>
      </c>
      <c r="Y2232" t="b">
        <v>0</v>
      </c>
    </row>
    <row r="2233" spans="1:25" x14ac:dyDescent="0.55000000000000004">
      <c r="A2233" t="s">
        <v>94</v>
      </c>
      <c r="B2233" t="s">
        <v>466</v>
      </c>
      <c r="C2233" t="s">
        <v>308</v>
      </c>
      <c r="D2233" t="s">
        <v>111</v>
      </c>
      <c r="E2233" t="s">
        <v>112</v>
      </c>
      <c r="F2233" t="s">
        <v>99</v>
      </c>
      <c r="G2233">
        <v>18235</v>
      </c>
      <c r="H2233" t="s">
        <v>467</v>
      </c>
      <c r="I2233">
        <v>1</v>
      </c>
      <c r="J2233" t="s">
        <v>101</v>
      </c>
      <c r="K2233" s="19">
        <v>0.4375</v>
      </c>
      <c r="L2233" s="19">
        <v>0.79166666666666663</v>
      </c>
      <c r="M2233">
        <v>8.5</v>
      </c>
      <c r="N2233">
        <v>235.12</v>
      </c>
      <c r="O2233">
        <v>60</v>
      </c>
      <c r="P2233">
        <v>76</v>
      </c>
      <c r="Q2233" t="s">
        <v>99</v>
      </c>
      <c r="R2233">
        <v>30</v>
      </c>
      <c r="S2233" s="19">
        <v>0.58333333333333337</v>
      </c>
      <c r="T2233">
        <v>0</v>
      </c>
      <c r="U2233" s="19">
        <v>0.54166666666666663</v>
      </c>
      <c r="V2233" t="s">
        <v>99</v>
      </c>
      <c r="W2233">
        <v>8</v>
      </c>
      <c r="X2233" t="s">
        <v>102</v>
      </c>
      <c r="Y2233" t="b">
        <v>0</v>
      </c>
    </row>
    <row r="2234" spans="1:25" x14ac:dyDescent="0.55000000000000004">
      <c r="A2234" t="s">
        <v>94</v>
      </c>
      <c r="B2234" t="s">
        <v>466</v>
      </c>
      <c r="C2234" t="s">
        <v>308</v>
      </c>
      <c r="D2234" t="s">
        <v>111</v>
      </c>
      <c r="E2234" t="s">
        <v>112</v>
      </c>
      <c r="F2234" t="s">
        <v>99</v>
      </c>
      <c r="G2234">
        <v>18235</v>
      </c>
      <c r="H2234" t="s">
        <v>467</v>
      </c>
      <c r="I2234">
        <v>1</v>
      </c>
      <c r="J2234" t="s">
        <v>115</v>
      </c>
      <c r="K2234" s="19">
        <v>0.4375</v>
      </c>
      <c r="L2234" s="19">
        <v>0.79166666666666663</v>
      </c>
      <c r="M2234">
        <v>8.5</v>
      </c>
      <c r="N2234">
        <v>352.68</v>
      </c>
      <c r="O2234">
        <v>60</v>
      </c>
      <c r="P2234">
        <v>76</v>
      </c>
      <c r="Q2234" t="s">
        <v>99</v>
      </c>
      <c r="R2234">
        <v>30</v>
      </c>
      <c r="S2234" s="19">
        <v>0.58333333333333337</v>
      </c>
      <c r="T2234">
        <v>0</v>
      </c>
      <c r="U2234" s="19">
        <v>0.54166666666666663</v>
      </c>
      <c r="V2234" t="s">
        <v>99</v>
      </c>
      <c r="W2234">
        <v>8</v>
      </c>
      <c r="X2234" t="s">
        <v>102</v>
      </c>
      <c r="Y2234" t="b">
        <v>0</v>
      </c>
    </row>
    <row r="2235" spans="1:25" x14ac:dyDescent="0.55000000000000004">
      <c r="A2235" t="s">
        <v>94</v>
      </c>
      <c r="B2235" t="s">
        <v>466</v>
      </c>
      <c r="C2235" t="s">
        <v>308</v>
      </c>
      <c r="D2235" t="s">
        <v>111</v>
      </c>
      <c r="E2235" t="s">
        <v>112</v>
      </c>
      <c r="F2235" t="s">
        <v>99</v>
      </c>
      <c r="G2235">
        <v>18235</v>
      </c>
      <c r="H2235" t="s">
        <v>467</v>
      </c>
      <c r="I2235">
        <v>1</v>
      </c>
      <c r="J2235" t="s">
        <v>116</v>
      </c>
      <c r="K2235" s="19">
        <v>0.4375</v>
      </c>
      <c r="L2235" s="19">
        <v>0.79166666666666663</v>
      </c>
      <c r="M2235">
        <v>8.5</v>
      </c>
      <c r="N2235">
        <v>411.46</v>
      </c>
      <c r="O2235">
        <v>60</v>
      </c>
      <c r="P2235">
        <v>76</v>
      </c>
      <c r="Q2235" t="s">
        <v>99</v>
      </c>
      <c r="R2235">
        <v>30</v>
      </c>
      <c r="S2235" s="19">
        <v>0.58333333333333337</v>
      </c>
      <c r="T2235">
        <v>0</v>
      </c>
      <c r="U2235" s="19">
        <v>0.54166666666666663</v>
      </c>
      <c r="V2235" t="s">
        <v>99</v>
      </c>
      <c r="W2235">
        <v>8</v>
      </c>
      <c r="X2235" t="s">
        <v>102</v>
      </c>
      <c r="Y2235" t="b">
        <v>0</v>
      </c>
    </row>
    <row r="2236" spans="1:25" x14ac:dyDescent="0.55000000000000004">
      <c r="A2236" t="s">
        <v>94</v>
      </c>
      <c r="B2236" t="s">
        <v>466</v>
      </c>
      <c r="C2236" t="s">
        <v>308</v>
      </c>
      <c r="D2236" t="s">
        <v>111</v>
      </c>
      <c r="E2236" t="s">
        <v>112</v>
      </c>
      <c r="F2236" t="s">
        <v>99</v>
      </c>
      <c r="G2236">
        <v>18235</v>
      </c>
      <c r="H2236" t="s">
        <v>467</v>
      </c>
      <c r="I2236">
        <v>2</v>
      </c>
      <c r="J2236" t="s">
        <v>107</v>
      </c>
      <c r="K2236" s="19">
        <v>0.4375</v>
      </c>
      <c r="L2236" s="19">
        <v>0.79166666666666663</v>
      </c>
      <c r="M2236">
        <v>8.5</v>
      </c>
      <c r="N2236">
        <v>235.12</v>
      </c>
      <c r="O2236">
        <v>60</v>
      </c>
      <c r="P2236">
        <v>76</v>
      </c>
      <c r="Q2236" t="s">
        <v>99</v>
      </c>
      <c r="R2236">
        <v>30</v>
      </c>
      <c r="S2236" s="19">
        <v>0.58333333333333337</v>
      </c>
      <c r="T2236">
        <v>0</v>
      </c>
      <c r="U2236" s="19">
        <v>0.54166666666666663</v>
      </c>
      <c r="V2236" t="s">
        <v>99</v>
      </c>
      <c r="W2236">
        <v>8</v>
      </c>
      <c r="X2236" t="s">
        <v>102</v>
      </c>
      <c r="Y2236" t="b">
        <v>0</v>
      </c>
    </row>
    <row r="2237" spans="1:25" x14ac:dyDescent="0.55000000000000004">
      <c r="A2237" t="s">
        <v>94</v>
      </c>
      <c r="B2237" t="s">
        <v>466</v>
      </c>
      <c r="C2237" t="s">
        <v>308</v>
      </c>
      <c r="D2237" t="s">
        <v>111</v>
      </c>
      <c r="E2237" t="s">
        <v>112</v>
      </c>
      <c r="F2237" t="s">
        <v>99</v>
      </c>
      <c r="G2237">
        <v>18235</v>
      </c>
      <c r="H2237" t="s">
        <v>467</v>
      </c>
      <c r="I2237">
        <v>2</v>
      </c>
      <c r="J2237" t="s">
        <v>101</v>
      </c>
      <c r="K2237" s="19">
        <v>0.4375</v>
      </c>
      <c r="L2237" s="19">
        <v>0.79166666666666663</v>
      </c>
      <c r="M2237">
        <v>8.5</v>
      </c>
      <c r="N2237">
        <v>235.12</v>
      </c>
      <c r="O2237">
        <v>60</v>
      </c>
      <c r="P2237">
        <v>76</v>
      </c>
      <c r="Q2237" t="s">
        <v>99</v>
      </c>
      <c r="R2237">
        <v>30</v>
      </c>
      <c r="S2237" s="19">
        <v>0.58333333333333337</v>
      </c>
      <c r="T2237">
        <v>0</v>
      </c>
      <c r="U2237" s="19">
        <v>0.54166666666666663</v>
      </c>
      <c r="V2237" t="s">
        <v>99</v>
      </c>
      <c r="W2237">
        <v>8</v>
      </c>
      <c r="X2237" t="s">
        <v>102</v>
      </c>
      <c r="Y2237" t="b">
        <v>0</v>
      </c>
    </row>
    <row r="2238" spans="1:25" x14ac:dyDescent="0.55000000000000004">
      <c r="A2238" t="s">
        <v>94</v>
      </c>
      <c r="B2238" t="s">
        <v>466</v>
      </c>
      <c r="C2238" t="s">
        <v>308</v>
      </c>
      <c r="D2238" t="s">
        <v>111</v>
      </c>
      <c r="E2238" t="s">
        <v>112</v>
      </c>
      <c r="F2238" t="s">
        <v>99</v>
      </c>
      <c r="G2238">
        <v>18235</v>
      </c>
      <c r="H2238" t="s">
        <v>467</v>
      </c>
      <c r="I2238">
        <v>2</v>
      </c>
      <c r="J2238" t="s">
        <v>115</v>
      </c>
      <c r="K2238" s="19">
        <v>0.4375</v>
      </c>
      <c r="L2238" s="19">
        <v>0.79166666666666663</v>
      </c>
      <c r="M2238">
        <v>8.5</v>
      </c>
      <c r="N2238">
        <v>587.79999999999995</v>
      </c>
      <c r="O2238">
        <v>60</v>
      </c>
      <c r="P2238">
        <v>76</v>
      </c>
      <c r="Q2238" t="s">
        <v>99</v>
      </c>
      <c r="R2238">
        <v>30</v>
      </c>
      <c r="S2238" s="19">
        <v>0.58333333333333337</v>
      </c>
      <c r="T2238">
        <v>0</v>
      </c>
      <c r="U2238" s="19">
        <v>0.54166666666666663</v>
      </c>
      <c r="V2238" t="s">
        <v>99</v>
      </c>
      <c r="W2238">
        <v>8</v>
      </c>
      <c r="X2238" t="s">
        <v>102</v>
      </c>
      <c r="Y2238" t="b">
        <v>0</v>
      </c>
    </row>
    <row r="2239" spans="1:25" x14ac:dyDescent="0.55000000000000004">
      <c r="A2239" t="s">
        <v>94</v>
      </c>
      <c r="B2239" t="s">
        <v>466</v>
      </c>
      <c r="C2239" t="s">
        <v>308</v>
      </c>
      <c r="D2239" t="s">
        <v>111</v>
      </c>
      <c r="E2239" t="s">
        <v>112</v>
      </c>
      <c r="F2239" t="s">
        <v>99</v>
      </c>
      <c r="G2239">
        <v>18235</v>
      </c>
      <c r="H2239" t="s">
        <v>467</v>
      </c>
      <c r="I2239">
        <v>2</v>
      </c>
      <c r="J2239" t="s">
        <v>116</v>
      </c>
      <c r="K2239" s="19">
        <v>0.4375</v>
      </c>
      <c r="L2239" s="19">
        <v>0.79166666666666663</v>
      </c>
      <c r="M2239">
        <v>8.5</v>
      </c>
      <c r="N2239">
        <v>411.46</v>
      </c>
      <c r="O2239">
        <v>60</v>
      </c>
      <c r="P2239">
        <v>76</v>
      </c>
      <c r="Q2239" t="s">
        <v>99</v>
      </c>
      <c r="R2239">
        <v>30</v>
      </c>
      <c r="S2239" s="19">
        <v>0.58333333333333337</v>
      </c>
      <c r="T2239">
        <v>0</v>
      </c>
      <c r="U2239" s="19">
        <v>0.54166666666666663</v>
      </c>
      <c r="V2239" t="s">
        <v>99</v>
      </c>
      <c r="W2239">
        <v>8</v>
      </c>
      <c r="X2239" t="s">
        <v>102</v>
      </c>
      <c r="Y2239" t="b">
        <v>0</v>
      </c>
    </row>
    <row r="2240" spans="1:25" x14ac:dyDescent="0.55000000000000004">
      <c r="A2240" t="s">
        <v>94</v>
      </c>
      <c r="B2240" t="s">
        <v>466</v>
      </c>
      <c r="C2240" t="s">
        <v>308</v>
      </c>
      <c r="D2240" t="s">
        <v>111</v>
      </c>
      <c r="E2240" t="s">
        <v>112</v>
      </c>
      <c r="F2240" t="s">
        <v>99</v>
      </c>
      <c r="G2240">
        <v>23836</v>
      </c>
      <c r="H2240" t="s">
        <v>468</v>
      </c>
      <c r="I2240">
        <v>1</v>
      </c>
      <c r="J2240" t="s">
        <v>103</v>
      </c>
      <c r="K2240" s="19">
        <v>0.4375</v>
      </c>
      <c r="L2240" s="19">
        <v>0.79166666666666663</v>
      </c>
      <c r="M2240">
        <v>8.5</v>
      </c>
      <c r="N2240">
        <v>232.4</v>
      </c>
      <c r="O2240">
        <v>40</v>
      </c>
      <c r="P2240">
        <v>76</v>
      </c>
      <c r="Q2240" t="s">
        <v>99</v>
      </c>
      <c r="R2240">
        <v>30</v>
      </c>
      <c r="S2240" s="19">
        <v>0.58333333333333337</v>
      </c>
      <c r="T2240">
        <v>0</v>
      </c>
      <c r="U2240" s="19">
        <v>0.54166666666666663</v>
      </c>
      <c r="V2240" t="s">
        <v>99</v>
      </c>
      <c r="W2240">
        <v>8</v>
      </c>
      <c r="X2240" t="s">
        <v>102</v>
      </c>
      <c r="Y2240" t="b">
        <v>0</v>
      </c>
    </row>
    <row r="2241" spans="1:25" x14ac:dyDescent="0.55000000000000004">
      <c r="A2241" t="s">
        <v>94</v>
      </c>
      <c r="B2241" t="s">
        <v>466</v>
      </c>
      <c r="C2241" t="s">
        <v>308</v>
      </c>
      <c r="D2241" t="s">
        <v>111</v>
      </c>
      <c r="E2241" t="s">
        <v>112</v>
      </c>
      <c r="F2241" t="s">
        <v>99</v>
      </c>
      <c r="G2241">
        <v>23836</v>
      </c>
      <c r="H2241" t="s">
        <v>468</v>
      </c>
      <c r="I2241">
        <v>2</v>
      </c>
      <c r="J2241" t="s">
        <v>103</v>
      </c>
      <c r="K2241" s="19">
        <v>0.4375</v>
      </c>
      <c r="L2241" s="19">
        <v>0.79166666666666663</v>
      </c>
      <c r="M2241">
        <v>8.5</v>
      </c>
      <c r="N2241">
        <v>232.4</v>
      </c>
      <c r="O2241">
        <v>40</v>
      </c>
      <c r="P2241">
        <v>76</v>
      </c>
      <c r="Q2241" t="s">
        <v>99</v>
      </c>
      <c r="R2241">
        <v>30</v>
      </c>
      <c r="S2241" s="19">
        <v>0.58333333333333337</v>
      </c>
      <c r="T2241">
        <v>0</v>
      </c>
      <c r="U2241" s="19">
        <v>0.54166666666666663</v>
      </c>
      <c r="V2241" t="s">
        <v>99</v>
      </c>
      <c r="W2241">
        <v>8</v>
      </c>
      <c r="X2241" t="s">
        <v>102</v>
      </c>
      <c r="Y2241" t="b">
        <v>0</v>
      </c>
    </row>
    <row r="2242" spans="1:25" x14ac:dyDescent="0.55000000000000004">
      <c r="A2242" t="s">
        <v>94</v>
      </c>
      <c r="B2242" t="s">
        <v>466</v>
      </c>
      <c r="C2242" t="s">
        <v>308</v>
      </c>
      <c r="D2242" t="s">
        <v>111</v>
      </c>
      <c r="E2242" t="s">
        <v>117</v>
      </c>
      <c r="F2242" t="s">
        <v>99</v>
      </c>
      <c r="H2242" t="s">
        <v>99</v>
      </c>
      <c r="I2242">
        <v>1</v>
      </c>
      <c r="J2242" t="s">
        <v>107</v>
      </c>
      <c r="K2242" s="19">
        <v>0.29166666666666669</v>
      </c>
      <c r="L2242" s="19">
        <v>0.625</v>
      </c>
      <c r="M2242">
        <v>8</v>
      </c>
      <c r="N2242">
        <v>211.43</v>
      </c>
      <c r="O2242">
        <v>0</v>
      </c>
      <c r="P2242">
        <v>0</v>
      </c>
      <c r="Q2242" t="s">
        <v>99</v>
      </c>
      <c r="R2242">
        <v>30</v>
      </c>
      <c r="S2242" s="19">
        <v>0.5</v>
      </c>
      <c r="T2242">
        <v>0</v>
      </c>
      <c r="U2242" s="19">
        <v>0.54166666666666663</v>
      </c>
      <c r="V2242" t="s">
        <v>99</v>
      </c>
      <c r="W2242">
        <v>7.5</v>
      </c>
      <c r="X2242" t="s">
        <v>102</v>
      </c>
      <c r="Y2242" t="b">
        <v>0</v>
      </c>
    </row>
    <row r="2243" spans="1:25" x14ac:dyDescent="0.55000000000000004">
      <c r="A2243" t="s">
        <v>94</v>
      </c>
      <c r="B2243" t="s">
        <v>466</v>
      </c>
      <c r="C2243" t="s">
        <v>308</v>
      </c>
      <c r="D2243" t="s">
        <v>111</v>
      </c>
      <c r="E2243" t="s">
        <v>117</v>
      </c>
      <c r="F2243" t="s">
        <v>99</v>
      </c>
      <c r="H2243" t="s">
        <v>99</v>
      </c>
      <c r="I2243">
        <v>1</v>
      </c>
      <c r="J2243" t="s">
        <v>107</v>
      </c>
      <c r="K2243" s="19">
        <v>0.58333333333333337</v>
      </c>
      <c r="L2243" s="19">
        <v>0.79166666666666663</v>
      </c>
      <c r="M2243">
        <v>5</v>
      </c>
      <c r="N2243">
        <v>158.57</v>
      </c>
      <c r="O2243">
        <v>0</v>
      </c>
      <c r="P2243">
        <v>0</v>
      </c>
      <c r="Q2243" t="s">
        <v>99</v>
      </c>
      <c r="R2243">
        <v>0</v>
      </c>
      <c r="S2243" s="19">
        <v>0</v>
      </c>
      <c r="T2243">
        <v>0</v>
      </c>
      <c r="U2243" s="19">
        <v>0.54166666666666663</v>
      </c>
      <c r="V2243" t="s">
        <v>99</v>
      </c>
      <c r="W2243">
        <v>5</v>
      </c>
      <c r="X2243" t="s">
        <v>102</v>
      </c>
      <c r="Y2243" t="b">
        <v>0</v>
      </c>
    </row>
    <row r="2244" spans="1:25" x14ac:dyDescent="0.55000000000000004">
      <c r="A2244" t="s">
        <v>94</v>
      </c>
      <c r="B2244" t="s">
        <v>466</v>
      </c>
      <c r="C2244" t="s">
        <v>308</v>
      </c>
      <c r="D2244" t="s">
        <v>111</v>
      </c>
      <c r="E2244" t="s">
        <v>117</v>
      </c>
      <c r="F2244" t="s">
        <v>99</v>
      </c>
      <c r="H2244" t="s">
        <v>99</v>
      </c>
      <c r="I2244">
        <v>1</v>
      </c>
      <c r="J2244" t="s">
        <v>101</v>
      </c>
      <c r="K2244" s="19">
        <v>0.29166666666666669</v>
      </c>
      <c r="L2244" s="19">
        <v>0.625</v>
      </c>
      <c r="M2244">
        <v>8</v>
      </c>
      <c r="N2244">
        <v>211.43</v>
      </c>
      <c r="O2244">
        <v>0</v>
      </c>
      <c r="P2244">
        <v>0</v>
      </c>
      <c r="Q2244" t="s">
        <v>99</v>
      </c>
      <c r="R2244">
        <v>30</v>
      </c>
      <c r="S2244" s="19">
        <v>0.5</v>
      </c>
      <c r="T2244">
        <v>0</v>
      </c>
      <c r="U2244" s="19">
        <v>0.54166666666666663</v>
      </c>
      <c r="V2244" t="s">
        <v>99</v>
      </c>
      <c r="W2244">
        <v>7.5</v>
      </c>
      <c r="X2244" t="s">
        <v>102</v>
      </c>
      <c r="Y2244" t="b">
        <v>0</v>
      </c>
    </row>
    <row r="2245" spans="1:25" x14ac:dyDescent="0.55000000000000004">
      <c r="A2245" t="s">
        <v>94</v>
      </c>
      <c r="B2245" t="s">
        <v>466</v>
      </c>
      <c r="C2245" t="s">
        <v>308</v>
      </c>
      <c r="D2245" t="s">
        <v>111</v>
      </c>
      <c r="E2245" t="s">
        <v>117</v>
      </c>
      <c r="F2245" t="s">
        <v>99</v>
      </c>
      <c r="H2245" t="s">
        <v>99</v>
      </c>
      <c r="I2245">
        <v>1</v>
      </c>
      <c r="J2245" t="s">
        <v>101</v>
      </c>
      <c r="K2245" s="19">
        <v>0.58333333333333337</v>
      </c>
      <c r="L2245" s="19">
        <v>0.79166666666666663</v>
      </c>
      <c r="M2245">
        <v>5</v>
      </c>
      <c r="N2245">
        <v>158.57</v>
      </c>
      <c r="O2245">
        <v>0</v>
      </c>
      <c r="P2245">
        <v>0</v>
      </c>
      <c r="Q2245" t="s">
        <v>99</v>
      </c>
      <c r="R2245">
        <v>0</v>
      </c>
      <c r="S2245" s="19">
        <v>0</v>
      </c>
      <c r="T2245">
        <v>0</v>
      </c>
      <c r="U2245" s="19">
        <v>0.54166666666666663</v>
      </c>
      <c r="V2245" t="s">
        <v>99</v>
      </c>
      <c r="W2245">
        <v>5</v>
      </c>
      <c r="X2245" t="s">
        <v>102</v>
      </c>
      <c r="Y2245" t="b">
        <v>0</v>
      </c>
    </row>
    <row r="2246" spans="1:25" x14ac:dyDescent="0.55000000000000004">
      <c r="A2246" t="s">
        <v>94</v>
      </c>
      <c r="B2246" t="s">
        <v>466</v>
      </c>
      <c r="C2246" t="s">
        <v>308</v>
      </c>
      <c r="D2246" t="s">
        <v>111</v>
      </c>
      <c r="E2246" t="s">
        <v>117</v>
      </c>
      <c r="F2246" t="s">
        <v>99</v>
      </c>
      <c r="H2246" t="s">
        <v>99</v>
      </c>
      <c r="I2246">
        <v>1</v>
      </c>
      <c r="J2246" t="s">
        <v>115</v>
      </c>
      <c r="K2246" s="19">
        <v>0.25</v>
      </c>
      <c r="L2246" s="19">
        <v>0.60416666666666663</v>
      </c>
      <c r="M2246">
        <v>8.5</v>
      </c>
      <c r="N2246">
        <v>338.28</v>
      </c>
      <c r="O2246">
        <v>0</v>
      </c>
      <c r="P2246">
        <v>0</v>
      </c>
      <c r="Q2246" t="s">
        <v>99</v>
      </c>
      <c r="R2246">
        <v>30</v>
      </c>
      <c r="S2246" s="19">
        <v>0.45833333333333331</v>
      </c>
      <c r="T2246">
        <v>0</v>
      </c>
      <c r="U2246" s="19">
        <v>0.46458333333333335</v>
      </c>
      <c r="V2246" t="s">
        <v>99</v>
      </c>
      <c r="W2246">
        <v>8</v>
      </c>
      <c r="X2246" t="s">
        <v>102</v>
      </c>
      <c r="Y2246" t="b">
        <v>0</v>
      </c>
    </row>
    <row r="2247" spans="1:25" x14ac:dyDescent="0.55000000000000004">
      <c r="A2247" t="s">
        <v>94</v>
      </c>
      <c r="B2247" t="s">
        <v>466</v>
      </c>
      <c r="C2247" t="s">
        <v>308</v>
      </c>
      <c r="D2247" t="s">
        <v>111</v>
      </c>
      <c r="E2247" t="s">
        <v>117</v>
      </c>
      <c r="F2247" t="s">
        <v>99</v>
      </c>
      <c r="H2247" t="s">
        <v>99</v>
      </c>
      <c r="I2247">
        <v>1</v>
      </c>
      <c r="J2247" t="s">
        <v>115</v>
      </c>
      <c r="K2247" s="19">
        <v>0.29166666666666669</v>
      </c>
      <c r="L2247" s="19">
        <v>0.625</v>
      </c>
      <c r="M2247">
        <v>8</v>
      </c>
      <c r="N2247">
        <v>317.14</v>
      </c>
      <c r="O2247">
        <v>0</v>
      </c>
      <c r="P2247">
        <v>0</v>
      </c>
      <c r="Q2247" t="s">
        <v>99</v>
      </c>
      <c r="R2247">
        <v>30</v>
      </c>
      <c r="S2247" s="19">
        <v>0.5</v>
      </c>
      <c r="T2247">
        <v>0</v>
      </c>
      <c r="U2247" s="19">
        <v>0.54166666666666663</v>
      </c>
      <c r="V2247" t="s">
        <v>99</v>
      </c>
      <c r="W2247">
        <v>7.5</v>
      </c>
      <c r="X2247" t="s">
        <v>102</v>
      </c>
      <c r="Y2247" t="b">
        <v>0</v>
      </c>
    </row>
    <row r="2248" spans="1:25" x14ac:dyDescent="0.55000000000000004">
      <c r="A2248" t="s">
        <v>94</v>
      </c>
      <c r="B2248" t="s">
        <v>466</v>
      </c>
      <c r="C2248" t="s">
        <v>308</v>
      </c>
      <c r="D2248" t="s">
        <v>111</v>
      </c>
      <c r="E2248" t="s">
        <v>117</v>
      </c>
      <c r="F2248" t="s">
        <v>99</v>
      </c>
      <c r="H2248" t="s">
        <v>99</v>
      </c>
      <c r="I2248">
        <v>1</v>
      </c>
      <c r="J2248" t="s">
        <v>115</v>
      </c>
      <c r="K2248" s="19">
        <v>0.58333333333333337</v>
      </c>
      <c r="L2248" s="19">
        <v>0.79166666666666663</v>
      </c>
      <c r="M2248">
        <v>5</v>
      </c>
      <c r="N2248">
        <v>211.43</v>
      </c>
      <c r="O2248">
        <v>0</v>
      </c>
      <c r="P2248">
        <v>0</v>
      </c>
      <c r="Q2248" t="s">
        <v>99</v>
      </c>
      <c r="R2248">
        <v>0</v>
      </c>
      <c r="S2248" s="19">
        <v>0</v>
      </c>
      <c r="T2248">
        <v>0</v>
      </c>
      <c r="U2248" s="19">
        <v>0.54166666666666663</v>
      </c>
      <c r="V2248" t="s">
        <v>99</v>
      </c>
      <c r="W2248">
        <v>5</v>
      </c>
      <c r="X2248" t="s">
        <v>102</v>
      </c>
      <c r="Y2248" t="b">
        <v>0</v>
      </c>
    </row>
    <row r="2249" spans="1:25" x14ac:dyDescent="0.55000000000000004">
      <c r="A2249" t="s">
        <v>94</v>
      </c>
      <c r="B2249" t="s">
        <v>466</v>
      </c>
      <c r="C2249" t="s">
        <v>308</v>
      </c>
      <c r="D2249" t="s">
        <v>111</v>
      </c>
      <c r="E2249" t="s">
        <v>117</v>
      </c>
      <c r="F2249" t="s">
        <v>99</v>
      </c>
      <c r="H2249" t="s">
        <v>99</v>
      </c>
      <c r="I2249">
        <v>1</v>
      </c>
      <c r="J2249" t="s">
        <v>115</v>
      </c>
      <c r="K2249" s="19">
        <v>0.625</v>
      </c>
      <c r="L2249" s="19">
        <v>0.79166666666666663</v>
      </c>
      <c r="M2249">
        <v>4</v>
      </c>
      <c r="N2249">
        <v>169.14</v>
      </c>
      <c r="O2249">
        <v>0</v>
      </c>
      <c r="P2249">
        <v>0</v>
      </c>
      <c r="Q2249" t="s">
        <v>99</v>
      </c>
      <c r="R2249">
        <v>0</v>
      </c>
      <c r="S2249" s="19">
        <v>0.83333333333333337</v>
      </c>
      <c r="T2249">
        <v>0</v>
      </c>
      <c r="U2249" s="19">
        <v>0.54166666666666663</v>
      </c>
      <c r="V2249" t="s">
        <v>99</v>
      </c>
      <c r="W2249">
        <v>4</v>
      </c>
      <c r="X2249" t="s">
        <v>102</v>
      </c>
      <c r="Y2249" t="b">
        <v>0</v>
      </c>
    </row>
    <row r="2250" spans="1:25" x14ac:dyDescent="0.55000000000000004">
      <c r="A2250" t="s">
        <v>94</v>
      </c>
      <c r="B2250" t="s">
        <v>466</v>
      </c>
      <c r="C2250" t="s">
        <v>308</v>
      </c>
      <c r="D2250" t="s">
        <v>111</v>
      </c>
      <c r="E2250" t="s">
        <v>117</v>
      </c>
      <c r="F2250" t="s">
        <v>99</v>
      </c>
      <c r="H2250" t="s">
        <v>99</v>
      </c>
      <c r="I2250">
        <v>1</v>
      </c>
      <c r="J2250" t="s">
        <v>116</v>
      </c>
      <c r="K2250" s="19">
        <v>0.29166666666666669</v>
      </c>
      <c r="L2250" s="19">
        <v>0.625</v>
      </c>
      <c r="M2250">
        <v>8</v>
      </c>
      <c r="N2250">
        <v>369.99</v>
      </c>
      <c r="O2250">
        <v>0</v>
      </c>
      <c r="P2250">
        <v>0</v>
      </c>
      <c r="Q2250" t="s">
        <v>99</v>
      </c>
      <c r="R2250">
        <v>30</v>
      </c>
      <c r="S2250" s="19">
        <v>0.5</v>
      </c>
      <c r="T2250">
        <v>0</v>
      </c>
      <c r="U2250" s="19">
        <v>0.54166666666666663</v>
      </c>
      <c r="V2250" t="s">
        <v>99</v>
      </c>
      <c r="W2250">
        <v>7.5</v>
      </c>
      <c r="X2250" t="s">
        <v>102</v>
      </c>
      <c r="Y2250" t="b">
        <v>0</v>
      </c>
    </row>
    <row r="2251" spans="1:25" x14ac:dyDescent="0.55000000000000004">
      <c r="A2251" t="s">
        <v>94</v>
      </c>
      <c r="B2251" t="s">
        <v>466</v>
      </c>
      <c r="C2251" t="s">
        <v>308</v>
      </c>
      <c r="D2251" t="s">
        <v>111</v>
      </c>
      <c r="E2251" t="s">
        <v>117</v>
      </c>
      <c r="F2251" t="s">
        <v>99</v>
      </c>
      <c r="H2251" t="s">
        <v>99</v>
      </c>
      <c r="I2251">
        <v>1</v>
      </c>
      <c r="J2251" t="s">
        <v>116</v>
      </c>
      <c r="K2251" s="19">
        <v>0.58333333333333337</v>
      </c>
      <c r="L2251" s="19">
        <v>0.79166666666666663</v>
      </c>
      <c r="M2251">
        <v>5</v>
      </c>
      <c r="N2251">
        <v>246.66</v>
      </c>
      <c r="O2251">
        <v>0</v>
      </c>
      <c r="P2251">
        <v>0</v>
      </c>
      <c r="Q2251" t="s">
        <v>99</v>
      </c>
      <c r="R2251">
        <v>0</v>
      </c>
      <c r="S2251" s="19">
        <v>0</v>
      </c>
      <c r="T2251">
        <v>0</v>
      </c>
      <c r="U2251" s="19">
        <v>0.54166666666666663</v>
      </c>
      <c r="V2251" t="s">
        <v>99</v>
      </c>
      <c r="W2251">
        <v>5</v>
      </c>
      <c r="X2251" t="s">
        <v>102</v>
      </c>
      <c r="Y2251" t="b">
        <v>0</v>
      </c>
    </row>
    <row r="2252" spans="1:25" x14ac:dyDescent="0.55000000000000004">
      <c r="A2252" t="s">
        <v>94</v>
      </c>
      <c r="B2252" t="s">
        <v>466</v>
      </c>
      <c r="C2252" t="s">
        <v>308</v>
      </c>
      <c r="D2252" t="s">
        <v>111</v>
      </c>
      <c r="E2252" t="s">
        <v>117</v>
      </c>
      <c r="F2252" t="s">
        <v>99</v>
      </c>
      <c r="H2252" t="s">
        <v>99</v>
      </c>
      <c r="I2252">
        <v>1</v>
      </c>
      <c r="J2252" t="s">
        <v>116</v>
      </c>
      <c r="K2252" s="19">
        <v>0.625</v>
      </c>
      <c r="L2252" s="19">
        <v>0.79166666666666663</v>
      </c>
      <c r="M2252">
        <v>4</v>
      </c>
      <c r="N2252">
        <v>197.33</v>
      </c>
      <c r="O2252">
        <v>0</v>
      </c>
      <c r="P2252">
        <v>0</v>
      </c>
      <c r="Q2252" t="s">
        <v>99</v>
      </c>
      <c r="R2252">
        <v>0</v>
      </c>
      <c r="S2252" s="19">
        <v>0.83333333333333337</v>
      </c>
      <c r="T2252">
        <v>0</v>
      </c>
      <c r="U2252" s="19">
        <v>0.54166666666666663</v>
      </c>
      <c r="V2252" t="s">
        <v>99</v>
      </c>
      <c r="W2252">
        <v>4</v>
      </c>
      <c r="X2252" t="s">
        <v>102</v>
      </c>
      <c r="Y2252" t="b">
        <v>0</v>
      </c>
    </row>
    <row r="2253" spans="1:25" x14ac:dyDescent="0.55000000000000004">
      <c r="A2253" t="s">
        <v>94</v>
      </c>
      <c r="B2253" t="s">
        <v>466</v>
      </c>
      <c r="C2253" t="s">
        <v>308</v>
      </c>
      <c r="D2253" t="s">
        <v>111</v>
      </c>
      <c r="E2253" t="s">
        <v>117</v>
      </c>
      <c r="F2253" t="s">
        <v>99</v>
      </c>
      <c r="H2253" t="s">
        <v>99</v>
      </c>
      <c r="I2253">
        <v>1</v>
      </c>
      <c r="J2253" t="s">
        <v>103</v>
      </c>
      <c r="K2253" s="19">
        <v>0.25</v>
      </c>
      <c r="L2253" s="19">
        <v>0.60416666666666663</v>
      </c>
      <c r="M2253">
        <v>8.5</v>
      </c>
      <c r="N2253">
        <v>225.52</v>
      </c>
      <c r="O2253">
        <v>0</v>
      </c>
      <c r="P2253">
        <v>0</v>
      </c>
      <c r="Q2253" t="s">
        <v>99</v>
      </c>
      <c r="R2253">
        <v>30</v>
      </c>
      <c r="S2253" s="19">
        <v>0.45833333333333331</v>
      </c>
      <c r="T2253">
        <v>0</v>
      </c>
      <c r="U2253" s="19">
        <v>0.46458333333333335</v>
      </c>
      <c r="V2253" t="s">
        <v>99</v>
      </c>
      <c r="W2253">
        <v>8</v>
      </c>
      <c r="X2253" t="s">
        <v>102</v>
      </c>
      <c r="Y2253" t="b">
        <v>0</v>
      </c>
    </row>
    <row r="2254" spans="1:25" x14ac:dyDescent="0.55000000000000004">
      <c r="A2254" t="s">
        <v>94</v>
      </c>
      <c r="B2254" t="s">
        <v>466</v>
      </c>
      <c r="C2254" t="s">
        <v>308</v>
      </c>
      <c r="D2254" t="s">
        <v>111</v>
      </c>
      <c r="E2254" t="s">
        <v>117</v>
      </c>
      <c r="F2254" t="s">
        <v>99</v>
      </c>
      <c r="H2254" t="s">
        <v>99</v>
      </c>
      <c r="I2254">
        <v>1</v>
      </c>
      <c r="J2254" t="s">
        <v>103</v>
      </c>
      <c r="K2254" s="19">
        <v>0.29166666666666669</v>
      </c>
      <c r="L2254" s="19">
        <v>0.625</v>
      </c>
      <c r="M2254">
        <v>8</v>
      </c>
      <c r="N2254">
        <v>211.43</v>
      </c>
      <c r="O2254">
        <v>0</v>
      </c>
      <c r="P2254">
        <v>0</v>
      </c>
      <c r="Q2254" t="s">
        <v>99</v>
      </c>
      <c r="R2254">
        <v>30</v>
      </c>
      <c r="S2254" s="19">
        <v>0.5</v>
      </c>
      <c r="T2254">
        <v>0</v>
      </c>
      <c r="U2254" s="19">
        <v>0.54166666666666663</v>
      </c>
      <c r="V2254" t="s">
        <v>99</v>
      </c>
      <c r="W2254">
        <v>7.5</v>
      </c>
      <c r="X2254" t="s">
        <v>102</v>
      </c>
      <c r="Y2254" t="b">
        <v>0</v>
      </c>
    </row>
    <row r="2255" spans="1:25" x14ac:dyDescent="0.55000000000000004">
      <c r="A2255" t="s">
        <v>94</v>
      </c>
      <c r="B2255" t="s">
        <v>466</v>
      </c>
      <c r="C2255" t="s">
        <v>308</v>
      </c>
      <c r="D2255" t="s">
        <v>111</v>
      </c>
      <c r="E2255" t="s">
        <v>117</v>
      </c>
      <c r="F2255" t="s">
        <v>99</v>
      </c>
      <c r="H2255" t="s">
        <v>99</v>
      </c>
      <c r="I2255">
        <v>1</v>
      </c>
      <c r="J2255" t="s">
        <v>103</v>
      </c>
      <c r="K2255" s="19">
        <v>0.58333333333333337</v>
      </c>
      <c r="L2255" s="19">
        <v>0.79166666666666663</v>
      </c>
      <c r="M2255">
        <v>5</v>
      </c>
      <c r="N2255">
        <v>158.57</v>
      </c>
      <c r="O2255">
        <v>0</v>
      </c>
      <c r="P2255">
        <v>0</v>
      </c>
      <c r="Q2255" t="s">
        <v>99</v>
      </c>
      <c r="R2255">
        <v>0</v>
      </c>
      <c r="S2255" s="19">
        <v>0</v>
      </c>
      <c r="T2255">
        <v>0</v>
      </c>
      <c r="U2255" s="19">
        <v>0.54166666666666663</v>
      </c>
      <c r="V2255" t="s">
        <v>99</v>
      </c>
      <c r="W2255">
        <v>5</v>
      </c>
      <c r="X2255" t="s">
        <v>102</v>
      </c>
      <c r="Y2255" t="b">
        <v>0</v>
      </c>
    </row>
    <row r="2256" spans="1:25" x14ac:dyDescent="0.55000000000000004">
      <c r="A2256" t="s">
        <v>94</v>
      </c>
      <c r="B2256" t="s">
        <v>466</v>
      </c>
      <c r="C2256" t="s">
        <v>308</v>
      </c>
      <c r="D2256" t="s">
        <v>111</v>
      </c>
      <c r="E2256" t="s">
        <v>117</v>
      </c>
      <c r="F2256" t="s">
        <v>99</v>
      </c>
      <c r="H2256" t="s">
        <v>99</v>
      </c>
      <c r="I2256">
        <v>1</v>
      </c>
      <c r="J2256" t="s">
        <v>104</v>
      </c>
      <c r="K2256" s="19">
        <v>0.29166666666666669</v>
      </c>
      <c r="L2256" s="19">
        <v>0.625</v>
      </c>
      <c r="M2256">
        <v>8</v>
      </c>
      <c r="N2256">
        <v>211.43</v>
      </c>
      <c r="O2256">
        <v>0</v>
      </c>
      <c r="P2256">
        <v>0</v>
      </c>
      <c r="Q2256" t="s">
        <v>99</v>
      </c>
      <c r="R2256">
        <v>30</v>
      </c>
      <c r="S2256" s="19">
        <v>0.5</v>
      </c>
      <c r="T2256">
        <v>0</v>
      </c>
      <c r="U2256" s="19">
        <v>0.54166666666666663</v>
      </c>
      <c r="V2256" t="s">
        <v>99</v>
      </c>
      <c r="W2256">
        <v>7.5</v>
      </c>
      <c r="X2256" t="s">
        <v>102</v>
      </c>
      <c r="Y2256" t="b">
        <v>0</v>
      </c>
    </row>
    <row r="2257" spans="1:25" x14ac:dyDescent="0.55000000000000004">
      <c r="A2257" t="s">
        <v>94</v>
      </c>
      <c r="B2257" t="s">
        <v>466</v>
      </c>
      <c r="C2257" t="s">
        <v>308</v>
      </c>
      <c r="D2257" t="s">
        <v>111</v>
      </c>
      <c r="E2257" t="s">
        <v>117</v>
      </c>
      <c r="F2257" t="s">
        <v>99</v>
      </c>
      <c r="H2257" t="s">
        <v>99</v>
      </c>
      <c r="I2257">
        <v>1</v>
      </c>
      <c r="J2257" t="s">
        <v>104</v>
      </c>
      <c r="K2257" s="19">
        <v>0.58333333333333337</v>
      </c>
      <c r="L2257" s="19">
        <v>0.79166666666666663</v>
      </c>
      <c r="M2257">
        <v>5</v>
      </c>
      <c r="N2257">
        <v>158.57</v>
      </c>
      <c r="O2257">
        <v>0</v>
      </c>
      <c r="P2257">
        <v>0</v>
      </c>
      <c r="Q2257" t="s">
        <v>99</v>
      </c>
      <c r="R2257">
        <v>0</v>
      </c>
      <c r="S2257" s="19">
        <v>0</v>
      </c>
      <c r="T2257">
        <v>0</v>
      </c>
      <c r="U2257" s="19">
        <v>0.54166666666666663</v>
      </c>
      <c r="V2257" t="s">
        <v>99</v>
      </c>
      <c r="W2257">
        <v>5</v>
      </c>
      <c r="X2257" t="s">
        <v>102</v>
      </c>
      <c r="Y2257" t="b">
        <v>0</v>
      </c>
    </row>
    <row r="2258" spans="1:25" x14ac:dyDescent="0.55000000000000004">
      <c r="A2258" t="s">
        <v>94</v>
      </c>
      <c r="B2258" t="s">
        <v>466</v>
      </c>
      <c r="C2258" t="s">
        <v>308</v>
      </c>
      <c r="D2258" t="s">
        <v>111</v>
      </c>
      <c r="E2258" t="s">
        <v>117</v>
      </c>
      <c r="F2258" t="s">
        <v>99</v>
      </c>
      <c r="H2258" t="s">
        <v>99</v>
      </c>
      <c r="I2258">
        <v>1</v>
      </c>
      <c r="J2258" t="s">
        <v>105</v>
      </c>
      <c r="K2258" s="19">
        <v>0.29166666666666669</v>
      </c>
      <c r="L2258" s="19">
        <v>0.625</v>
      </c>
      <c r="M2258">
        <v>8</v>
      </c>
      <c r="N2258">
        <v>211.43</v>
      </c>
      <c r="O2258">
        <v>0</v>
      </c>
      <c r="P2258">
        <v>0</v>
      </c>
      <c r="Q2258" t="s">
        <v>99</v>
      </c>
      <c r="R2258">
        <v>30</v>
      </c>
      <c r="S2258" s="19">
        <v>0.5</v>
      </c>
      <c r="T2258">
        <v>0</v>
      </c>
      <c r="U2258" s="19">
        <v>0.54166666666666663</v>
      </c>
      <c r="V2258" t="s">
        <v>99</v>
      </c>
      <c r="W2258">
        <v>7.5</v>
      </c>
      <c r="X2258" t="s">
        <v>102</v>
      </c>
      <c r="Y2258" t="b">
        <v>0</v>
      </c>
    </row>
    <row r="2259" spans="1:25" x14ac:dyDescent="0.55000000000000004">
      <c r="A2259" t="s">
        <v>94</v>
      </c>
      <c r="B2259" t="s">
        <v>466</v>
      </c>
      <c r="C2259" t="s">
        <v>308</v>
      </c>
      <c r="D2259" t="s">
        <v>111</v>
      </c>
      <c r="E2259" t="s">
        <v>117</v>
      </c>
      <c r="F2259" t="s">
        <v>99</v>
      </c>
      <c r="H2259" t="s">
        <v>99</v>
      </c>
      <c r="I2259">
        <v>1</v>
      </c>
      <c r="J2259" t="s">
        <v>105</v>
      </c>
      <c r="K2259" s="19">
        <v>0.58333333333333337</v>
      </c>
      <c r="L2259" s="19">
        <v>0.79166666666666663</v>
      </c>
      <c r="M2259">
        <v>5</v>
      </c>
      <c r="N2259">
        <v>158.57</v>
      </c>
      <c r="O2259">
        <v>0</v>
      </c>
      <c r="P2259">
        <v>0</v>
      </c>
      <c r="Q2259" t="s">
        <v>99</v>
      </c>
      <c r="R2259">
        <v>0</v>
      </c>
      <c r="S2259" s="19">
        <v>0</v>
      </c>
      <c r="T2259">
        <v>0</v>
      </c>
      <c r="U2259" s="19">
        <v>0.54166666666666663</v>
      </c>
      <c r="V2259" t="s">
        <v>99</v>
      </c>
      <c r="W2259">
        <v>5</v>
      </c>
      <c r="X2259" t="s">
        <v>102</v>
      </c>
      <c r="Y2259" t="b">
        <v>0</v>
      </c>
    </row>
    <row r="2260" spans="1:25" x14ac:dyDescent="0.55000000000000004">
      <c r="A2260" t="s">
        <v>94</v>
      </c>
      <c r="B2260" t="s">
        <v>466</v>
      </c>
      <c r="C2260" t="s">
        <v>308</v>
      </c>
      <c r="D2260" t="s">
        <v>111</v>
      </c>
      <c r="E2260" t="s">
        <v>117</v>
      </c>
      <c r="F2260" t="s">
        <v>99</v>
      </c>
      <c r="H2260" t="s">
        <v>99</v>
      </c>
      <c r="I2260">
        <v>2</v>
      </c>
      <c r="J2260" t="s">
        <v>107</v>
      </c>
      <c r="K2260" s="19">
        <v>0.29166666666666669</v>
      </c>
      <c r="L2260" s="19">
        <v>0.625</v>
      </c>
      <c r="M2260">
        <v>8</v>
      </c>
      <c r="N2260">
        <v>211.43</v>
      </c>
      <c r="O2260">
        <v>0</v>
      </c>
      <c r="P2260">
        <v>0</v>
      </c>
      <c r="Q2260" t="s">
        <v>99</v>
      </c>
      <c r="R2260">
        <v>30</v>
      </c>
      <c r="S2260" s="19">
        <v>0.5</v>
      </c>
      <c r="T2260">
        <v>0</v>
      </c>
      <c r="U2260" s="19">
        <v>0.54166666666666663</v>
      </c>
      <c r="V2260" t="s">
        <v>99</v>
      </c>
      <c r="W2260">
        <v>7.5</v>
      </c>
      <c r="X2260" t="s">
        <v>102</v>
      </c>
      <c r="Y2260" t="b">
        <v>0</v>
      </c>
    </row>
    <row r="2261" spans="1:25" x14ac:dyDescent="0.55000000000000004">
      <c r="A2261" t="s">
        <v>94</v>
      </c>
      <c r="B2261" t="s">
        <v>466</v>
      </c>
      <c r="C2261" t="s">
        <v>308</v>
      </c>
      <c r="D2261" t="s">
        <v>111</v>
      </c>
      <c r="E2261" t="s">
        <v>117</v>
      </c>
      <c r="F2261" t="s">
        <v>99</v>
      </c>
      <c r="H2261" t="s">
        <v>99</v>
      </c>
      <c r="I2261">
        <v>2</v>
      </c>
      <c r="J2261" t="s">
        <v>107</v>
      </c>
      <c r="K2261" s="19">
        <v>0.58333333333333337</v>
      </c>
      <c r="L2261" s="19">
        <v>0.79166666666666663</v>
      </c>
      <c r="M2261">
        <v>5</v>
      </c>
      <c r="N2261">
        <v>158.57</v>
      </c>
      <c r="O2261">
        <v>0</v>
      </c>
      <c r="P2261">
        <v>0</v>
      </c>
      <c r="Q2261" t="s">
        <v>99</v>
      </c>
      <c r="R2261">
        <v>0</v>
      </c>
      <c r="S2261" s="19">
        <v>0</v>
      </c>
      <c r="T2261">
        <v>0</v>
      </c>
      <c r="U2261" s="19">
        <v>0.54166666666666663</v>
      </c>
      <c r="V2261" t="s">
        <v>99</v>
      </c>
      <c r="W2261">
        <v>5</v>
      </c>
      <c r="X2261" t="s">
        <v>102</v>
      </c>
      <c r="Y2261" t="b">
        <v>0</v>
      </c>
    </row>
    <row r="2262" spans="1:25" x14ac:dyDescent="0.55000000000000004">
      <c r="A2262" t="s">
        <v>94</v>
      </c>
      <c r="B2262" t="s">
        <v>466</v>
      </c>
      <c r="C2262" t="s">
        <v>308</v>
      </c>
      <c r="D2262" t="s">
        <v>111</v>
      </c>
      <c r="E2262" t="s">
        <v>117</v>
      </c>
      <c r="F2262" t="s">
        <v>99</v>
      </c>
      <c r="H2262" t="s">
        <v>99</v>
      </c>
      <c r="I2262">
        <v>2</v>
      </c>
      <c r="J2262" t="s">
        <v>101</v>
      </c>
      <c r="K2262" s="19">
        <v>0.29166666666666669</v>
      </c>
      <c r="L2262" s="19">
        <v>0.625</v>
      </c>
      <c r="M2262">
        <v>8</v>
      </c>
      <c r="N2262">
        <v>211.43</v>
      </c>
      <c r="O2262">
        <v>0</v>
      </c>
      <c r="P2262">
        <v>0</v>
      </c>
      <c r="Q2262" t="s">
        <v>99</v>
      </c>
      <c r="R2262">
        <v>30</v>
      </c>
      <c r="S2262" s="19">
        <v>0.5</v>
      </c>
      <c r="T2262">
        <v>0</v>
      </c>
      <c r="U2262" s="19">
        <v>0.54166666666666663</v>
      </c>
      <c r="V2262" t="s">
        <v>99</v>
      </c>
      <c r="W2262">
        <v>7.5</v>
      </c>
      <c r="X2262" t="s">
        <v>102</v>
      </c>
      <c r="Y2262" t="b">
        <v>0</v>
      </c>
    </row>
    <row r="2263" spans="1:25" x14ac:dyDescent="0.55000000000000004">
      <c r="A2263" t="s">
        <v>94</v>
      </c>
      <c r="B2263" t="s">
        <v>466</v>
      </c>
      <c r="C2263" t="s">
        <v>308</v>
      </c>
      <c r="D2263" t="s">
        <v>111</v>
      </c>
      <c r="E2263" t="s">
        <v>117</v>
      </c>
      <c r="F2263" t="s">
        <v>99</v>
      </c>
      <c r="H2263" t="s">
        <v>99</v>
      </c>
      <c r="I2263">
        <v>2</v>
      </c>
      <c r="J2263" t="s">
        <v>101</v>
      </c>
      <c r="K2263" s="19">
        <v>0.58333333333333337</v>
      </c>
      <c r="L2263" s="19">
        <v>0.79166666666666663</v>
      </c>
      <c r="M2263">
        <v>5</v>
      </c>
      <c r="N2263">
        <v>158.57</v>
      </c>
      <c r="O2263">
        <v>0</v>
      </c>
      <c r="P2263">
        <v>0</v>
      </c>
      <c r="Q2263" t="s">
        <v>99</v>
      </c>
      <c r="R2263">
        <v>0</v>
      </c>
      <c r="S2263" s="19">
        <v>0</v>
      </c>
      <c r="T2263">
        <v>0</v>
      </c>
      <c r="U2263" s="19">
        <v>0.54166666666666663</v>
      </c>
      <c r="V2263" t="s">
        <v>99</v>
      </c>
      <c r="W2263">
        <v>5</v>
      </c>
      <c r="X2263" t="s">
        <v>102</v>
      </c>
      <c r="Y2263" t="b">
        <v>0</v>
      </c>
    </row>
    <row r="2264" spans="1:25" x14ac:dyDescent="0.55000000000000004">
      <c r="A2264" t="s">
        <v>94</v>
      </c>
      <c r="B2264" t="s">
        <v>466</v>
      </c>
      <c r="C2264" t="s">
        <v>308</v>
      </c>
      <c r="D2264" t="s">
        <v>111</v>
      </c>
      <c r="E2264" t="s">
        <v>117</v>
      </c>
      <c r="F2264" t="s">
        <v>99</v>
      </c>
      <c r="H2264" t="s">
        <v>99</v>
      </c>
      <c r="I2264">
        <v>2</v>
      </c>
      <c r="J2264" t="s">
        <v>115</v>
      </c>
      <c r="K2264" s="19">
        <v>0.25</v>
      </c>
      <c r="L2264" s="19">
        <v>0.60416666666666663</v>
      </c>
      <c r="M2264">
        <v>8.5</v>
      </c>
      <c r="N2264">
        <v>563.79999999999995</v>
      </c>
      <c r="O2264">
        <v>0</v>
      </c>
      <c r="P2264">
        <v>0</v>
      </c>
      <c r="Q2264" t="s">
        <v>99</v>
      </c>
      <c r="R2264">
        <v>30</v>
      </c>
      <c r="S2264" s="19">
        <v>0.45833333333333331</v>
      </c>
      <c r="T2264">
        <v>0</v>
      </c>
      <c r="U2264" s="19">
        <v>0.46458333333333335</v>
      </c>
      <c r="V2264" t="s">
        <v>99</v>
      </c>
      <c r="W2264">
        <v>8</v>
      </c>
      <c r="X2264" t="s">
        <v>102</v>
      </c>
      <c r="Y2264" t="b">
        <v>0</v>
      </c>
    </row>
    <row r="2265" spans="1:25" x14ac:dyDescent="0.55000000000000004">
      <c r="A2265" t="s">
        <v>94</v>
      </c>
      <c r="B2265" t="s">
        <v>466</v>
      </c>
      <c r="C2265" t="s">
        <v>308</v>
      </c>
      <c r="D2265" t="s">
        <v>111</v>
      </c>
      <c r="E2265" t="s">
        <v>117</v>
      </c>
      <c r="F2265" t="s">
        <v>99</v>
      </c>
      <c r="H2265" t="s">
        <v>99</v>
      </c>
      <c r="I2265">
        <v>2</v>
      </c>
      <c r="J2265" t="s">
        <v>115</v>
      </c>
      <c r="K2265" s="19">
        <v>0.29166666666666669</v>
      </c>
      <c r="L2265" s="19">
        <v>0.625</v>
      </c>
      <c r="M2265">
        <v>8</v>
      </c>
      <c r="N2265">
        <v>528.55999999999995</v>
      </c>
      <c r="O2265">
        <v>0</v>
      </c>
      <c r="P2265">
        <v>0</v>
      </c>
      <c r="Q2265" t="s">
        <v>99</v>
      </c>
      <c r="R2265">
        <v>30</v>
      </c>
      <c r="S2265" s="19">
        <v>0.5</v>
      </c>
      <c r="T2265">
        <v>0</v>
      </c>
      <c r="U2265" s="19">
        <v>0.54166666666666663</v>
      </c>
      <c r="V2265" t="s">
        <v>99</v>
      </c>
      <c r="W2265">
        <v>7.5</v>
      </c>
      <c r="X2265" t="s">
        <v>102</v>
      </c>
      <c r="Y2265" t="b">
        <v>0</v>
      </c>
    </row>
    <row r="2266" spans="1:25" x14ac:dyDescent="0.55000000000000004">
      <c r="A2266" t="s">
        <v>94</v>
      </c>
      <c r="B2266" t="s">
        <v>466</v>
      </c>
      <c r="C2266" t="s">
        <v>308</v>
      </c>
      <c r="D2266" t="s">
        <v>111</v>
      </c>
      <c r="E2266" t="s">
        <v>117</v>
      </c>
      <c r="F2266" t="s">
        <v>99</v>
      </c>
      <c r="H2266" t="s">
        <v>99</v>
      </c>
      <c r="I2266">
        <v>2</v>
      </c>
      <c r="J2266" t="s">
        <v>115</v>
      </c>
      <c r="K2266" s="19">
        <v>0.58333333333333337</v>
      </c>
      <c r="L2266" s="19">
        <v>0.79166666666666663</v>
      </c>
      <c r="M2266">
        <v>5</v>
      </c>
      <c r="N2266">
        <v>352.38</v>
      </c>
      <c r="O2266">
        <v>0</v>
      </c>
      <c r="P2266">
        <v>0</v>
      </c>
      <c r="Q2266" t="s">
        <v>99</v>
      </c>
      <c r="R2266">
        <v>0</v>
      </c>
      <c r="S2266" s="19">
        <v>0</v>
      </c>
      <c r="T2266">
        <v>0</v>
      </c>
      <c r="U2266" s="19">
        <v>0.54166666666666663</v>
      </c>
      <c r="V2266" t="s">
        <v>99</v>
      </c>
      <c r="W2266">
        <v>5</v>
      </c>
      <c r="X2266" t="s">
        <v>102</v>
      </c>
      <c r="Y2266" t="b">
        <v>0</v>
      </c>
    </row>
    <row r="2267" spans="1:25" x14ac:dyDescent="0.55000000000000004">
      <c r="A2267" t="s">
        <v>94</v>
      </c>
      <c r="B2267" t="s">
        <v>466</v>
      </c>
      <c r="C2267" t="s">
        <v>308</v>
      </c>
      <c r="D2267" t="s">
        <v>111</v>
      </c>
      <c r="E2267" t="s">
        <v>117</v>
      </c>
      <c r="F2267" t="s">
        <v>99</v>
      </c>
      <c r="H2267" t="s">
        <v>99</v>
      </c>
      <c r="I2267">
        <v>2</v>
      </c>
      <c r="J2267" t="s">
        <v>115</v>
      </c>
      <c r="K2267" s="19">
        <v>0.625</v>
      </c>
      <c r="L2267" s="19">
        <v>0.79166666666666663</v>
      </c>
      <c r="M2267">
        <v>4</v>
      </c>
      <c r="N2267">
        <v>281.89999999999998</v>
      </c>
      <c r="O2267">
        <v>0</v>
      </c>
      <c r="P2267">
        <v>0</v>
      </c>
      <c r="Q2267" t="s">
        <v>99</v>
      </c>
      <c r="R2267">
        <v>0</v>
      </c>
      <c r="S2267" s="19">
        <v>0.83333333333333337</v>
      </c>
      <c r="T2267">
        <v>0</v>
      </c>
      <c r="U2267" s="19">
        <v>0.54166666666666663</v>
      </c>
      <c r="V2267" t="s">
        <v>99</v>
      </c>
      <c r="W2267">
        <v>4</v>
      </c>
      <c r="X2267" t="s">
        <v>102</v>
      </c>
      <c r="Y2267" t="b">
        <v>0</v>
      </c>
    </row>
    <row r="2268" spans="1:25" x14ac:dyDescent="0.55000000000000004">
      <c r="A2268" t="s">
        <v>94</v>
      </c>
      <c r="B2268" t="s">
        <v>466</v>
      </c>
      <c r="C2268" t="s">
        <v>308</v>
      </c>
      <c r="D2268" t="s">
        <v>111</v>
      </c>
      <c r="E2268" t="s">
        <v>117</v>
      </c>
      <c r="F2268" t="s">
        <v>99</v>
      </c>
      <c r="H2268" t="s">
        <v>99</v>
      </c>
      <c r="I2268">
        <v>2</v>
      </c>
      <c r="J2268" t="s">
        <v>116</v>
      </c>
      <c r="K2268" s="19">
        <v>0.25</v>
      </c>
      <c r="L2268" s="19">
        <v>0.60416666666666663</v>
      </c>
      <c r="M2268">
        <v>8.5</v>
      </c>
      <c r="N2268">
        <v>394.66</v>
      </c>
      <c r="O2268">
        <v>0</v>
      </c>
      <c r="P2268">
        <v>0</v>
      </c>
      <c r="Q2268" t="s">
        <v>99</v>
      </c>
      <c r="R2268">
        <v>30</v>
      </c>
      <c r="S2268" s="19">
        <v>0.45833333333333331</v>
      </c>
      <c r="T2268">
        <v>0</v>
      </c>
      <c r="U2268" s="19">
        <v>0.46458333333333335</v>
      </c>
      <c r="V2268" t="s">
        <v>99</v>
      </c>
      <c r="W2268">
        <v>8</v>
      </c>
      <c r="X2268" t="s">
        <v>102</v>
      </c>
      <c r="Y2268" t="b">
        <v>0</v>
      </c>
    </row>
    <row r="2269" spans="1:25" x14ac:dyDescent="0.55000000000000004">
      <c r="A2269" t="s">
        <v>94</v>
      </c>
      <c r="B2269" t="s">
        <v>466</v>
      </c>
      <c r="C2269" t="s">
        <v>308</v>
      </c>
      <c r="D2269" t="s">
        <v>111</v>
      </c>
      <c r="E2269" t="s">
        <v>117</v>
      </c>
      <c r="F2269" t="s">
        <v>99</v>
      </c>
      <c r="H2269" t="s">
        <v>99</v>
      </c>
      <c r="I2269">
        <v>2</v>
      </c>
      <c r="J2269" t="s">
        <v>116</v>
      </c>
      <c r="K2269" s="19">
        <v>0.29166666666666669</v>
      </c>
      <c r="L2269" s="19">
        <v>0.625</v>
      </c>
      <c r="M2269">
        <v>8</v>
      </c>
      <c r="N2269">
        <v>369.99</v>
      </c>
      <c r="O2269">
        <v>0</v>
      </c>
      <c r="P2269">
        <v>0</v>
      </c>
      <c r="Q2269" t="s">
        <v>99</v>
      </c>
      <c r="R2269">
        <v>30</v>
      </c>
      <c r="S2269" s="19">
        <v>0.5</v>
      </c>
      <c r="T2269">
        <v>0</v>
      </c>
      <c r="U2269" s="19">
        <v>0.54166666666666663</v>
      </c>
      <c r="V2269" t="s">
        <v>99</v>
      </c>
      <c r="W2269">
        <v>7.5</v>
      </c>
      <c r="X2269" t="s">
        <v>102</v>
      </c>
      <c r="Y2269" t="b">
        <v>0</v>
      </c>
    </row>
    <row r="2270" spans="1:25" x14ac:dyDescent="0.55000000000000004">
      <c r="A2270" t="s">
        <v>94</v>
      </c>
      <c r="B2270" t="s">
        <v>466</v>
      </c>
      <c r="C2270" t="s">
        <v>308</v>
      </c>
      <c r="D2270" t="s">
        <v>111</v>
      </c>
      <c r="E2270" t="s">
        <v>117</v>
      </c>
      <c r="F2270" t="s">
        <v>99</v>
      </c>
      <c r="H2270" t="s">
        <v>99</v>
      </c>
      <c r="I2270">
        <v>2</v>
      </c>
      <c r="J2270" t="s">
        <v>116</v>
      </c>
      <c r="K2270" s="19">
        <v>0.58333333333333337</v>
      </c>
      <c r="L2270" s="19">
        <v>0.79166666666666663</v>
      </c>
      <c r="M2270">
        <v>5</v>
      </c>
      <c r="N2270">
        <v>246.66</v>
      </c>
      <c r="O2270">
        <v>0</v>
      </c>
      <c r="P2270">
        <v>0</v>
      </c>
      <c r="Q2270" t="s">
        <v>99</v>
      </c>
      <c r="R2270">
        <v>0</v>
      </c>
      <c r="S2270" s="19">
        <v>0</v>
      </c>
      <c r="T2270">
        <v>0</v>
      </c>
      <c r="U2270" s="19">
        <v>0.54166666666666663</v>
      </c>
      <c r="V2270" t="s">
        <v>99</v>
      </c>
      <c r="W2270">
        <v>5</v>
      </c>
      <c r="X2270" t="s">
        <v>102</v>
      </c>
      <c r="Y2270" t="b">
        <v>0</v>
      </c>
    </row>
    <row r="2271" spans="1:25" x14ac:dyDescent="0.55000000000000004">
      <c r="A2271" t="s">
        <v>94</v>
      </c>
      <c r="B2271" t="s">
        <v>466</v>
      </c>
      <c r="C2271" t="s">
        <v>308</v>
      </c>
      <c r="D2271" t="s">
        <v>111</v>
      </c>
      <c r="E2271" t="s">
        <v>117</v>
      </c>
      <c r="F2271" t="s">
        <v>99</v>
      </c>
      <c r="H2271" t="s">
        <v>99</v>
      </c>
      <c r="I2271">
        <v>2</v>
      </c>
      <c r="J2271" t="s">
        <v>116</v>
      </c>
      <c r="K2271" s="19">
        <v>0.625</v>
      </c>
      <c r="L2271" s="19">
        <v>0.79166666666666663</v>
      </c>
      <c r="M2271">
        <v>4</v>
      </c>
      <c r="N2271">
        <v>197.33</v>
      </c>
      <c r="O2271">
        <v>0</v>
      </c>
      <c r="P2271">
        <v>0</v>
      </c>
      <c r="Q2271" t="s">
        <v>99</v>
      </c>
      <c r="R2271">
        <v>0</v>
      </c>
      <c r="S2271" s="19">
        <v>0.83333333333333337</v>
      </c>
      <c r="T2271">
        <v>0</v>
      </c>
      <c r="U2271" s="19">
        <v>0.54166666666666663</v>
      </c>
      <c r="V2271" t="s">
        <v>99</v>
      </c>
      <c r="W2271">
        <v>4</v>
      </c>
      <c r="X2271" t="s">
        <v>102</v>
      </c>
      <c r="Y2271" t="b">
        <v>0</v>
      </c>
    </row>
    <row r="2272" spans="1:25" x14ac:dyDescent="0.55000000000000004">
      <c r="A2272" t="s">
        <v>94</v>
      </c>
      <c r="B2272" t="s">
        <v>466</v>
      </c>
      <c r="C2272" t="s">
        <v>308</v>
      </c>
      <c r="D2272" t="s">
        <v>111</v>
      </c>
      <c r="E2272" t="s">
        <v>117</v>
      </c>
      <c r="F2272" t="s">
        <v>99</v>
      </c>
      <c r="H2272" t="s">
        <v>99</v>
      </c>
      <c r="I2272">
        <v>2</v>
      </c>
      <c r="J2272" t="s">
        <v>103</v>
      </c>
      <c r="K2272" s="19">
        <v>0.58333333333333337</v>
      </c>
      <c r="L2272" s="19">
        <v>0.79166666666666663</v>
      </c>
      <c r="M2272">
        <v>5</v>
      </c>
      <c r="N2272">
        <v>158.57</v>
      </c>
      <c r="O2272">
        <v>0</v>
      </c>
      <c r="P2272">
        <v>0</v>
      </c>
      <c r="Q2272" t="s">
        <v>99</v>
      </c>
      <c r="R2272">
        <v>0</v>
      </c>
      <c r="S2272" s="19">
        <v>0</v>
      </c>
      <c r="T2272">
        <v>0</v>
      </c>
      <c r="U2272" s="19">
        <v>0.54166666666666663</v>
      </c>
      <c r="V2272" t="s">
        <v>99</v>
      </c>
      <c r="W2272">
        <v>5</v>
      </c>
      <c r="X2272" t="s">
        <v>102</v>
      </c>
      <c r="Y2272" t="b">
        <v>0</v>
      </c>
    </row>
    <row r="2273" spans="1:25" x14ac:dyDescent="0.55000000000000004">
      <c r="A2273" t="s">
        <v>94</v>
      </c>
      <c r="B2273" t="s">
        <v>466</v>
      </c>
      <c r="C2273" t="s">
        <v>308</v>
      </c>
      <c r="D2273" t="s">
        <v>111</v>
      </c>
      <c r="E2273" t="s">
        <v>117</v>
      </c>
      <c r="F2273" t="s">
        <v>99</v>
      </c>
      <c r="H2273" t="s">
        <v>99</v>
      </c>
      <c r="I2273">
        <v>2</v>
      </c>
      <c r="J2273" t="s">
        <v>104</v>
      </c>
      <c r="K2273" s="19">
        <v>0.29166666666666669</v>
      </c>
      <c r="L2273" s="19">
        <v>0.625</v>
      </c>
      <c r="M2273">
        <v>8</v>
      </c>
      <c r="N2273">
        <v>211.43</v>
      </c>
      <c r="O2273">
        <v>0</v>
      </c>
      <c r="P2273">
        <v>0</v>
      </c>
      <c r="Q2273" t="s">
        <v>99</v>
      </c>
      <c r="R2273">
        <v>30</v>
      </c>
      <c r="S2273" s="19">
        <v>0.5</v>
      </c>
      <c r="T2273">
        <v>0</v>
      </c>
      <c r="U2273" s="19">
        <v>0.54166666666666663</v>
      </c>
      <c r="V2273" t="s">
        <v>99</v>
      </c>
      <c r="W2273">
        <v>7.5</v>
      </c>
      <c r="X2273" t="s">
        <v>102</v>
      </c>
      <c r="Y2273" t="b">
        <v>0</v>
      </c>
    </row>
    <row r="2274" spans="1:25" x14ac:dyDescent="0.55000000000000004">
      <c r="A2274" t="s">
        <v>94</v>
      </c>
      <c r="B2274" t="s">
        <v>466</v>
      </c>
      <c r="C2274" t="s">
        <v>308</v>
      </c>
      <c r="D2274" t="s">
        <v>111</v>
      </c>
      <c r="E2274" t="s">
        <v>117</v>
      </c>
      <c r="F2274" t="s">
        <v>99</v>
      </c>
      <c r="H2274" t="s">
        <v>99</v>
      </c>
      <c r="I2274">
        <v>2</v>
      </c>
      <c r="J2274" t="s">
        <v>104</v>
      </c>
      <c r="K2274" s="19">
        <v>0.58333333333333337</v>
      </c>
      <c r="L2274" s="19">
        <v>0.79166666666666663</v>
      </c>
      <c r="M2274">
        <v>5</v>
      </c>
      <c r="N2274">
        <v>158.57</v>
      </c>
      <c r="O2274">
        <v>0</v>
      </c>
      <c r="P2274">
        <v>0</v>
      </c>
      <c r="Q2274" t="s">
        <v>99</v>
      </c>
      <c r="R2274">
        <v>0</v>
      </c>
      <c r="S2274" s="19">
        <v>0</v>
      </c>
      <c r="T2274">
        <v>0</v>
      </c>
      <c r="U2274" s="19">
        <v>0.54166666666666663</v>
      </c>
      <c r="V2274" t="s">
        <v>99</v>
      </c>
      <c r="W2274">
        <v>5</v>
      </c>
      <c r="X2274" t="s">
        <v>102</v>
      </c>
      <c r="Y2274" t="b">
        <v>0</v>
      </c>
    </row>
    <row r="2275" spans="1:25" x14ac:dyDescent="0.55000000000000004">
      <c r="A2275" t="s">
        <v>94</v>
      </c>
      <c r="B2275" t="s">
        <v>466</v>
      </c>
      <c r="C2275" t="s">
        <v>308</v>
      </c>
      <c r="D2275" t="s">
        <v>111</v>
      </c>
      <c r="E2275" t="s">
        <v>117</v>
      </c>
      <c r="F2275" t="s">
        <v>99</v>
      </c>
      <c r="H2275" t="s">
        <v>99</v>
      </c>
      <c r="I2275">
        <v>2</v>
      </c>
      <c r="J2275" t="s">
        <v>105</v>
      </c>
      <c r="K2275" s="19">
        <v>0.25</v>
      </c>
      <c r="L2275" s="19">
        <v>0.60416666666666663</v>
      </c>
      <c r="M2275">
        <v>8.5</v>
      </c>
      <c r="N2275">
        <v>225.52</v>
      </c>
      <c r="O2275">
        <v>0</v>
      </c>
      <c r="P2275">
        <v>0</v>
      </c>
      <c r="Q2275" t="s">
        <v>99</v>
      </c>
      <c r="R2275">
        <v>30</v>
      </c>
      <c r="S2275" s="19">
        <v>0.45833333333333331</v>
      </c>
      <c r="T2275">
        <v>0</v>
      </c>
      <c r="U2275" s="19">
        <v>0.46458333333333335</v>
      </c>
      <c r="V2275" t="s">
        <v>99</v>
      </c>
      <c r="W2275">
        <v>8</v>
      </c>
      <c r="X2275" t="s">
        <v>102</v>
      </c>
      <c r="Y2275" t="b">
        <v>0</v>
      </c>
    </row>
    <row r="2276" spans="1:25" x14ac:dyDescent="0.55000000000000004">
      <c r="A2276" t="s">
        <v>94</v>
      </c>
      <c r="B2276" t="s">
        <v>466</v>
      </c>
      <c r="C2276" t="s">
        <v>308</v>
      </c>
      <c r="D2276" t="s">
        <v>111</v>
      </c>
      <c r="E2276" t="s">
        <v>117</v>
      </c>
      <c r="F2276" t="s">
        <v>99</v>
      </c>
      <c r="H2276" t="s">
        <v>99</v>
      </c>
      <c r="I2276">
        <v>2</v>
      </c>
      <c r="J2276" t="s">
        <v>105</v>
      </c>
      <c r="K2276" s="19">
        <v>0.29166666666666669</v>
      </c>
      <c r="L2276" s="19">
        <v>0.625</v>
      </c>
      <c r="M2276">
        <v>8</v>
      </c>
      <c r="N2276">
        <v>211.43</v>
      </c>
      <c r="O2276">
        <v>0</v>
      </c>
      <c r="P2276">
        <v>0</v>
      </c>
      <c r="Q2276" t="s">
        <v>99</v>
      </c>
      <c r="R2276">
        <v>30</v>
      </c>
      <c r="S2276" s="19">
        <v>0.5</v>
      </c>
      <c r="T2276">
        <v>0</v>
      </c>
      <c r="U2276" s="19">
        <v>0.54166666666666663</v>
      </c>
      <c r="V2276" t="s">
        <v>99</v>
      </c>
      <c r="W2276">
        <v>7.5</v>
      </c>
      <c r="X2276" t="s">
        <v>102</v>
      </c>
      <c r="Y2276" t="b">
        <v>0</v>
      </c>
    </row>
    <row r="2277" spans="1:25" x14ac:dyDescent="0.55000000000000004">
      <c r="A2277" t="s">
        <v>94</v>
      </c>
      <c r="B2277" t="s">
        <v>466</v>
      </c>
      <c r="C2277" t="s">
        <v>308</v>
      </c>
      <c r="D2277" t="s">
        <v>111</v>
      </c>
      <c r="E2277" t="s">
        <v>117</v>
      </c>
      <c r="F2277" t="s">
        <v>99</v>
      </c>
      <c r="H2277" t="s">
        <v>99</v>
      </c>
      <c r="I2277">
        <v>2</v>
      </c>
      <c r="J2277" t="s">
        <v>105</v>
      </c>
      <c r="K2277" s="19">
        <v>0.58333333333333337</v>
      </c>
      <c r="L2277" s="19">
        <v>0.79166666666666663</v>
      </c>
      <c r="M2277">
        <v>5</v>
      </c>
      <c r="N2277">
        <v>158.57</v>
      </c>
      <c r="O2277">
        <v>0</v>
      </c>
      <c r="P2277">
        <v>0</v>
      </c>
      <c r="Q2277" t="s">
        <v>99</v>
      </c>
      <c r="R2277">
        <v>0</v>
      </c>
      <c r="S2277" s="19">
        <v>0</v>
      </c>
      <c r="T2277">
        <v>0</v>
      </c>
      <c r="U2277" s="19">
        <v>0.54166666666666663</v>
      </c>
      <c r="V2277" t="s">
        <v>99</v>
      </c>
      <c r="W2277">
        <v>5</v>
      </c>
      <c r="X2277" t="s">
        <v>102</v>
      </c>
      <c r="Y2277" t="b">
        <v>0</v>
      </c>
    </row>
    <row r="2278" spans="1:25" x14ac:dyDescent="0.55000000000000004">
      <c r="A2278" t="s">
        <v>94</v>
      </c>
      <c r="B2278" t="s">
        <v>466</v>
      </c>
      <c r="C2278" t="s">
        <v>308</v>
      </c>
      <c r="D2278" t="s">
        <v>111</v>
      </c>
      <c r="E2278" t="s">
        <v>117</v>
      </c>
      <c r="F2278" t="s">
        <v>99</v>
      </c>
      <c r="G2278">
        <v>21898</v>
      </c>
      <c r="H2278" t="s">
        <v>312</v>
      </c>
      <c r="I2278">
        <v>1</v>
      </c>
      <c r="J2278" t="s">
        <v>116</v>
      </c>
      <c r="K2278" s="19">
        <v>0.25</v>
      </c>
      <c r="L2278" s="19">
        <v>0.60416666666666663</v>
      </c>
      <c r="M2278">
        <v>8.5</v>
      </c>
      <c r="N2278">
        <v>406.7</v>
      </c>
      <c r="O2278">
        <v>50</v>
      </c>
      <c r="P2278">
        <v>76</v>
      </c>
      <c r="Q2278" t="s">
        <v>99</v>
      </c>
      <c r="R2278">
        <v>30</v>
      </c>
      <c r="S2278" s="19">
        <v>0.45833333333333331</v>
      </c>
      <c r="T2278">
        <v>0</v>
      </c>
      <c r="U2278" s="19">
        <v>0.46458333333333335</v>
      </c>
      <c r="V2278" t="s">
        <v>99</v>
      </c>
      <c r="W2278">
        <v>8</v>
      </c>
      <c r="X2278" t="s">
        <v>102</v>
      </c>
      <c r="Y2278" t="b">
        <v>0</v>
      </c>
    </row>
    <row r="2279" spans="1:25" x14ac:dyDescent="0.55000000000000004">
      <c r="A2279" t="s">
        <v>94</v>
      </c>
      <c r="B2279" t="s">
        <v>466</v>
      </c>
      <c r="C2279" t="s">
        <v>308</v>
      </c>
      <c r="D2279" t="s">
        <v>111</v>
      </c>
      <c r="E2279" t="s">
        <v>117</v>
      </c>
      <c r="F2279" t="s">
        <v>99</v>
      </c>
      <c r="G2279">
        <v>21898</v>
      </c>
      <c r="H2279" t="s">
        <v>312</v>
      </c>
      <c r="I2279">
        <v>2</v>
      </c>
      <c r="J2279" t="s">
        <v>103</v>
      </c>
      <c r="K2279" s="19">
        <v>0.29166666666666669</v>
      </c>
      <c r="L2279" s="19">
        <v>0.625</v>
      </c>
      <c r="M2279">
        <v>8</v>
      </c>
      <c r="N2279">
        <v>217.88</v>
      </c>
      <c r="O2279">
        <v>50</v>
      </c>
      <c r="P2279">
        <v>76</v>
      </c>
      <c r="Q2279" t="s">
        <v>99</v>
      </c>
      <c r="R2279">
        <v>30</v>
      </c>
      <c r="S2279" s="19">
        <v>0.5</v>
      </c>
      <c r="T2279">
        <v>0</v>
      </c>
      <c r="U2279" s="19">
        <v>0.54166666666666663</v>
      </c>
      <c r="V2279" t="s">
        <v>99</v>
      </c>
      <c r="W2279">
        <v>7.5</v>
      </c>
      <c r="X2279" t="s">
        <v>102</v>
      </c>
      <c r="Y2279" t="b">
        <v>0</v>
      </c>
    </row>
    <row r="2280" spans="1:25" x14ac:dyDescent="0.55000000000000004">
      <c r="A2280" t="s">
        <v>94</v>
      </c>
      <c r="B2280" t="s">
        <v>466</v>
      </c>
      <c r="C2280" t="s">
        <v>308</v>
      </c>
      <c r="D2280" t="s">
        <v>111</v>
      </c>
      <c r="E2280" t="s">
        <v>117</v>
      </c>
      <c r="F2280" t="s">
        <v>99</v>
      </c>
      <c r="G2280">
        <v>23836</v>
      </c>
      <c r="H2280" t="s">
        <v>468</v>
      </c>
      <c r="I2280">
        <v>1</v>
      </c>
      <c r="J2280" t="s">
        <v>107</v>
      </c>
      <c r="K2280" s="19">
        <v>0.25</v>
      </c>
      <c r="L2280" s="19">
        <v>0.60416666666666663</v>
      </c>
      <c r="M2280">
        <v>8.5</v>
      </c>
      <c r="N2280">
        <v>232.4</v>
      </c>
      <c r="O2280">
        <v>40</v>
      </c>
      <c r="P2280">
        <v>76</v>
      </c>
      <c r="Q2280" t="s">
        <v>99</v>
      </c>
      <c r="R2280">
        <v>30</v>
      </c>
      <c r="S2280" s="19">
        <v>0.45833333333333331</v>
      </c>
      <c r="T2280">
        <v>0</v>
      </c>
      <c r="U2280" s="19">
        <v>0.54166666666666663</v>
      </c>
      <c r="V2280" t="s">
        <v>99</v>
      </c>
      <c r="W2280">
        <v>8</v>
      </c>
      <c r="X2280" t="s">
        <v>102</v>
      </c>
      <c r="Y2280" t="b">
        <v>0</v>
      </c>
    </row>
    <row r="2281" spans="1:25" x14ac:dyDescent="0.55000000000000004">
      <c r="A2281" t="s">
        <v>94</v>
      </c>
      <c r="B2281" t="s">
        <v>466</v>
      </c>
      <c r="C2281" t="s">
        <v>308</v>
      </c>
      <c r="D2281" t="s">
        <v>111</v>
      </c>
      <c r="E2281" t="s">
        <v>117</v>
      </c>
      <c r="F2281" t="s">
        <v>99</v>
      </c>
      <c r="G2281">
        <v>23836</v>
      </c>
      <c r="H2281" t="s">
        <v>468</v>
      </c>
      <c r="I2281">
        <v>1</v>
      </c>
      <c r="J2281" t="s">
        <v>105</v>
      </c>
      <c r="K2281" s="19">
        <v>0.25</v>
      </c>
      <c r="L2281" s="19">
        <v>0.60416666666666663</v>
      </c>
      <c r="M2281">
        <v>8.5</v>
      </c>
      <c r="N2281">
        <v>232.4</v>
      </c>
      <c r="O2281">
        <v>40</v>
      </c>
      <c r="P2281">
        <v>76</v>
      </c>
      <c r="Q2281" t="s">
        <v>99</v>
      </c>
      <c r="R2281">
        <v>30</v>
      </c>
      <c r="S2281" s="19">
        <v>0.45833333333333331</v>
      </c>
      <c r="T2281">
        <v>0</v>
      </c>
      <c r="U2281" s="19">
        <v>0.54166666666666663</v>
      </c>
      <c r="V2281" t="s">
        <v>99</v>
      </c>
      <c r="W2281">
        <v>8</v>
      </c>
      <c r="X2281" t="s">
        <v>102</v>
      </c>
      <c r="Y2281" t="b">
        <v>0</v>
      </c>
    </row>
    <row r="2282" spans="1:25" x14ac:dyDescent="0.55000000000000004">
      <c r="A2282" t="s">
        <v>94</v>
      </c>
      <c r="B2282" t="s">
        <v>466</v>
      </c>
      <c r="C2282" t="s">
        <v>308</v>
      </c>
      <c r="D2282" t="s">
        <v>111</v>
      </c>
      <c r="E2282" t="s">
        <v>117</v>
      </c>
      <c r="F2282" t="s">
        <v>99</v>
      </c>
      <c r="G2282">
        <v>23836</v>
      </c>
      <c r="H2282" t="s">
        <v>468</v>
      </c>
      <c r="I2282">
        <v>2</v>
      </c>
      <c r="J2282" t="s">
        <v>101</v>
      </c>
      <c r="K2282" s="19">
        <v>0.25</v>
      </c>
      <c r="L2282" s="19">
        <v>0.60416666666666663</v>
      </c>
      <c r="M2282">
        <v>8.5</v>
      </c>
      <c r="N2282">
        <v>232.4</v>
      </c>
      <c r="O2282">
        <v>40</v>
      </c>
      <c r="P2282">
        <v>76</v>
      </c>
      <c r="Q2282" t="s">
        <v>99</v>
      </c>
      <c r="R2282">
        <v>30</v>
      </c>
      <c r="S2282" s="19">
        <v>0.45833333333333331</v>
      </c>
      <c r="T2282">
        <v>0</v>
      </c>
      <c r="U2282" s="19">
        <v>0.54166666666666663</v>
      </c>
      <c r="V2282" t="s">
        <v>99</v>
      </c>
      <c r="W2282">
        <v>8</v>
      </c>
      <c r="X2282" t="s">
        <v>102</v>
      </c>
      <c r="Y2282" t="b">
        <v>0</v>
      </c>
    </row>
    <row r="2283" spans="1:25" x14ac:dyDescent="0.55000000000000004">
      <c r="A2283" t="s">
        <v>94</v>
      </c>
      <c r="B2283" t="s">
        <v>466</v>
      </c>
      <c r="C2283" t="s">
        <v>308</v>
      </c>
      <c r="D2283" t="s">
        <v>111</v>
      </c>
      <c r="E2283" t="s">
        <v>117</v>
      </c>
      <c r="F2283" t="s">
        <v>99</v>
      </c>
      <c r="G2283">
        <v>23836</v>
      </c>
      <c r="H2283" t="s">
        <v>468</v>
      </c>
      <c r="I2283">
        <v>2</v>
      </c>
      <c r="J2283" t="s">
        <v>104</v>
      </c>
      <c r="K2283" s="19">
        <v>0.25</v>
      </c>
      <c r="L2283" s="19">
        <v>0.60416666666666663</v>
      </c>
      <c r="M2283">
        <v>8.5</v>
      </c>
      <c r="N2283">
        <v>232.4</v>
      </c>
      <c r="O2283">
        <v>40</v>
      </c>
      <c r="P2283">
        <v>76</v>
      </c>
      <c r="Q2283" t="s">
        <v>99</v>
      </c>
      <c r="R2283">
        <v>30</v>
      </c>
      <c r="S2283" s="19">
        <v>0.45833333333333331</v>
      </c>
      <c r="T2283">
        <v>0</v>
      </c>
      <c r="U2283" s="19">
        <v>0.54166666666666663</v>
      </c>
      <c r="V2283" t="s">
        <v>99</v>
      </c>
      <c r="W2283">
        <v>8</v>
      </c>
      <c r="X2283" t="s">
        <v>102</v>
      </c>
      <c r="Y2283" t="b">
        <v>0</v>
      </c>
    </row>
    <row r="2284" spans="1:25" x14ac:dyDescent="0.55000000000000004">
      <c r="A2284" t="s">
        <v>94</v>
      </c>
      <c r="B2284" t="s">
        <v>466</v>
      </c>
      <c r="C2284" t="s">
        <v>308</v>
      </c>
      <c r="D2284" t="s">
        <v>111</v>
      </c>
      <c r="E2284" t="s">
        <v>117</v>
      </c>
      <c r="F2284" t="s">
        <v>99</v>
      </c>
      <c r="G2284">
        <v>24427</v>
      </c>
      <c r="H2284" t="s">
        <v>469</v>
      </c>
      <c r="I2284">
        <v>1</v>
      </c>
      <c r="J2284" t="s">
        <v>107</v>
      </c>
      <c r="K2284" s="19">
        <v>0.4375</v>
      </c>
      <c r="L2284" s="19">
        <v>0.77083333333333337</v>
      </c>
      <c r="M2284">
        <v>8</v>
      </c>
      <c r="N2284">
        <v>217.88</v>
      </c>
      <c r="O2284">
        <v>75</v>
      </c>
      <c r="P2284">
        <v>76</v>
      </c>
      <c r="Q2284" t="s">
        <v>99</v>
      </c>
      <c r="R2284">
        <v>30</v>
      </c>
      <c r="S2284" s="19">
        <v>0.54166666666666663</v>
      </c>
      <c r="T2284">
        <v>0</v>
      </c>
      <c r="U2284" s="19">
        <v>0.54166666666666663</v>
      </c>
      <c r="V2284" t="s">
        <v>99</v>
      </c>
      <c r="W2284">
        <v>7.5</v>
      </c>
      <c r="X2284" t="s">
        <v>102</v>
      </c>
      <c r="Y2284" t="b">
        <v>0</v>
      </c>
    </row>
    <row r="2285" spans="1:25" x14ac:dyDescent="0.55000000000000004">
      <c r="A2285" t="s">
        <v>94</v>
      </c>
      <c r="B2285" t="s">
        <v>466</v>
      </c>
      <c r="C2285" t="s">
        <v>308</v>
      </c>
      <c r="D2285" t="s">
        <v>111</v>
      </c>
      <c r="E2285" t="s">
        <v>117</v>
      </c>
      <c r="F2285" t="s">
        <v>99</v>
      </c>
      <c r="G2285">
        <v>24427</v>
      </c>
      <c r="H2285" t="s">
        <v>469</v>
      </c>
      <c r="I2285">
        <v>1</v>
      </c>
      <c r="J2285" t="s">
        <v>101</v>
      </c>
      <c r="K2285" s="19">
        <v>0.4375</v>
      </c>
      <c r="L2285" s="19">
        <v>0.77083333333333337</v>
      </c>
      <c r="M2285">
        <v>8</v>
      </c>
      <c r="N2285">
        <v>217.88</v>
      </c>
      <c r="O2285">
        <v>75</v>
      </c>
      <c r="P2285">
        <v>76</v>
      </c>
      <c r="Q2285" t="s">
        <v>99</v>
      </c>
      <c r="R2285">
        <v>30</v>
      </c>
      <c r="S2285" s="19">
        <v>0.54166666666666663</v>
      </c>
      <c r="T2285">
        <v>0</v>
      </c>
      <c r="U2285" s="19">
        <v>0.54166666666666663</v>
      </c>
      <c r="V2285" t="s">
        <v>99</v>
      </c>
      <c r="W2285">
        <v>7.5</v>
      </c>
      <c r="X2285" t="s">
        <v>102</v>
      </c>
      <c r="Y2285" t="b">
        <v>0</v>
      </c>
    </row>
    <row r="2286" spans="1:25" x14ac:dyDescent="0.55000000000000004">
      <c r="A2286" t="s">
        <v>94</v>
      </c>
      <c r="B2286" t="s">
        <v>466</v>
      </c>
      <c r="C2286" t="s">
        <v>308</v>
      </c>
      <c r="D2286" t="s">
        <v>111</v>
      </c>
      <c r="E2286" t="s">
        <v>117</v>
      </c>
      <c r="F2286" t="s">
        <v>99</v>
      </c>
      <c r="G2286">
        <v>24427</v>
      </c>
      <c r="H2286" t="s">
        <v>469</v>
      </c>
      <c r="I2286">
        <v>1</v>
      </c>
      <c r="J2286" t="s">
        <v>116</v>
      </c>
      <c r="K2286" s="19">
        <v>0.4375</v>
      </c>
      <c r="L2286" s="19">
        <v>0.77083333333333337</v>
      </c>
      <c r="M2286">
        <v>8</v>
      </c>
      <c r="N2286">
        <v>381.28</v>
      </c>
      <c r="O2286">
        <v>75</v>
      </c>
      <c r="P2286">
        <v>76</v>
      </c>
      <c r="Q2286" t="s">
        <v>99</v>
      </c>
      <c r="R2286">
        <v>30</v>
      </c>
      <c r="S2286" s="19">
        <v>0.54166666666666663</v>
      </c>
      <c r="T2286">
        <v>0</v>
      </c>
      <c r="U2286" s="19">
        <v>0.54166666666666663</v>
      </c>
      <c r="V2286" t="s">
        <v>99</v>
      </c>
      <c r="W2286">
        <v>7.5</v>
      </c>
      <c r="X2286" t="s">
        <v>102</v>
      </c>
      <c r="Y2286" t="b">
        <v>0</v>
      </c>
    </row>
    <row r="2287" spans="1:25" x14ac:dyDescent="0.55000000000000004">
      <c r="A2287" t="s">
        <v>94</v>
      </c>
      <c r="B2287" t="s">
        <v>466</v>
      </c>
      <c r="C2287" t="s">
        <v>308</v>
      </c>
      <c r="D2287" t="s">
        <v>111</v>
      </c>
      <c r="E2287" t="s">
        <v>117</v>
      </c>
      <c r="F2287" t="s">
        <v>99</v>
      </c>
      <c r="G2287">
        <v>24427</v>
      </c>
      <c r="H2287" t="s">
        <v>469</v>
      </c>
      <c r="I2287">
        <v>1</v>
      </c>
      <c r="J2287" t="s">
        <v>103</v>
      </c>
      <c r="K2287" s="19">
        <v>0.4375</v>
      </c>
      <c r="L2287" s="19">
        <v>0.77083333333333337</v>
      </c>
      <c r="M2287">
        <v>8</v>
      </c>
      <c r="N2287">
        <v>217.88</v>
      </c>
      <c r="O2287">
        <v>75</v>
      </c>
      <c r="P2287">
        <v>76</v>
      </c>
      <c r="Q2287" t="s">
        <v>99</v>
      </c>
      <c r="R2287">
        <v>30</v>
      </c>
      <c r="S2287" s="19">
        <v>0.54166666666666663</v>
      </c>
      <c r="T2287">
        <v>0</v>
      </c>
      <c r="U2287" s="19">
        <v>0.54166666666666663</v>
      </c>
      <c r="V2287" t="s">
        <v>99</v>
      </c>
      <c r="W2287">
        <v>7.5</v>
      </c>
      <c r="X2287" t="s">
        <v>102</v>
      </c>
      <c r="Y2287" t="b">
        <v>0</v>
      </c>
    </row>
    <row r="2288" spans="1:25" x14ac:dyDescent="0.55000000000000004">
      <c r="A2288" t="s">
        <v>94</v>
      </c>
      <c r="B2288" t="s">
        <v>466</v>
      </c>
      <c r="C2288" t="s">
        <v>308</v>
      </c>
      <c r="D2288" t="s">
        <v>111</v>
      </c>
      <c r="E2288" t="s">
        <v>117</v>
      </c>
      <c r="F2288" t="s">
        <v>99</v>
      </c>
      <c r="G2288">
        <v>24427</v>
      </c>
      <c r="H2288" t="s">
        <v>469</v>
      </c>
      <c r="I2288">
        <v>1</v>
      </c>
      <c r="J2288" t="s">
        <v>104</v>
      </c>
      <c r="K2288" s="19">
        <v>0.4375</v>
      </c>
      <c r="L2288" s="19">
        <v>0.77083333333333337</v>
      </c>
      <c r="M2288">
        <v>8</v>
      </c>
      <c r="N2288">
        <v>217.88</v>
      </c>
      <c r="O2288">
        <v>75</v>
      </c>
      <c r="P2288">
        <v>76</v>
      </c>
      <c r="Q2288" t="s">
        <v>99</v>
      </c>
      <c r="R2288">
        <v>30</v>
      </c>
      <c r="S2288" s="19">
        <v>0.54166666666666663</v>
      </c>
      <c r="T2288">
        <v>0</v>
      </c>
      <c r="U2288" s="19">
        <v>0.54166666666666663</v>
      </c>
      <c r="V2288" t="s">
        <v>99</v>
      </c>
      <c r="W2288">
        <v>7.5</v>
      </c>
      <c r="X2288" t="s">
        <v>102</v>
      </c>
      <c r="Y2288" t="b">
        <v>0</v>
      </c>
    </row>
    <row r="2289" spans="1:25" x14ac:dyDescent="0.55000000000000004">
      <c r="A2289" t="s">
        <v>94</v>
      </c>
      <c r="B2289" t="s">
        <v>466</v>
      </c>
      <c r="C2289" t="s">
        <v>308</v>
      </c>
      <c r="D2289" t="s">
        <v>111</v>
      </c>
      <c r="E2289" t="s">
        <v>117</v>
      </c>
      <c r="F2289" t="s">
        <v>99</v>
      </c>
      <c r="G2289">
        <v>24427</v>
      </c>
      <c r="H2289" t="s">
        <v>469</v>
      </c>
      <c r="I2289">
        <v>2</v>
      </c>
      <c r="J2289" t="s">
        <v>107</v>
      </c>
      <c r="K2289" s="19">
        <v>0.4375</v>
      </c>
      <c r="L2289" s="19">
        <v>0.77083333333333337</v>
      </c>
      <c r="M2289">
        <v>8</v>
      </c>
      <c r="N2289">
        <v>217.88</v>
      </c>
      <c r="O2289">
        <v>75</v>
      </c>
      <c r="P2289">
        <v>76</v>
      </c>
      <c r="Q2289" t="s">
        <v>99</v>
      </c>
      <c r="R2289">
        <v>30</v>
      </c>
      <c r="S2289" s="19">
        <v>0.54166666666666663</v>
      </c>
      <c r="T2289">
        <v>0</v>
      </c>
      <c r="U2289" s="19">
        <v>0.54166666666666663</v>
      </c>
      <c r="V2289" t="s">
        <v>99</v>
      </c>
      <c r="W2289">
        <v>7.5</v>
      </c>
      <c r="X2289" t="s">
        <v>102</v>
      </c>
      <c r="Y2289" t="b">
        <v>0</v>
      </c>
    </row>
    <row r="2290" spans="1:25" x14ac:dyDescent="0.55000000000000004">
      <c r="A2290" t="s">
        <v>94</v>
      </c>
      <c r="B2290" t="s">
        <v>466</v>
      </c>
      <c r="C2290" t="s">
        <v>308</v>
      </c>
      <c r="D2290" t="s">
        <v>111</v>
      </c>
      <c r="E2290" t="s">
        <v>117</v>
      </c>
      <c r="F2290" t="s">
        <v>99</v>
      </c>
      <c r="G2290">
        <v>24427</v>
      </c>
      <c r="H2290" t="s">
        <v>469</v>
      </c>
      <c r="I2290">
        <v>2</v>
      </c>
      <c r="J2290" t="s">
        <v>101</v>
      </c>
      <c r="K2290" s="19">
        <v>0.4375</v>
      </c>
      <c r="L2290" s="19">
        <v>0.77083333333333337</v>
      </c>
      <c r="M2290">
        <v>8</v>
      </c>
      <c r="N2290">
        <v>217.88</v>
      </c>
      <c r="O2290">
        <v>75</v>
      </c>
      <c r="P2290">
        <v>76</v>
      </c>
      <c r="Q2290" t="s">
        <v>99</v>
      </c>
      <c r="R2290">
        <v>30</v>
      </c>
      <c r="S2290" s="19">
        <v>0.54166666666666663</v>
      </c>
      <c r="T2290">
        <v>0</v>
      </c>
      <c r="U2290" s="19">
        <v>0.54166666666666663</v>
      </c>
      <c r="V2290" t="s">
        <v>99</v>
      </c>
      <c r="W2290">
        <v>7.5</v>
      </c>
      <c r="X2290" t="s">
        <v>102</v>
      </c>
      <c r="Y2290" t="b">
        <v>0</v>
      </c>
    </row>
    <row r="2291" spans="1:25" x14ac:dyDescent="0.55000000000000004">
      <c r="A2291" t="s">
        <v>94</v>
      </c>
      <c r="B2291" t="s">
        <v>466</v>
      </c>
      <c r="C2291" t="s">
        <v>308</v>
      </c>
      <c r="D2291" t="s">
        <v>111</v>
      </c>
      <c r="E2291" t="s">
        <v>117</v>
      </c>
      <c r="F2291" t="s">
        <v>99</v>
      </c>
      <c r="G2291">
        <v>24427</v>
      </c>
      <c r="H2291" t="s">
        <v>469</v>
      </c>
      <c r="I2291">
        <v>2</v>
      </c>
      <c r="J2291" t="s">
        <v>116</v>
      </c>
      <c r="K2291" s="19">
        <v>0.4375</v>
      </c>
      <c r="L2291" s="19">
        <v>0.77083333333333337</v>
      </c>
      <c r="M2291">
        <v>8</v>
      </c>
      <c r="N2291">
        <v>381.28</v>
      </c>
      <c r="O2291">
        <v>75</v>
      </c>
      <c r="P2291">
        <v>76</v>
      </c>
      <c r="Q2291" t="s">
        <v>99</v>
      </c>
      <c r="R2291">
        <v>30</v>
      </c>
      <c r="S2291" s="19">
        <v>0.54166666666666663</v>
      </c>
      <c r="T2291">
        <v>0</v>
      </c>
      <c r="U2291" s="19">
        <v>0.54166666666666663</v>
      </c>
      <c r="V2291" t="s">
        <v>99</v>
      </c>
      <c r="W2291">
        <v>7.5</v>
      </c>
      <c r="X2291" t="s">
        <v>102</v>
      </c>
      <c r="Y2291" t="b">
        <v>0</v>
      </c>
    </row>
    <row r="2292" spans="1:25" x14ac:dyDescent="0.55000000000000004">
      <c r="A2292" t="s">
        <v>94</v>
      </c>
      <c r="B2292" t="s">
        <v>466</v>
      </c>
      <c r="C2292" t="s">
        <v>308</v>
      </c>
      <c r="D2292" t="s">
        <v>111</v>
      </c>
      <c r="E2292" t="s">
        <v>117</v>
      </c>
      <c r="F2292" t="s">
        <v>99</v>
      </c>
      <c r="G2292">
        <v>24427</v>
      </c>
      <c r="H2292" t="s">
        <v>469</v>
      </c>
      <c r="I2292">
        <v>2</v>
      </c>
      <c r="J2292" t="s">
        <v>103</v>
      </c>
      <c r="K2292" s="19">
        <v>0.4375</v>
      </c>
      <c r="L2292" s="19">
        <v>0.77083333333333337</v>
      </c>
      <c r="M2292">
        <v>8</v>
      </c>
      <c r="N2292">
        <v>217.88</v>
      </c>
      <c r="O2292">
        <v>75</v>
      </c>
      <c r="P2292">
        <v>76</v>
      </c>
      <c r="Q2292" t="s">
        <v>99</v>
      </c>
      <c r="R2292">
        <v>30</v>
      </c>
      <c r="S2292" s="19">
        <v>0.54166666666666663</v>
      </c>
      <c r="T2292">
        <v>0</v>
      </c>
      <c r="U2292" s="19">
        <v>0.54166666666666663</v>
      </c>
      <c r="V2292" t="s">
        <v>99</v>
      </c>
      <c r="W2292">
        <v>7.5</v>
      </c>
      <c r="X2292" t="s">
        <v>102</v>
      </c>
      <c r="Y2292" t="b">
        <v>0</v>
      </c>
    </row>
    <row r="2293" spans="1:25" x14ac:dyDescent="0.55000000000000004">
      <c r="A2293" t="s">
        <v>94</v>
      </c>
      <c r="B2293" t="s">
        <v>466</v>
      </c>
      <c r="C2293" t="s">
        <v>308</v>
      </c>
      <c r="D2293" t="s">
        <v>111</v>
      </c>
      <c r="E2293" t="s">
        <v>117</v>
      </c>
      <c r="F2293" t="s">
        <v>99</v>
      </c>
      <c r="G2293">
        <v>24427</v>
      </c>
      <c r="H2293" t="s">
        <v>469</v>
      </c>
      <c r="I2293">
        <v>2</v>
      </c>
      <c r="J2293" t="s">
        <v>104</v>
      </c>
      <c r="K2293" s="19">
        <v>0.4375</v>
      </c>
      <c r="L2293" s="19">
        <v>0.77083333333333337</v>
      </c>
      <c r="M2293">
        <v>8</v>
      </c>
      <c r="N2293">
        <v>217.88</v>
      </c>
      <c r="O2293">
        <v>75</v>
      </c>
      <c r="P2293">
        <v>76</v>
      </c>
      <c r="Q2293" t="s">
        <v>99</v>
      </c>
      <c r="R2293">
        <v>30</v>
      </c>
      <c r="S2293" s="19">
        <v>0.54166666666666663</v>
      </c>
      <c r="T2293">
        <v>0</v>
      </c>
      <c r="U2293" s="19">
        <v>0.54166666666666663</v>
      </c>
      <c r="V2293" t="s">
        <v>99</v>
      </c>
      <c r="W2293">
        <v>7.5</v>
      </c>
      <c r="X2293" t="s">
        <v>102</v>
      </c>
      <c r="Y2293" t="b">
        <v>0</v>
      </c>
    </row>
    <row r="2294" spans="1:25" x14ac:dyDescent="0.55000000000000004">
      <c r="A2294" t="s">
        <v>94</v>
      </c>
      <c r="B2294" t="s">
        <v>466</v>
      </c>
      <c r="C2294" t="s">
        <v>308</v>
      </c>
      <c r="D2294" t="s">
        <v>111</v>
      </c>
      <c r="E2294" t="s">
        <v>117</v>
      </c>
      <c r="F2294" t="s">
        <v>99</v>
      </c>
      <c r="G2294">
        <v>24851</v>
      </c>
      <c r="H2294" t="s">
        <v>470</v>
      </c>
      <c r="I2294">
        <v>1</v>
      </c>
      <c r="J2294" t="s">
        <v>101</v>
      </c>
      <c r="K2294" s="19">
        <v>0.25</v>
      </c>
      <c r="L2294" s="19">
        <v>0.60416666666666663</v>
      </c>
      <c r="M2294">
        <v>8.5</v>
      </c>
      <c r="N2294">
        <v>232.4</v>
      </c>
      <c r="O2294">
        <v>40</v>
      </c>
      <c r="P2294">
        <v>76</v>
      </c>
      <c r="Q2294" t="s">
        <v>99</v>
      </c>
      <c r="R2294">
        <v>30</v>
      </c>
      <c r="S2294" s="19">
        <v>0.45833333333333331</v>
      </c>
      <c r="T2294">
        <v>0</v>
      </c>
      <c r="U2294" s="19">
        <v>0.54166666666666663</v>
      </c>
      <c r="V2294" t="s">
        <v>99</v>
      </c>
      <c r="W2294">
        <v>8</v>
      </c>
      <c r="X2294" t="s">
        <v>102</v>
      </c>
      <c r="Y2294" t="b">
        <v>0</v>
      </c>
    </row>
    <row r="2295" spans="1:25" x14ac:dyDescent="0.55000000000000004">
      <c r="A2295" t="s">
        <v>94</v>
      </c>
      <c r="B2295" t="s">
        <v>466</v>
      </c>
      <c r="C2295" t="s">
        <v>308</v>
      </c>
      <c r="D2295" t="s">
        <v>111</v>
      </c>
      <c r="E2295" t="s">
        <v>117</v>
      </c>
      <c r="F2295" t="s">
        <v>99</v>
      </c>
      <c r="G2295">
        <v>24851</v>
      </c>
      <c r="H2295" t="s">
        <v>470</v>
      </c>
      <c r="I2295">
        <v>1</v>
      </c>
      <c r="J2295" t="s">
        <v>104</v>
      </c>
      <c r="K2295" s="19">
        <v>0.25</v>
      </c>
      <c r="L2295" s="19">
        <v>0.60416666666666663</v>
      </c>
      <c r="M2295">
        <v>8.5</v>
      </c>
      <c r="N2295">
        <v>232.4</v>
      </c>
      <c r="O2295">
        <v>40</v>
      </c>
      <c r="P2295">
        <v>76</v>
      </c>
      <c r="Q2295" t="s">
        <v>99</v>
      </c>
      <c r="R2295">
        <v>30</v>
      </c>
      <c r="S2295" s="19">
        <v>0.45833333333333331</v>
      </c>
      <c r="T2295">
        <v>0</v>
      </c>
      <c r="U2295" s="19">
        <v>0.54166666666666663</v>
      </c>
      <c r="V2295" t="s">
        <v>99</v>
      </c>
      <c r="W2295">
        <v>8</v>
      </c>
      <c r="X2295" t="s">
        <v>102</v>
      </c>
      <c r="Y2295" t="b">
        <v>0</v>
      </c>
    </row>
    <row r="2296" spans="1:25" x14ac:dyDescent="0.55000000000000004">
      <c r="A2296" t="s">
        <v>94</v>
      </c>
      <c r="B2296" t="s">
        <v>466</v>
      </c>
      <c r="C2296" t="s">
        <v>308</v>
      </c>
      <c r="D2296" t="s">
        <v>111</v>
      </c>
      <c r="E2296" t="s">
        <v>117</v>
      </c>
      <c r="F2296" t="s">
        <v>99</v>
      </c>
      <c r="G2296">
        <v>24851</v>
      </c>
      <c r="H2296" t="s">
        <v>470</v>
      </c>
      <c r="I2296">
        <v>1</v>
      </c>
      <c r="J2296" t="s">
        <v>105</v>
      </c>
      <c r="K2296" s="19">
        <v>0.4375</v>
      </c>
      <c r="L2296" s="19">
        <v>0.77083333333333337</v>
      </c>
      <c r="M2296">
        <v>8</v>
      </c>
      <c r="N2296">
        <v>217.88</v>
      </c>
      <c r="O2296">
        <v>40</v>
      </c>
      <c r="P2296">
        <v>76</v>
      </c>
      <c r="Q2296" t="s">
        <v>99</v>
      </c>
      <c r="R2296">
        <v>30</v>
      </c>
      <c r="S2296" s="19">
        <v>0.54166666666666663</v>
      </c>
      <c r="T2296">
        <v>0</v>
      </c>
      <c r="U2296" s="19">
        <v>0.54166666666666663</v>
      </c>
      <c r="V2296" t="s">
        <v>99</v>
      </c>
      <c r="W2296">
        <v>7.5</v>
      </c>
      <c r="X2296" t="s">
        <v>102</v>
      </c>
      <c r="Y2296" t="b">
        <v>0</v>
      </c>
    </row>
    <row r="2297" spans="1:25" x14ac:dyDescent="0.55000000000000004">
      <c r="A2297" t="s">
        <v>94</v>
      </c>
      <c r="B2297" t="s">
        <v>466</v>
      </c>
      <c r="C2297" t="s">
        <v>308</v>
      </c>
      <c r="D2297" t="s">
        <v>111</v>
      </c>
      <c r="E2297" t="s">
        <v>117</v>
      </c>
      <c r="F2297" t="s">
        <v>99</v>
      </c>
      <c r="G2297">
        <v>24851</v>
      </c>
      <c r="H2297" t="s">
        <v>470</v>
      </c>
      <c r="I2297">
        <v>2</v>
      </c>
      <c r="J2297" t="s">
        <v>107</v>
      </c>
      <c r="K2297" s="19">
        <v>0.25</v>
      </c>
      <c r="L2297" s="19">
        <v>0.60416666666666663</v>
      </c>
      <c r="M2297">
        <v>8.5</v>
      </c>
      <c r="N2297">
        <v>232.4</v>
      </c>
      <c r="O2297">
        <v>40</v>
      </c>
      <c r="P2297">
        <v>76</v>
      </c>
      <c r="Q2297" t="s">
        <v>99</v>
      </c>
      <c r="R2297">
        <v>30</v>
      </c>
      <c r="S2297" s="19">
        <v>0.45833333333333331</v>
      </c>
      <c r="T2297">
        <v>0</v>
      </c>
      <c r="U2297" s="19">
        <v>0.54166666666666663</v>
      </c>
      <c r="V2297" t="s">
        <v>99</v>
      </c>
      <c r="W2297">
        <v>8</v>
      </c>
      <c r="X2297" t="s">
        <v>102</v>
      </c>
      <c r="Y2297" t="b">
        <v>0</v>
      </c>
    </row>
    <row r="2298" spans="1:25" x14ac:dyDescent="0.55000000000000004">
      <c r="A2298" t="s">
        <v>94</v>
      </c>
      <c r="B2298" t="s">
        <v>466</v>
      </c>
      <c r="C2298" t="s">
        <v>308</v>
      </c>
      <c r="D2298" t="s">
        <v>111</v>
      </c>
      <c r="E2298" t="s">
        <v>117</v>
      </c>
      <c r="F2298" t="s">
        <v>99</v>
      </c>
      <c r="G2298">
        <v>24851</v>
      </c>
      <c r="H2298" t="s">
        <v>470</v>
      </c>
      <c r="I2298">
        <v>2</v>
      </c>
      <c r="J2298" t="s">
        <v>103</v>
      </c>
      <c r="K2298" s="19">
        <v>0.25</v>
      </c>
      <c r="L2298" s="19">
        <v>0.60416666666666663</v>
      </c>
      <c r="M2298">
        <v>8.5</v>
      </c>
      <c r="N2298">
        <v>232.4</v>
      </c>
      <c r="O2298">
        <v>40</v>
      </c>
      <c r="P2298">
        <v>76</v>
      </c>
      <c r="Q2298" t="s">
        <v>99</v>
      </c>
      <c r="R2298">
        <v>30</v>
      </c>
      <c r="S2298" s="19">
        <v>0.45833333333333331</v>
      </c>
      <c r="T2298">
        <v>0</v>
      </c>
      <c r="U2298" s="19">
        <v>0.54166666666666663</v>
      </c>
      <c r="V2298" t="s">
        <v>99</v>
      </c>
      <c r="W2298">
        <v>8</v>
      </c>
      <c r="X2298" t="s">
        <v>102</v>
      </c>
      <c r="Y2298" t="b">
        <v>0</v>
      </c>
    </row>
    <row r="2299" spans="1:25" x14ac:dyDescent="0.55000000000000004">
      <c r="A2299" t="s">
        <v>94</v>
      </c>
      <c r="B2299" t="s">
        <v>466</v>
      </c>
      <c r="C2299" t="s">
        <v>308</v>
      </c>
      <c r="D2299" t="s">
        <v>111</v>
      </c>
      <c r="E2299" t="s">
        <v>117</v>
      </c>
      <c r="F2299" t="s">
        <v>99</v>
      </c>
      <c r="G2299">
        <v>24851</v>
      </c>
      <c r="H2299" t="s">
        <v>470</v>
      </c>
      <c r="I2299">
        <v>2</v>
      </c>
      <c r="J2299" t="s">
        <v>105</v>
      </c>
      <c r="K2299" s="19">
        <v>0.4375</v>
      </c>
      <c r="L2299" s="19">
        <v>0.77083333333333337</v>
      </c>
      <c r="M2299">
        <v>8</v>
      </c>
      <c r="N2299">
        <v>217.88</v>
      </c>
      <c r="O2299">
        <v>40</v>
      </c>
      <c r="P2299">
        <v>76</v>
      </c>
      <c r="Q2299" t="s">
        <v>99</v>
      </c>
      <c r="R2299">
        <v>30</v>
      </c>
      <c r="S2299" s="19">
        <v>0.54166666666666663</v>
      </c>
      <c r="T2299">
        <v>0</v>
      </c>
      <c r="U2299" s="19">
        <v>0.54166666666666663</v>
      </c>
      <c r="V2299" t="s">
        <v>99</v>
      </c>
      <c r="W2299">
        <v>7.5</v>
      </c>
      <c r="X2299" t="s">
        <v>102</v>
      </c>
      <c r="Y2299" t="b">
        <v>0</v>
      </c>
    </row>
    <row r="2300" spans="1:25" x14ac:dyDescent="0.55000000000000004">
      <c r="A2300" t="s">
        <v>94</v>
      </c>
      <c r="B2300" t="s">
        <v>466</v>
      </c>
      <c r="C2300" t="s">
        <v>308</v>
      </c>
      <c r="D2300" t="s">
        <v>111</v>
      </c>
      <c r="E2300" t="s">
        <v>323</v>
      </c>
      <c r="F2300" t="s">
        <v>99</v>
      </c>
      <c r="G2300">
        <v>23244</v>
      </c>
      <c r="H2300" t="s">
        <v>471</v>
      </c>
      <c r="I2300">
        <v>1</v>
      </c>
      <c r="J2300" t="s">
        <v>107</v>
      </c>
      <c r="K2300" s="19">
        <v>0.25</v>
      </c>
      <c r="L2300" s="19">
        <v>0.58333333333333337</v>
      </c>
      <c r="M2300">
        <v>8</v>
      </c>
      <c r="N2300">
        <v>319.73</v>
      </c>
      <c r="O2300">
        <v>76</v>
      </c>
      <c r="P2300">
        <v>76</v>
      </c>
      <c r="Q2300" t="s">
        <v>99</v>
      </c>
      <c r="R2300">
        <v>30</v>
      </c>
      <c r="S2300" s="19">
        <v>0.45833333333333331</v>
      </c>
      <c r="T2300">
        <v>0</v>
      </c>
      <c r="U2300" s="19">
        <v>0.46458333333333335</v>
      </c>
      <c r="V2300" t="s">
        <v>99</v>
      </c>
      <c r="W2300">
        <v>7.5</v>
      </c>
      <c r="X2300" t="s">
        <v>102</v>
      </c>
      <c r="Y2300" t="b">
        <v>0</v>
      </c>
    </row>
    <row r="2301" spans="1:25" x14ac:dyDescent="0.55000000000000004">
      <c r="A2301" t="s">
        <v>94</v>
      </c>
      <c r="B2301" t="s">
        <v>466</v>
      </c>
      <c r="C2301" t="s">
        <v>308</v>
      </c>
      <c r="D2301" t="s">
        <v>111</v>
      </c>
      <c r="E2301" t="s">
        <v>323</v>
      </c>
      <c r="F2301" t="s">
        <v>99</v>
      </c>
      <c r="G2301">
        <v>23244</v>
      </c>
      <c r="H2301" t="s">
        <v>471</v>
      </c>
      <c r="I2301">
        <v>1</v>
      </c>
      <c r="J2301" t="s">
        <v>101</v>
      </c>
      <c r="K2301" s="19">
        <v>0.25</v>
      </c>
      <c r="L2301" s="19">
        <v>0.60416666666666663</v>
      </c>
      <c r="M2301">
        <v>8.5</v>
      </c>
      <c r="N2301">
        <v>341.04</v>
      </c>
      <c r="O2301">
        <v>76</v>
      </c>
      <c r="P2301">
        <v>76</v>
      </c>
      <c r="Q2301" t="s">
        <v>99</v>
      </c>
      <c r="R2301">
        <v>30</v>
      </c>
      <c r="S2301" s="19">
        <v>0.45833333333333331</v>
      </c>
      <c r="T2301">
        <v>0</v>
      </c>
      <c r="U2301" s="19">
        <v>0.46458333333333335</v>
      </c>
      <c r="V2301" t="s">
        <v>99</v>
      </c>
      <c r="W2301">
        <v>8</v>
      </c>
      <c r="X2301" t="s">
        <v>102</v>
      </c>
      <c r="Y2301" t="b">
        <v>0</v>
      </c>
    </row>
    <row r="2302" spans="1:25" x14ac:dyDescent="0.55000000000000004">
      <c r="A2302" t="s">
        <v>94</v>
      </c>
      <c r="B2302" t="s">
        <v>466</v>
      </c>
      <c r="C2302" t="s">
        <v>308</v>
      </c>
      <c r="D2302" t="s">
        <v>111</v>
      </c>
      <c r="E2302" t="s">
        <v>323</v>
      </c>
      <c r="F2302" t="s">
        <v>99</v>
      </c>
      <c r="G2302">
        <v>23244</v>
      </c>
      <c r="H2302" t="s">
        <v>471</v>
      </c>
      <c r="I2302">
        <v>1</v>
      </c>
      <c r="J2302" t="s">
        <v>103</v>
      </c>
      <c r="K2302" s="19">
        <v>0.25</v>
      </c>
      <c r="L2302" s="19">
        <v>0.58333333333333337</v>
      </c>
      <c r="M2302">
        <v>8</v>
      </c>
      <c r="N2302">
        <v>319.73</v>
      </c>
      <c r="O2302">
        <v>76</v>
      </c>
      <c r="P2302">
        <v>76</v>
      </c>
      <c r="Q2302" t="s">
        <v>99</v>
      </c>
      <c r="R2302">
        <v>30</v>
      </c>
      <c r="S2302" s="19">
        <v>0.45833333333333331</v>
      </c>
      <c r="T2302">
        <v>0</v>
      </c>
      <c r="U2302" s="19">
        <v>0.46458333333333335</v>
      </c>
      <c r="V2302" t="s">
        <v>99</v>
      </c>
      <c r="W2302">
        <v>7.5</v>
      </c>
      <c r="X2302" t="s">
        <v>102</v>
      </c>
      <c r="Y2302" t="b">
        <v>0</v>
      </c>
    </row>
    <row r="2303" spans="1:25" x14ac:dyDescent="0.55000000000000004">
      <c r="A2303" t="s">
        <v>94</v>
      </c>
      <c r="B2303" t="s">
        <v>466</v>
      </c>
      <c r="C2303" t="s">
        <v>308</v>
      </c>
      <c r="D2303" t="s">
        <v>111</v>
      </c>
      <c r="E2303" t="s">
        <v>323</v>
      </c>
      <c r="F2303" t="s">
        <v>99</v>
      </c>
      <c r="G2303">
        <v>23244</v>
      </c>
      <c r="H2303" t="s">
        <v>471</v>
      </c>
      <c r="I2303">
        <v>1</v>
      </c>
      <c r="J2303" t="s">
        <v>104</v>
      </c>
      <c r="K2303" s="19">
        <v>0.25</v>
      </c>
      <c r="L2303" s="19">
        <v>0.58333333333333337</v>
      </c>
      <c r="M2303">
        <v>8</v>
      </c>
      <c r="N2303">
        <v>319.73</v>
      </c>
      <c r="O2303">
        <v>76</v>
      </c>
      <c r="P2303">
        <v>76</v>
      </c>
      <c r="Q2303" t="s">
        <v>99</v>
      </c>
      <c r="R2303">
        <v>30</v>
      </c>
      <c r="S2303" s="19">
        <v>0.45833333333333331</v>
      </c>
      <c r="T2303">
        <v>0</v>
      </c>
      <c r="U2303" s="19">
        <v>0.46458333333333335</v>
      </c>
      <c r="V2303" t="s">
        <v>99</v>
      </c>
      <c r="W2303">
        <v>7.5</v>
      </c>
      <c r="X2303" t="s">
        <v>102</v>
      </c>
      <c r="Y2303" t="b">
        <v>0</v>
      </c>
    </row>
    <row r="2304" spans="1:25" x14ac:dyDescent="0.55000000000000004">
      <c r="A2304" t="s">
        <v>94</v>
      </c>
      <c r="B2304" t="s">
        <v>466</v>
      </c>
      <c r="C2304" t="s">
        <v>308</v>
      </c>
      <c r="D2304" t="s">
        <v>111</v>
      </c>
      <c r="E2304" t="s">
        <v>323</v>
      </c>
      <c r="F2304" t="s">
        <v>99</v>
      </c>
      <c r="G2304">
        <v>23244</v>
      </c>
      <c r="H2304" t="s">
        <v>471</v>
      </c>
      <c r="I2304">
        <v>1</v>
      </c>
      <c r="J2304" t="s">
        <v>105</v>
      </c>
      <c r="K2304" s="19">
        <v>0.25</v>
      </c>
      <c r="L2304" s="19">
        <v>0.58333333333333337</v>
      </c>
      <c r="M2304">
        <v>8</v>
      </c>
      <c r="N2304">
        <v>319.73</v>
      </c>
      <c r="O2304">
        <v>76</v>
      </c>
      <c r="P2304">
        <v>76</v>
      </c>
      <c r="Q2304" t="s">
        <v>99</v>
      </c>
      <c r="R2304">
        <v>30</v>
      </c>
      <c r="S2304" s="19">
        <v>0.45833333333333331</v>
      </c>
      <c r="T2304">
        <v>0</v>
      </c>
      <c r="U2304" s="19">
        <v>0.46458333333333335</v>
      </c>
      <c r="V2304" t="s">
        <v>99</v>
      </c>
      <c r="W2304">
        <v>7.5</v>
      </c>
      <c r="X2304" t="s">
        <v>102</v>
      </c>
      <c r="Y2304" t="b">
        <v>0</v>
      </c>
    </row>
    <row r="2305" spans="1:25" x14ac:dyDescent="0.55000000000000004">
      <c r="A2305" t="s">
        <v>94</v>
      </c>
      <c r="B2305" t="s">
        <v>466</v>
      </c>
      <c r="C2305" t="s">
        <v>308</v>
      </c>
      <c r="D2305" t="s">
        <v>111</v>
      </c>
      <c r="E2305" t="s">
        <v>323</v>
      </c>
      <c r="F2305" t="s">
        <v>99</v>
      </c>
      <c r="G2305">
        <v>23244</v>
      </c>
      <c r="H2305" t="s">
        <v>471</v>
      </c>
      <c r="I2305">
        <v>2</v>
      </c>
      <c r="J2305" t="s">
        <v>107</v>
      </c>
      <c r="K2305" s="19">
        <v>0.25</v>
      </c>
      <c r="L2305" s="19">
        <v>0.58333333333333337</v>
      </c>
      <c r="M2305">
        <v>8</v>
      </c>
      <c r="N2305">
        <v>319.73</v>
      </c>
      <c r="O2305">
        <v>76</v>
      </c>
      <c r="P2305">
        <v>76</v>
      </c>
      <c r="Q2305" t="s">
        <v>99</v>
      </c>
      <c r="R2305">
        <v>30</v>
      </c>
      <c r="S2305" s="19">
        <v>0.45833333333333331</v>
      </c>
      <c r="T2305">
        <v>0</v>
      </c>
      <c r="U2305" s="19">
        <v>0.46458333333333335</v>
      </c>
      <c r="V2305" t="s">
        <v>99</v>
      </c>
      <c r="W2305">
        <v>7.5</v>
      </c>
      <c r="X2305" t="s">
        <v>102</v>
      </c>
      <c r="Y2305" t="b">
        <v>0</v>
      </c>
    </row>
    <row r="2306" spans="1:25" x14ac:dyDescent="0.55000000000000004">
      <c r="A2306" t="s">
        <v>94</v>
      </c>
      <c r="B2306" t="s">
        <v>466</v>
      </c>
      <c r="C2306" t="s">
        <v>308</v>
      </c>
      <c r="D2306" t="s">
        <v>111</v>
      </c>
      <c r="E2306" t="s">
        <v>323</v>
      </c>
      <c r="F2306" t="s">
        <v>99</v>
      </c>
      <c r="G2306">
        <v>23244</v>
      </c>
      <c r="H2306" t="s">
        <v>471</v>
      </c>
      <c r="I2306">
        <v>2</v>
      </c>
      <c r="J2306" t="s">
        <v>101</v>
      </c>
      <c r="K2306" s="19">
        <v>0.25</v>
      </c>
      <c r="L2306" s="19">
        <v>0.60416666666666663</v>
      </c>
      <c r="M2306">
        <v>8.5</v>
      </c>
      <c r="N2306">
        <v>341.04</v>
      </c>
      <c r="O2306">
        <v>76</v>
      </c>
      <c r="P2306">
        <v>76</v>
      </c>
      <c r="Q2306" t="s">
        <v>99</v>
      </c>
      <c r="R2306">
        <v>30</v>
      </c>
      <c r="S2306" s="19">
        <v>0.45833333333333331</v>
      </c>
      <c r="T2306">
        <v>0</v>
      </c>
      <c r="U2306" s="19">
        <v>0.46458333333333335</v>
      </c>
      <c r="V2306" t="s">
        <v>99</v>
      </c>
      <c r="W2306">
        <v>8</v>
      </c>
      <c r="X2306" t="s">
        <v>102</v>
      </c>
      <c r="Y2306" t="b">
        <v>0</v>
      </c>
    </row>
    <row r="2307" spans="1:25" x14ac:dyDescent="0.55000000000000004">
      <c r="A2307" t="s">
        <v>94</v>
      </c>
      <c r="B2307" t="s">
        <v>466</v>
      </c>
      <c r="C2307" t="s">
        <v>308</v>
      </c>
      <c r="D2307" t="s">
        <v>111</v>
      </c>
      <c r="E2307" t="s">
        <v>323</v>
      </c>
      <c r="F2307" t="s">
        <v>99</v>
      </c>
      <c r="G2307">
        <v>23244</v>
      </c>
      <c r="H2307" t="s">
        <v>471</v>
      </c>
      <c r="I2307">
        <v>2</v>
      </c>
      <c r="J2307" t="s">
        <v>103</v>
      </c>
      <c r="K2307" s="19">
        <v>0.25</v>
      </c>
      <c r="L2307" s="19">
        <v>0.58333333333333337</v>
      </c>
      <c r="M2307">
        <v>8</v>
      </c>
      <c r="N2307">
        <v>319.73</v>
      </c>
      <c r="O2307">
        <v>76</v>
      </c>
      <c r="P2307">
        <v>76</v>
      </c>
      <c r="Q2307" t="s">
        <v>99</v>
      </c>
      <c r="R2307">
        <v>30</v>
      </c>
      <c r="S2307" s="19">
        <v>0.45833333333333331</v>
      </c>
      <c r="T2307">
        <v>0</v>
      </c>
      <c r="U2307" s="19">
        <v>0.46458333333333335</v>
      </c>
      <c r="V2307" t="s">
        <v>99</v>
      </c>
      <c r="W2307">
        <v>7.5</v>
      </c>
      <c r="X2307" t="s">
        <v>102</v>
      </c>
      <c r="Y2307" t="b">
        <v>0</v>
      </c>
    </row>
    <row r="2308" spans="1:25" x14ac:dyDescent="0.55000000000000004">
      <c r="A2308" t="s">
        <v>94</v>
      </c>
      <c r="B2308" t="s">
        <v>466</v>
      </c>
      <c r="C2308" t="s">
        <v>308</v>
      </c>
      <c r="D2308" t="s">
        <v>111</v>
      </c>
      <c r="E2308" t="s">
        <v>323</v>
      </c>
      <c r="F2308" t="s">
        <v>99</v>
      </c>
      <c r="G2308">
        <v>23244</v>
      </c>
      <c r="H2308" t="s">
        <v>471</v>
      </c>
      <c r="I2308">
        <v>2</v>
      </c>
      <c r="J2308" t="s">
        <v>104</v>
      </c>
      <c r="K2308" s="19">
        <v>0.25</v>
      </c>
      <c r="L2308" s="19">
        <v>0.58333333333333337</v>
      </c>
      <c r="M2308">
        <v>8</v>
      </c>
      <c r="N2308">
        <v>319.73</v>
      </c>
      <c r="O2308">
        <v>76</v>
      </c>
      <c r="P2308">
        <v>76</v>
      </c>
      <c r="Q2308" t="s">
        <v>99</v>
      </c>
      <c r="R2308">
        <v>30</v>
      </c>
      <c r="S2308" s="19">
        <v>0.45833333333333331</v>
      </c>
      <c r="T2308">
        <v>0</v>
      </c>
      <c r="U2308" s="19">
        <v>0.46458333333333335</v>
      </c>
      <c r="V2308" t="s">
        <v>99</v>
      </c>
      <c r="W2308">
        <v>7.5</v>
      </c>
      <c r="X2308" t="s">
        <v>102</v>
      </c>
      <c r="Y2308" t="b">
        <v>0</v>
      </c>
    </row>
    <row r="2309" spans="1:25" x14ac:dyDescent="0.55000000000000004">
      <c r="A2309" t="s">
        <v>94</v>
      </c>
      <c r="B2309" t="s">
        <v>466</v>
      </c>
      <c r="C2309" t="s">
        <v>308</v>
      </c>
      <c r="D2309" t="s">
        <v>111</v>
      </c>
      <c r="E2309" t="s">
        <v>323</v>
      </c>
      <c r="F2309" t="s">
        <v>99</v>
      </c>
      <c r="G2309">
        <v>23244</v>
      </c>
      <c r="H2309" t="s">
        <v>471</v>
      </c>
      <c r="I2309">
        <v>2</v>
      </c>
      <c r="J2309" t="s">
        <v>105</v>
      </c>
      <c r="K2309" s="19">
        <v>0.25</v>
      </c>
      <c r="L2309" s="19">
        <v>0.58333333333333337</v>
      </c>
      <c r="M2309">
        <v>8</v>
      </c>
      <c r="N2309">
        <v>319.73</v>
      </c>
      <c r="O2309">
        <v>76</v>
      </c>
      <c r="P2309">
        <v>76</v>
      </c>
      <c r="Q2309" t="s">
        <v>99</v>
      </c>
      <c r="R2309">
        <v>30</v>
      </c>
      <c r="S2309" s="19">
        <v>0.45833333333333331</v>
      </c>
      <c r="T2309">
        <v>0</v>
      </c>
      <c r="U2309" s="19">
        <v>0.46458333333333335</v>
      </c>
      <c r="V2309" t="s">
        <v>99</v>
      </c>
      <c r="W2309">
        <v>7.5</v>
      </c>
      <c r="X2309" t="s">
        <v>102</v>
      </c>
      <c r="Y2309" t="b">
        <v>0</v>
      </c>
    </row>
    <row r="2310" spans="1:25" x14ac:dyDescent="0.55000000000000004">
      <c r="A2310" t="s">
        <v>94</v>
      </c>
      <c r="B2310" t="s">
        <v>466</v>
      </c>
      <c r="C2310" t="s">
        <v>308</v>
      </c>
      <c r="D2310" t="s">
        <v>111</v>
      </c>
      <c r="E2310" t="s">
        <v>472</v>
      </c>
      <c r="F2310" t="s">
        <v>99</v>
      </c>
      <c r="G2310">
        <v>24981</v>
      </c>
      <c r="H2310" t="s">
        <v>473</v>
      </c>
      <c r="I2310">
        <v>1</v>
      </c>
      <c r="J2310" t="s">
        <v>101</v>
      </c>
      <c r="K2310" s="19">
        <v>0.25</v>
      </c>
      <c r="L2310" s="19">
        <v>0.58333333333333337</v>
      </c>
      <c r="M2310">
        <v>8</v>
      </c>
      <c r="N2310">
        <v>227.55</v>
      </c>
      <c r="O2310">
        <v>72</v>
      </c>
      <c r="P2310">
        <v>76</v>
      </c>
      <c r="Q2310" t="s">
        <v>99</v>
      </c>
      <c r="R2310">
        <v>30</v>
      </c>
      <c r="S2310" s="19">
        <v>0.45833333333333331</v>
      </c>
      <c r="T2310">
        <v>0</v>
      </c>
      <c r="U2310" s="19">
        <v>0.54166666666666663</v>
      </c>
      <c r="V2310" t="s">
        <v>99</v>
      </c>
      <c r="W2310">
        <v>7.5</v>
      </c>
      <c r="X2310" t="s">
        <v>102</v>
      </c>
      <c r="Y2310" t="b">
        <v>0</v>
      </c>
    </row>
    <row r="2311" spans="1:25" x14ac:dyDescent="0.55000000000000004">
      <c r="A2311" t="s">
        <v>94</v>
      </c>
      <c r="B2311" t="s">
        <v>466</v>
      </c>
      <c r="C2311" t="s">
        <v>308</v>
      </c>
      <c r="D2311" t="s">
        <v>111</v>
      </c>
      <c r="E2311" t="s">
        <v>472</v>
      </c>
      <c r="F2311" t="s">
        <v>99</v>
      </c>
      <c r="G2311">
        <v>24981</v>
      </c>
      <c r="H2311" t="s">
        <v>473</v>
      </c>
      <c r="I2311">
        <v>1</v>
      </c>
      <c r="J2311" t="s">
        <v>115</v>
      </c>
      <c r="K2311" s="19">
        <v>0.25</v>
      </c>
      <c r="L2311" s="19">
        <v>0.58333333333333337</v>
      </c>
      <c r="M2311">
        <v>8</v>
      </c>
      <c r="N2311">
        <v>341.33</v>
      </c>
      <c r="O2311">
        <v>72</v>
      </c>
      <c r="P2311">
        <v>76</v>
      </c>
      <c r="Q2311" t="s">
        <v>99</v>
      </c>
      <c r="R2311">
        <v>30</v>
      </c>
      <c r="S2311" s="19">
        <v>0.45833333333333331</v>
      </c>
      <c r="T2311">
        <v>0</v>
      </c>
      <c r="U2311" s="19">
        <v>0.54166666666666663</v>
      </c>
      <c r="V2311" t="s">
        <v>99</v>
      </c>
      <c r="W2311">
        <v>7.5</v>
      </c>
      <c r="X2311" t="s">
        <v>102</v>
      </c>
      <c r="Y2311" t="b">
        <v>0</v>
      </c>
    </row>
    <row r="2312" spans="1:25" x14ac:dyDescent="0.55000000000000004">
      <c r="A2312" t="s">
        <v>94</v>
      </c>
      <c r="B2312" t="s">
        <v>466</v>
      </c>
      <c r="C2312" t="s">
        <v>308</v>
      </c>
      <c r="D2312" t="s">
        <v>111</v>
      </c>
      <c r="E2312" t="s">
        <v>472</v>
      </c>
      <c r="F2312" t="s">
        <v>99</v>
      </c>
      <c r="G2312">
        <v>24981</v>
      </c>
      <c r="H2312" t="s">
        <v>473</v>
      </c>
      <c r="I2312">
        <v>1</v>
      </c>
      <c r="J2312" t="s">
        <v>116</v>
      </c>
      <c r="K2312" s="19">
        <v>0.25</v>
      </c>
      <c r="L2312" s="19">
        <v>0.58333333333333337</v>
      </c>
      <c r="M2312">
        <v>8</v>
      </c>
      <c r="N2312">
        <v>398.21</v>
      </c>
      <c r="O2312">
        <v>72</v>
      </c>
      <c r="P2312">
        <v>76</v>
      </c>
      <c r="Q2312" t="s">
        <v>99</v>
      </c>
      <c r="R2312">
        <v>30</v>
      </c>
      <c r="S2312" s="19">
        <v>0.45833333333333331</v>
      </c>
      <c r="T2312">
        <v>0</v>
      </c>
      <c r="U2312" s="19">
        <v>0.54166666666666663</v>
      </c>
      <c r="V2312" t="s">
        <v>99</v>
      </c>
      <c r="W2312">
        <v>7.5</v>
      </c>
      <c r="X2312" t="s">
        <v>102</v>
      </c>
      <c r="Y2312" t="b">
        <v>0</v>
      </c>
    </row>
    <row r="2313" spans="1:25" x14ac:dyDescent="0.55000000000000004">
      <c r="A2313" t="s">
        <v>94</v>
      </c>
      <c r="B2313" t="s">
        <v>466</v>
      </c>
      <c r="C2313" t="s">
        <v>308</v>
      </c>
      <c r="D2313" t="s">
        <v>111</v>
      </c>
      <c r="E2313" t="s">
        <v>472</v>
      </c>
      <c r="F2313" t="s">
        <v>99</v>
      </c>
      <c r="G2313">
        <v>24981</v>
      </c>
      <c r="H2313" t="s">
        <v>473</v>
      </c>
      <c r="I2313">
        <v>1</v>
      </c>
      <c r="J2313" t="s">
        <v>104</v>
      </c>
      <c r="K2313" s="19">
        <v>0.4375</v>
      </c>
      <c r="L2313" s="19">
        <v>0.77083333333333337</v>
      </c>
      <c r="M2313">
        <v>8</v>
      </c>
      <c r="N2313">
        <v>227.55</v>
      </c>
      <c r="O2313">
        <v>72</v>
      </c>
      <c r="P2313">
        <v>76</v>
      </c>
      <c r="Q2313" t="s">
        <v>99</v>
      </c>
      <c r="R2313">
        <v>30</v>
      </c>
      <c r="S2313" s="19">
        <v>0.64583333333333337</v>
      </c>
      <c r="T2313">
        <v>0</v>
      </c>
      <c r="U2313" s="19">
        <v>0.54166666666666663</v>
      </c>
      <c r="V2313" t="s">
        <v>99</v>
      </c>
      <c r="W2313">
        <v>7.5</v>
      </c>
      <c r="X2313" t="s">
        <v>102</v>
      </c>
      <c r="Y2313" t="b">
        <v>0</v>
      </c>
    </row>
    <row r="2314" spans="1:25" x14ac:dyDescent="0.55000000000000004">
      <c r="A2314" t="s">
        <v>94</v>
      </c>
      <c r="B2314" t="s">
        <v>466</v>
      </c>
      <c r="C2314" t="s">
        <v>308</v>
      </c>
      <c r="D2314" t="s">
        <v>111</v>
      </c>
      <c r="E2314" t="s">
        <v>472</v>
      </c>
      <c r="F2314" t="s">
        <v>99</v>
      </c>
      <c r="G2314">
        <v>24981</v>
      </c>
      <c r="H2314" t="s">
        <v>473</v>
      </c>
      <c r="I2314">
        <v>1</v>
      </c>
      <c r="J2314" t="s">
        <v>105</v>
      </c>
      <c r="K2314" s="19">
        <v>0.4375</v>
      </c>
      <c r="L2314" s="19">
        <v>0.77083333333333337</v>
      </c>
      <c r="M2314">
        <v>8</v>
      </c>
      <c r="N2314">
        <v>227.55</v>
      </c>
      <c r="O2314">
        <v>72</v>
      </c>
      <c r="P2314">
        <v>76</v>
      </c>
      <c r="Q2314" t="s">
        <v>99</v>
      </c>
      <c r="R2314">
        <v>30</v>
      </c>
      <c r="S2314" s="19">
        <v>0.64583333333333337</v>
      </c>
      <c r="T2314">
        <v>0</v>
      </c>
      <c r="U2314" s="19">
        <v>0.54166666666666663</v>
      </c>
      <c r="V2314" t="s">
        <v>99</v>
      </c>
      <c r="W2314">
        <v>7.5</v>
      </c>
      <c r="X2314" t="s">
        <v>102</v>
      </c>
      <c r="Y2314" t="b">
        <v>0</v>
      </c>
    </row>
    <row r="2315" spans="1:25" x14ac:dyDescent="0.55000000000000004">
      <c r="A2315" t="s">
        <v>94</v>
      </c>
      <c r="B2315" t="s">
        <v>466</v>
      </c>
      <c r="C2315" t="s">
        <v>308</v>
      </c>
      <c r="D2315" t="s">
        <v>111</v>
      </c>
      <c r="E2315" t="s">
        <v>472</v>
      </c>
      <c r="F2315" t="s">
        <v>99</v>
      </c>
      <c r="G2315">
        <v>24981</v>
      </c>
      <c r="H2315" t="s">
        <v>473</v>
      </c>
      <c r="I2315">
        <v>2</v>
      </c>
      <c r="J2315" t="s">
        <v>101</v>
      </c>
      <c r="K2315" s="19">
        <v>0.25</v>
      </c>
      <c r="L2315" s="19">
        <v>0.58333333333333337</v>
      </c>
      <c r="M2315">
        <v>8</v>
      </c>
      <c r="N2315">
        <v>227.55</v>
      </c>
      <c r="O2315">
        <v>72</v>
      </c>
      <c r="P2315">
        <v>76</v>
      </c>
      <c r="Q2315" t="s">
        <v>99</v>
      </c>
      <c r="R2315">
        <v>30</v>
      </c>
      <c r="S2315" s="19">
        <v>0.45833333333333331</v>
      </c>
      <c r="T2315">
        <v>0</v>
      </c>
      <c r="U2315" s="19">
        <v>0.54166666666666663</v>
      </c>
      <c r="V2315" t="s">
        <v>99</v>
      </c>
      <c r="W2315">
        <v>7.5</v>
      </c>
      <c r="X2315" t="s">
        <v>102</v>
      </c>
      <c r="Y2315" t="b">
        <v>0</v>
      </c>
    </row>
    <row r="2316" spans="1:25" x14ac:dyDescent="0.55000000000000004">
      <c r="A2316" t="s">
        <v>94</v>
      </c>
      <c r="B2316" t="s">
        <v>466</v>
      </c>
      <c r="C2316" t="s">
        <v>308</v>
      </c>
      <c r="D2316" t="s">
        <v>111</v>
      </c>
      <c r="E2316" t="s">
        <v>472</v>
      </c>
      <c r="F2316" t="s">
        <v>99</v>
      </c>
      <c r="G2316">
        <v>24981</v>
      </c>
      <c r="H2316" t="s">
        <v>473</v>
      </c>
      <c r="I2316">
        <v>2</v>
      </c>
      <c r="J2316" t="s">
        <v>115</v>
      </c>
      <c r="K2316" s="19">
        <v>0.25</v>
      </c>
      <c r="L2316" s="19">
        <v>0.58333333333333337</v>
      </c>
      <c r="M2316">
        <v>8</v>
      </c>
      <c r="N2316">
        <v>568.88</v>
      </c>
      <c r="O2316">
        <v>72</v>
      </c>
      <c r="P2316">
        <v>76</v>
      </c>
      <c r="Q2316" t="s">
        <v>99</v>
      </c>
      <c r="R2316">
        <v>30</v>
      </c>
      <c r="S2316" s="19">
        <v>0.45833333333333331</v>
      </c>
      <c r="T2316">
        <v>0</v>
      </c>
      <c r="U2316" s="19">
        <v>0.54166666666666663</v>
      </c>
      <c r="V2316" t="s">
        <v>99</v>
      </c>
      <c r="W2316">
        <v>7.5</v>
      </c>
      <c r="X2316" t="s">
        <v>102</v>
      </c>
      <c r="Y2316" t="b">
        <v>0</v>
      </c>
    </row>
    <row r="2317" spans="1:25" x14ac:dyDescent="0.55000000000000004">
      <c r="A2317" t="s">
        <v>94</v>
      </c>
      <c r="B2317" t="s">
        <v>466</v>
      </c>
      <c r="C2317" t="s">
        <v>308</v>
      </c>
      <c r="D2317" t="s">
        <v>111</v>
      </c>
      <c r="E2317" t="s">
        <v>472</v>
      </c>
      <c r="F2317" t="s">
        <v>99</v>
      </c>
      <c r="G2317">
        <v>24981</v>
      </c>
      <c r="H2317" t="s">
        <v>473</v>
      </c>
      <c r="I2317">
        <v>2</v>
      </c>
      <c r="J2317" t="s">
        <v>116</v>
      </c>
      <c r="K2317" s="19">
        <v>0.25</v>
      </c>
      <c r="L2317" s="19">
        <v>0.58333333333333337</v>
      </c>
      <c r="M2317">
        <v>8</v>
      </c>
      <c r="N2317">
        <v>398.21</v>
      </c>
      <c r="O2317">
        <v>72</v>
      </c>
      <c r="P2317">
        <v>76</v>
      </c>
      <c r="Q2317" t="s">
        <v>99</v>
      </c>
      <c r="R2317">
        <v>30</v>
      </c>
      <c r="S2317" s="19">
        <v>0.45833333333333331</v>
      </c>
      <c r="T2317">
        <v>0</v>
      </c>
      <c r="U2317" s="19">
        <v>0.54166666666666663</v>
      </c>
      <c r="V2317" t="s">
        <v>99</v>
      </c>
      <c r="W2317">
        <v>7.5</v>
      </c>
      <c r="X2317" t="s">
        <v>102</v>
      </c>
      <c r="Y2317" t="b">
        <v>0</v>
      </c>
    </row>
    <row r="2318" spans="1:25" x14ac:dyDescent="0.55000000000000004">
      <c r="A2318" t="s">
        <v>94</v>
      </c>
      <c r="B2318" t="s">
        <v>466</v>
      </c>
      <c r="C2318" t="s">
        <v>308</v>
      </c>
      <c r="D2318" t="s">
        <v>111</v>
      </c>
      <c r="E2318" t="s">
        <v>472</v>
      </c>
      <c r="F2318" t="s">
        <v>99</v>
      </c>
      <c r="G2318">
        <v>24981</v>
      </c>
      <c r="H2318" t="s">
        <v>473</v>
      </c>
      <c r="I2318">
        <v>2</v>
      </c>
      <c r="J2318" t="s">
        <v>104</v>
      </c>
      <c r="K2318" s="19">
        <v>0.4375</v>
      </c>
      <c r="L2318" s="19">
        <v>0.77083333333333337</v>
      </c>
      <c r="M2318">
        <v>8</v>
      </c>
      <c r="N2318">
        <v>227.55</v>
      </c>
      <c r="O2318">
        <v>72</v>
      </c>
      <c r="P2318">
        <v>76</v>
      </c>
      <c r="Q2318" t="s">
        <v>99</v>
      </c>
      <c r="R2318">
        <v>30</v>
      </c>
      <c r="S2318" s="19">
        <v>0.64583333333333337</v>
      </c>
      <c r="T2318">
        <v>0</v>
      </c>
      <c r="U2318" s="19">
        <v>0.54166666666666663</v>
      </c>
      <c r="V2318" t="s">
        <v>99</v>
      </c>
      <c r="W2318">
        <v>7.5</v>
      </c>
      <c r="X2318" t="s">
        <v>102</v>
      </c>
      <c r="Y2318" t="b">
        <v>0</v>
      </c>
    </row>
    <row r="2319" spans="1:25" x14ac:dyDescent="0.55000000000000004">
      <c r="A2319" t="s">
        <v>94</v>
      </c>
      <c r="B2319" t="s">
        <v>466</v>
      </c>
      <c r="C2319" t="s">
        <v>308</v>
      </c>
      <c r="D2319" t="s">
        <v>111</v>
      </c>
      <c r="E2319" t="s">
        <v>472</v>
      </c>
      <c r="F2319" t="s">
        <v>99</v>
      </c>
      <c r="G2319">
        <v>24981</v>
      </c>
      <c r="H2319" t="s">
        <v>473</v>
      </c>
      <c r="I2319">
        <v>2</v>
      </c>
      <c r="J2319" t="s">
        <v>105</v>
      </c>
      <c r="K2319" s="19">
        <v>0.4375</v>
      </c>
      <c r="L2319" s="19">
        <v>0.77083333333333337</v>
      </c>
      <c r="M2319">
        <v>8</v>
      </c>
      <c r="N2319">
        <v>227.55</v>
      </c>
      <c r="O2319">
        <v>72</v>
      </c>
      <c r="P2319">
        <v>76</v>
      </c>
      <c r="Q2319" t="s">
        <v>99</v>
      </c>
      <c r="R2319">
        <v>30</v>
      </c>
      <c r="S2319" s="19">
        <v>0.64583333333333337</v>
      </c>
      <c r="T2319">
        <v>0</v>
      </c>
      <c r="U2319" s="19">
        <v>0.54166666666666663</v>
      </c>
      <c r="V2319" t="s">
        <v>99</v>
      </c>
      <c r="W2319">
        <v>7.5</v>
      </c>
      <c r="X2319" t="s">
        <v>102</v>
      </c>
      <c r="Y2319" t="b">
        <v>0</v>
      </c>
    </row>
    <row r="2320" spans="1:25" x14ac:dyDescent="0.55000000000000004">
      <c r="A2320" t="s">
        <v>94</v>
      </c>
      <c r="B2320" t="s">
        <v>474</v>
      </c>
      <c r="C2320" t="s">
        <v>308</v>
      </c>
      <c r="D2320" t="s">
        <v>174</v>
      </c>
      <c r="E2320" t="s">
        <v>175</v>
      </c>
      <c r="F2320" t="s">
        <v>99</v>
      </c>
      <c r="H2320" t="s">
        <v>99</v>
      </c>
      <c r="I2320">
        <v>2</v>
      </c>
      <c r="J2320" t="s">
        <v>107</v>
      </c>
      <c r="K2320" s="19">
        <v>0.27083333333333331</v>
      </c>
      <c r="L2320" s="19">
        <v>0.58333333333333337</v>
      </c>
      <c r="M2320">
        <v>7.5</v>
      </c>
      <c r="N2320">
        <v>233.45</v>
      </c>
      <c r="O2320">
        <v>0</v>
      </c>
      <c r="P2320">
        <v>0</v>
      </c>
      <c r="Q2320" t="s">
        <v>99</v>
      </c>
      <c r="R2320">
        <v>30</v>
      </c>
      <c r="S2320" s="19">
        <v>0.47916666666666669</v>
      </c>
      <c r="T2320">
        <v>0</v>
      </c>
      <c r="U2320" s="19">
        <v>0.54166666666666663</v>
      </c>
      <c r="V2320" t="s">
        <v>99</v>
      </c>
      <c r="W2320">
        <v>7</v>
      </c>
      <c r="X2320" t="s">
        <v>102</v>
      </c>
      <c r="Y2320" t="b">
        <v>0</v>
      </c>
    </row>
    <row r="2321" spans="1:25" x14ac:dyDescent="0.55000000000000004">
      <c r="A2321" t="s">
        <v>94</v>
      </c>
      <c r="B2321" t="s">
        <v>474</v>
      </c>
      <c r="C2321" t="s">
        <v>308</v>
      </c>
      <c r="D2321" t="s">
        <v>174</v>
      </c>
      <c r="E2321" t="s">
        <v>175</v>
      </c>
      <c r="F2321" t="s">
        <v>99</v>
      </c>
      <c r="H2321" t="s">
        <v>99</v>
      </c>
      <c r="I2321">
        <v>2</v>
      </c>
      <c r="J2321" t="s">
        <v>101</v>
      </c>
      <c r="K2321" s="19">
        <v>0.27083333333333331</v>
      </c>
      <c r="L2321" s="19">
        <v>0.58333333333333337</v>
      </c>
      <c r="M2321">
        <v>7.5</v>
      </c>
      <c r="N2321">
        <v>233.45</v>
      </c>
      <c r="O2321">
        <v>0</v>
      </c>
      <c r="P2321">
        <v>0</v>
      </c>
      <c r="Q2321" t="s">
        <v>99</v>
      </c>
      <c r="R2321">
        <v>30</v>
      </c>
      <c r="S2321" s="19">
        <v>0.47916666666666669</v>
      </c>
      <c r="T2321">
        <v>0</v>
      </c>
      <c r="U2321" s="19">
        <v>0.54166666666666663</v>
      </c>
      <c r="V2321" t="s">
        <v>99</v>
      </c>
      <c r="W2321">
        <v>7</v>
      </c>
      <c r="X2321" t="s">
        <v>102</v>
      </c>
      <c r="Y2321" t="b">
        <v>0</v>
      </c>
    </row>
    <row r="2322" spans="1:25" x14ac:dyDescent="0.55000000000000004">
      <c r="A2322" t="s">
        <v>94</v>
      </c>
      <c r="B2322" t="s">
        <v>474</v>
      </c>
      <c r="C2322" t="s">
        <v>308</v>
      </c>
      <c r="D2322" t="s">
        <v>174</v>
      </c>
      <c r="E2322" t="s">
        <v>175</v>
      </c>
      <c r="F2322" t="s">
        <v>99</v>
      </c>
      <c r="H2322" t="s">
        <v>99</v>
      </c>
      <c r="I2322">
        <v>2</v>
      </c>
      <c r="J2322" t="s">
        <v>115</v>
      </c>
      <c r="K2322" s="19">
        <v>0.27083333333333331</v>
      </c>
      <c r="L2322" s="19">
        <v>0.625</v>
      </c>
      <c r="M2322">
        <v>8.5</v>
      </c>
      <c r="N2322">
        <v>667</v>
      </c>
      <c r="O2322">
        <v>0</v>
      </c>
      <c r="P2322">
        <v>0</v>
      </c>
      <c r="Q2322" t="s">
        <v>99</v>
      </c>
      <c r="R2322">
        <v>30</v>
      </c>
      <c r="S2322" s="19">
        <v>0.47916666666666669</v>
      </c>
      <c r="T2322">
        <v>0</v>
      </c>
      <c r="U2322" s="19">
        <v>0.54166666666666663</v>
      </c>
      <c r="V2322" t="s">
        <v>99</v>
      </c>
      <c r="W2322">
        <v>8</v>
      </c>
      <c r="X2322" t="s">
        <v>102</v>
      </c>
      <c r="Y2322" t="b">
        <v>0</v>
      </c>
    </row>
    <row r="2323" spans="1:25" x14ac:dyDescent="0.55000000000000004">
      <c r="A2323" t="s">
        <v>94</v>
      </c>
      <c r="B2323" t="s">
        <v>474</v>
      </c>
      <c r="C2323" t="s">
        <v>308</v>
      </c>
      <c r="D2323" t="s">
        <v>174</v>
      </c>
      <c r="E2323" t="s">
        <v>175</v>
      </c>
      <c r="F2323" t="s">
        <v>99</v>
      </c>
      <c r="G2323">
        <v>11129</v>
      </c>
      <c r="H2323" t="s">
        <v>475</v>
      </c>
      <c r="I2323">
        <v>1</v>
      </c>
      <c r="J2323" t="s">
        <v>101</v>
      </c>
      <c r="K2323" s="19">
        <v>0.27083333333333331</v>
      </c>
      <c r="L2323" s="19">
        <v>0.625</v>
      </c>
      <c r="M2323">
        <v>8.5</v>
      </c>
      <c r="N2323">
        <v>280.88</v>
      </c>
      <c r="O2323">
        <v>56</v>
      </c>
      <c r="P2323">
        <v>76</v>
      </c>
      <c r="Q2323" t="s">
        <v>99</v>
      </c>
      <c r="R2323">
        <v>30</v>
      </c>
      <c r="S2323" s="19">
        <v>0.47916666666666669</v>
      </c>
      <c r="T2323">
        <v>0</v>
      </c>
      <c r="U2323" s="19">
        <v>0.54166666666666663</v>
      </c>
      <c r="V2323" t="s">
        <v>99</v>
      </c>
      <c r="W2323">
        <v>8</v>
      </c>
      <c r="X2323" t="s">
        <v>102</v>
      </c>
      <c r="Y2323" t="b">
        <v>0</v>
      </c>
    </row>
    <row r="2324" spans="1:25" x14ac:dyDescent="0.55000000000000004">
      <c r="A2324" t="s">
        <v>94</v>
      </c>
      <c r="B2324" t="s">
        <v>474</v>
      </c>
      <c r="C2324" t="s">
        <v>308</v>
      </c>
      <c r="D2324" t="s">
        <v>174</v>
      </c>
      <c r="E2324" t="s">
        <v>175</v>
      </c>
      <c r="F2324" t="s">
        <v>99</v>
      </c>
      <c r="G2324">
        <v>11129</v>
      </c>
      <c r="H2324" t="s">
        <v>475</v>
      </c>
      <c r="I2324">
        <v>1</v>
      </c>
      <c r="J2324" t="s">
        <v>115</v>
      </c>
      <c r="K2324" s="19">
        <v>0.27083333333333331</v>
      </c>
      <c r="L2324" s="19">
        <v>0.625</v>
      </c>
      <c r="M2324">
        <v>8.5</v>
      </c>
      <c r="N2324">
        <v>421.32</v>
      </c>
      <c r="O2324">
        <v>56</v>
      </c>
      <c r="P2324">
        <v>76</v>
      </c>
      <c r="Q2324" t="s">
        <v>99</v>
      </c>
      <c r="R2324">
        <v>30</v>
      </c>
      <c r="S2324" s="19">
        <v>0.47916666666666669</v>
      </c>
      <c r="T2324">
        <v>0</v>
      </c>
      <c r="U2324" s="19">
        <v>0.54166666666666663</v>
      </c>
      <c r="V2324" t="s">
        <v>99</v>
      </c>
      <c r="W2324">
        <v>8</v>
      </c>
      <c r="X2324" t="s">
        <v>102</v>
      </c>
      <c r="Y2324" t="b">
        <v>0</v>
      </c>
    </row>
    <row r="2325" spans="1:25" x14ac:dyDescent="0.55000000000000004">
      <c r="A2325" t="s">
        <v>94</v>
      </c>
      <c r="B2325" t="s">
        <v>474</v>
      </c>
      <c r="C2325" t="s">
        <v>308</v>
      </c>
      <c r="D2325" t="s">
        <v>174</v>
      </c>
      <c r="E2325" t="s">
        <v>175</v>
      </c>
      <c r="F2325" t="s">
        <v>99</v>
      </c>
      <c r="G2325">
        <v>11129</v>
      </c>
      <c r="H2325" t="s">
        <v>475</v>
      </c>
      <c r="I2325">
        <v>1</v>
      </c>
      <c r="J2325" t="s">
        <v>116</v>
      </c>
      <c r="K2325" s="19">
        <v>0.27083333333333331</v>
      </c>
      <c r="L2325" s="19">
        <v>0.625</v>
      </c>
      <c r="M2325">
        <v>8.5</v>
      </c>
      <c r="N2325">
        <v>491.54</v>
      </c>
      <c r="O2325">
        <v>56</v>
      </c>
      <c r="P2325">
        <v>76</v>
      </c>
      <c r="Q2325" t="s">
        <v>99</v>
      </c>
      <c r="R2325">
        <v>30</v>
      </c>
      <c r="S2325" s="19">
        <v>0.47916666666666669</v>
      </c>
      <c r="T2325">
        <v>0</v>
      </c>
      <c r="U2325" s="19">
        <v>0.54166666666666663</v>
      </c>
      <c r="V2325" t="s">
        <v>99</v>
      </c>
      <c r="W2325">
        <v>8</v>
      </c>
      <c r="X2325" t="s">
        <v>102</v>
      </c>
      <c r="Y2325" t="b">
        <v>0</v>
      </c>
    </row>
    <row r="2326" spans="1:25" x14ac:dyDescent="0.55000000000000004">
      <c r="A2326" t="s">
        <v>94</v>
      </c>
      <c r="B2326" t="s">
        <v>474</v>
      </c>
      <c r="C2326" t="s">
        <v>308</v>
      </c>
      <c r="D2326" t="s">
        <v>174</v>
      </c>
      <c r="E2326" t="s">
        <v>175</v>
      </c>
      <c r="F2326" t="s">
        <v>99</v>
      </c>
      <c r="G2326">
        <v>11129</v>
      </c>
      <c r="H2326" t="s">
        <v>475</v>
      </c>
      <c r="I2326">
        <v>1</v>
      </c>
      <c r="J2326" t="s">
        <v>104</v>
      </c>
      <c r="K2326" s="19">
        <v>0.27083333333333331</v>
      </c>
      <c r="L2326" s="19">
        <v>0.625</v>
      </c>
      <c r="M2326">
        <v>8.5</v>
      </c>
      <c r="N2326">
        <v>280.88</v>
      </c>
      <c r="O2326">
        <v>56</v>
      </c>
      <c r="P2326">
        <v>76</v>
      </c>
      <c r="Q2326" t="s">
        <v>99</v>
      </c>
      <c r="R2326">
        <v>30</v>
      </c>
      <c r="S2326" s="19">
        <v>0.47916666666666669</v>
      </c>
      <c r="T2326">
        <v>0</v>
      </c>
      <c r="U2326" s="19">
        <v>0.54166666666666663</v>
      </c>
      <c r="V2326" t="s">
        <v>99</v>
      </c>
      <c r="W2326">
        <v>8</v>
      </c>
      <c r="X2326" t="s">
        <v>102</v>
      </c>
      <c r="Y2326" t="b">
        <v>0</v>
      </c>
    </row>
    <row r="2327" spans="1:25" x14ac:dyDescent="0.55000000000000004">
      <c r="A2327" t="s">
        <v>94</v>
      </c>
      <c r="B2327" t="s">
        <v>474</v>
      </c>
      <c r="C2327" t="s">
        <v>308</v>
      </c>
      <c r="D2327" t="s">
        <v>174</v>
      </c>
      <c r="E2327" t="s">
        <v>175</v>
      </c>
      <c r="F2327" t="s">
        <v>99</v>
      </c>
      <c r="G2327">
        <v>11129</v>
      </c>
      <c r="H2327" t="s">
        <v>475</v>
      </c>
      <c r="I2327">
        <v>2</v>
      </c>
      <c r="J2327" t="s">
        <v>107</v>
      </c>
      <c r="K2327" s="19">
        <v>0.27083333333333331</v>
      </c>
      <c r="L2327" s="19">
        <v>0.625</v>
      </c>
      <c r="M2327">
        <v>8.5</v>
      </c>
      <c r="N2327">
        <v>280.88</v>
      </c>
      <c r="O2327">
        <v>56</v>
      </c>
      <c r="P2327">
        <v>76</v>
      </c>
      <c r="Q2327" t="s">
        <v>99</v>
      </c>
      <c r="R2327">
        <v>30</v>
      </c>
      <c r="S2327" s="19">
        <v>0.47916666666666669</v>
      </c>
      <c r="T2327">
        <v>0</v>
      </c>
      <c r="U2327" s="19">
        <v>0.54166666666666663</v>
      </c>
      <c r="V2327" t="s">
        <v>99</v>
      </c>
      <c r="W2327">
        <v>8</v>
      </c>
      <c r="X2327" t="s">
        <v>102</v>
      </c>
      <c r="Y2327" t="b">
        <v>0</v>
      </c>
    </row>
    <row r="2328" spans="1:25" x14ac:dyDescent="0.55000000000000004">
      <c r="A2328" t="s">
        <v>94</v>
      </c>
      <c r="B2328" t="s">
        <v>474</v>
      </c>
      <c r="C2328" t="s">
        <v>308</v>
      </c>
      <c r="D2328" t="s">
        <v>174</v>
      </c>
      <c r="E2328" t="s">
        <v>175</v>
      </c>
      <c r="F2328" t="s">
        <v>99</v>
      </c>
      <c r="G2328">
        <v>11129</v>
      </c>
      <c r="H2328" t="s">
        <v>475</v>
      </c>
      <c r="I2328">
        <v>2</v>
      </c>
      <c r="J2328" t="s">
        <v>101</v>
      </c>
      <c r="K2328" s="19">
        <v>0.27083333333333331</v>
      </c>
      <c r="L2328" s="19">
        <v>0.625</v>
      </c>
      <c r="M2328">
        <v>8.5</v>
      </c>
      <c r="N2328">
        <v>280.88</v>
      </c>
      <c r="O2328">
        <v>56</v>
      </c>
      <c r="P2328">
        <v>76</v>
      </c>
      <c r="Q2328" t="s">
        <v>99</v>
      </c>
      <c r="R2328">
        <v>30</v>
      </c>
      <c r="S2328" s="19">
        <v>0.47916666666666669</v>
      </c>
      <c r="T2328">
        <v>0</v>
      </c>
      <c r="U2328" s="19">
        <v>0.54166666666666663</v>
      </c>
      <c r="V2328" t="s">
        <v>99</v>
      </c>
      <c r="W2328">
        <v>8</v>
      </c>
      <c r="X2328" t="s">
        <v>102</v>
      </c>
      <c r="Y2328" t="b">
        <v>0</v>
      </c>
    </row>
    <row r="2329" spans="1:25" x14ac:dyDescent="0.55000000000000004">
      <c r="A2329" t="s">
        <v>94</v>
      </c>
      <c r="B2329" t="s">
        <v>474</v>
      </c>
      <c r="C2329" t="s">
        <v>308</v>
      </c>
      <c r="D2329" t="s">
        <v>174</v>
      </c>
      <c r="E2329" t="s">
        <v>175</v>
      </c>
      <c r="F2329" t="s">
        <v>99</v>
      </c>
      <c r="G2329">
        <v>11129</v>
      </c>
      <c r="H2329" t="s">
        <v>475</v>
      </c>
      <c r="I2329">
        <v>2</v>
      </c>
      <c r="J2329" t="s">
        <v>103</v>
      </c>
      <c r="K2329" s="19">
        <v>0.27083333333333331</v>
      </c>
      <c r="L2329" s="19">
        <v>0.625</v>
      </c>
      <c r="M2329">
        <v>8.5</v>
      </c>
      <c r="N2329">
        <v>280.88</v>
      </c>
      <c r="O2329">
        <v>56</v>
      </c>
      <c r="P2329">
        <v>76</v>
      </c>
      <c r="Q2329" t="s">
        <v>99</v>
      </c>
      <c r="R2329">
        <v>30</v>
      </c>
      <c r="S2329" s="19">
        <v>0.47916666666666669</v>
      </c>
      <c r="T2329">
        <v>0</v>
      </c>
      <c r="U2329" s="19">
        <v>0.54166666666666663</v>
      </c>
      <c r="V2329" t="s">
        <v>99</v>
      </c>
      <c r="W2329">
        <v>8</v>
      </c>
      <c r="X2329" t="s">
        <v>102</v>
      </c>
      <c r="Y2329" t="b">
        <v>0</v>
      </c>
    </row>
    <row r="2330" spans="1:25" x14ac:dyDescent="0.55000000000000004">
      <c r="A2330" t="s">
        <v>94</v>
      </c>
      <c r="B2330" t="s">
        <v>474</v>
      </c>
      <c r="C2330" t="s">
        <v>308</v>
      </c>
      <c r="D2330" t="s">
        <v>174</v>
      </c>
      <c r="E2330" t="s">
        <v>175</v>
      </c>
      <c r="F2330" t="s">
        <v>99</v>
      </c>
      <c r="G2330">
        <v>19672</v>
      </c>
      <c r="H2330" t="s">
        <v>476</v>
      </c>
      <c r="I2330">
        <v>1</v>
      </c>
      <c r="J2330" t="s">
        <v>103</v>
      </c>
      <c r="K2330" s="19">
        <v>0.27083333333333331</v>
      </c>
      <c r="L2330" s="19">
        <v>0.625</v>
      </c>
      <c r="M2330">
        <v>8.5</v>
      </c>
      <c r="N2330">
        <v>280.88</v>
      </c>
      <c r="O2330">
        <v>46</v>
      </c>
      <c r="P2330">
        <v>76</v>
      </c>
      <c r="Q2330" t="s">
        <v>99</v>
      </c>
      <c r="R2330">
        <v>30</v>
      </c>
      <c r="S2330" s="19">
        <v>0.47916666666666669</v>
      </c>
      <c r="T2330">
        <v>0</v>
      </c>
      <c r="U2330" s="19">
        <v>0.54166666666666663</v>
      </c>
      <c r="V2330" t="s">
        <v>99</v>
      </c>
      <c r="W2330">
        <v>8</v>
      </c>
      <c r="X2330" t="s">
        <v>102</v>
      </c>
      <c r="Y2330" t="b">
        <v>0</v>
      </c>
    </row>
    <row r="2331" spans="1:25" x14ac:dyDescent="0.55000000000000004">
      <c r="A2331" t="s">
        <v>94</v>
      </c>
      <c r="B2331" t="s">
        <v>474</v>
      </c>
      <c r="C2331" t="s">
        <v>308</v>
      </c>
      <c r="D2331" t="s">
        <v>174</v>
      </c>
      <c r="E2331" t="s">
        <v>175</v>
      </c>
      <c r="F2331" t="s">
        <v>99</v>
      </c>
      <c r="G2331">
        <v>19672</v>
      </c>
      <c r="H2331" t="s">
        <v>476</v>
      </c>
      <c r="I2331">
        <v>1</v>
      </c>
      <c r="J2331" t="s">
        <v>105</v>
      </c>
      <c r="K2331" s="19">
        <v>0.27083333333333331</v>
      </c>
      <c r="L2331" s="19">
        <v>0.625</v>
      </c>
      <c r="M2331">
        <v>8.5</v>
      </c>
      <c r="N2331">
        <v>280.88</v>
      </c>
      <c r="O2331">
        <v>46</v>
      </c>
      <c r="P2331">
        <v>76</v>
      </c>
      <c r="Q2331" t="s">
        <v>99</v>
      </c>
      <c r="R2331">
        <v>30</v>
      </c>
      <c r="S2331" s="19">
        <v>0.47916666666666669</v>
      </c>
      <c r="T2331">
        <v>0</v>
      </c>
      <c r="U2331" s="19">
        <v>0.54166666666666663</v>
      </c>
      <c r="V2331" t="s">
        <v>99</v>
      </c>
      <c r="W2331">
        <v>8</v>
      </c>
      <c r="X2331" t="s">
        <v>102</v>
      </c>
      <c r="Y2331" t="b">
        <v>0</v>
      </c>
    </row>
    <row r="2332" spans="1:25" x14ac:dyDescent="0.55000000000000004">
      <c r="A2332" t="s">
        <v>94</v>
      </c>
      <c r="B2332" t="s">
        <v>474</v>
      </c>
      <c r="C2332" t="s">
        <v>308</v>
      </c>
      <c r="D2332" t="s">
        <v>174</v>
      </c>
      <c r="E2332" t="s">
        <v>175</v>
      </c>
      <c r="F2332" t="s">
        <v>99</v>
      </c>
      <c r="G2332">
        <v>19672</v>
      </c>
      <c r="H2332" t="s">
        <v>476</v>
      </c>
      <c r="I2332">
        <v>2</v>
      </c>
      <c r="J2332" t="s">
        <v>101</v>
      </c>
      <c r="K2332" s="19">
        <v>0.27083333333333331</v>
      </c>
      <c r="L2332" s="19">
        <v>0.625</v>
      </c>
      <c r="M2332">
        <v>8.5</v>
      </c>
      <c r="N2332">
        <v>280.88</v>
      </c>
      <c r="O2332">
        <v>46</v>
      </c>
      <c r="P2332">
        <v>76</v>
      </c>
      <c r="Q2332" t="s">
        <v>99</v>
      </c>
      <c r="R2332">
        <v>30</v>
      </c>
      <c r="S2332" s="19">
        <v>0.47916666666666669</v>
      </c>
      <c r="T2332">
        <v>0</v>
      </c>
      <c r="U2332" s="19">
        <v>0.54166666666666663</v>
      </c>
      <c r="V2332" t="s">
        <v>99</v>
      </c>
      <c r="W2332">
        <v>8</v>
      </c>
      <c r="X2332" t="s">
        <v>102</v>
      </c>
      <c r="Y2332" t="b">
        <v>0</v>
      </c>
    </row>
    <row r="2333" spans="1:25" x14ac:dyDescent="0.55000000000000004">
      <c r="A2333" t="s">
        <v>94</v>
      </c>
      <c r="B2333" t="s">
        <v>474</v>
      </c>
      <c r="C2333" t="s">
        <v>308</v>
      </c>
      <c r="D2333" t="s">
        <v>174</v>
      </c>
      <c r="E2333" t="s">
        <v>175</v>
      </c>
      <c r="F2333" t="s">
        <v>99</v>
      </c>
      <c r="G2333">
        <v>19672</v>
      </c>
      <c r="H2333" t="s">
        <v>476</v>
      </c>
      <c r="I2333">
        <v>2</v>
      </c>
      <c r="J2333" t="s">
        <v>104</v>
      </c>
      <c r="K2333" s="19">
        <v>0.27083333333333331</v>
      </c>
      <c r="L2333" s="19">
        <v>0.625</v>
      </c>
      <c r="M2333">
        <v>8.5</v>
      </c>
      <c r="N2333">
        <v>280.88</v>
      </c>
      <c r="O2333">
        <v>46</v>
      </c>
      <c r="P2333">
        <v>76</v>
      </c>
      <c r="Q2333" t="s">
        <v>99</v>
      </c>
      <c r="R2333">
        <v>30</v>
      </c>
      <c r="S2333" s="19">
        <v>0.47916666666666669</v>
      </c>
      <c r="T2333">
        <v>0</v>
      </c>
      <c r="U2333" s="19">
        <v>0.54166666666666663</v>
      </c>
      <c r="V2333" t="s">
        <v>99</v>
      </c>
      <c r="W2333">
        <v>8</v>
      </c>
      <c r="X2333" t="s">
        <v>102</v>
      </c>
      <c r="Y2333" t="b">
        <v>0</v>
      </c>
    </row>
    <row r="2334" spans="1:25" x14ac:dyDescent="0.55000000000000004">
      <c r="A2334" t="s">
        <v>94</v>
      </c>
      <c r="B2334" t="s">
        <v>474</v>
      </c>
      <c r="C2334" t="s">
        <v>308</v>
      </c>
      <c r="D2334" t="s">
        <v>174</v>
      </c>
      <c r="E2334" t="s">
        <v>175</v>
      </c>
      <c r="F2334" t="s">
        <v>99</v>
      </c>
      <c r="G2334">
        <v>20844</v>
      </c>
      <c r="H2334" t="s">
        <v>477</v>
      </c>
      <c r="I2334">
        <v>1</v>
      </c>
      <c r="J2334" t="s">
        <v>107</v>
      </c>
      <c r="K2334" s="19">
        <v>0.27083333333333331</v>
      </c>
      <c r="L2334" s="19">
        <v>0.625</v>
      </c>
      <c r="M2334">
        <v>8.5</v>
      </c>
      <c r="N2334">
        <v>280.88</v>
      </c>
      <c r="O2334">
        <v>40</v>
      </c>
      <c r="P2334">
        <v>76</v>
      </c>
      <c r="Q2334" t="s">
        <v>99</v>
      </c>
      <c r="R2334">
        <v>30</v>
      </c>
      <c r="S2334" s="19">
        <v>0.47916666666666669</v>
      </c>
      <c r="T2334">
        <v>0</v>
      </c>
      <c r="U2334" s="19">
        <v>0.54166666666666663</v>
      </c>
      <c r="V2334" t="s">
        <v>99</v>
      </c>
      <c r="W2334">
        <v>8</v>
      </c>
      <c r="X2334" t="s">
        <v>102</v>
      </c>
      <c r="Y2334" t="b">
        <v>0</v>
      </c>
    </row>
    <row r="2335" spans="1:25" x14ac:dyDescent="0.55000000000000004">
      <c r="A2335" t="s">
        <v>94</v>
      </c>
      <c r="B2335" t="s">
        <v>474</v>
      </c>
      <c r="C2335" t="s">
        <v>308</v>
      </c>
      <c r="D2335" t="s">
        <v>174</v>
      </c>
      <c r="E2335" t="s">
        <v>175</v>
      </c>
      <c r="F2335" t="s">
        <v>99</v>
      </c>
      <c r="G2335">
        <v>20844</v>
      </c>
      <c r="H2335" t="s">
        <v>477</v>
      </c>
      <c r="I2335">
        <v>1</v>
      </c>
      <c r="J2335" t="s">
        <v>116</v>
      </c>
      <c r="K2335" s="19">
        <v>0.27083333333333331</v>
      </c>
      <c r="L2335" s="19">
        <v>0.625</v>
      </c>
      <c r="M2335">
        <v>8.5</v>
      </c>
      <c r="N2335">
        <v>491.54</v>
      </c>
      <c r="O2335">
        <v>40</v>
      </c>
      <c r="P2335">
        <v>76</v>
      </c>
      <c r="Q2335" t="s">
        <v>99</v>
      </c>
      <c r="R2335">
        <v>30</v>
      </c>
      <c r="S2335" s="19">
        <v>0.47916666666666669</v>
      </c>
      <c r="T2335">
        <v>0</v>
      </c>
      <c r="U2335" s="19">
        <v>0.54166666666666663</v>
      </c>
      <c r="V2335" t="s">
        <v>99</v>
      </c>
      <c r="W2335">
        <v>8</v>
      </c>
      <c r="X2335" t="s">
        <v>102</v>
      </c>
      <c r="Y2335" t="b">
        <v>0</v>
      </c>
    </row>
    <row r="2336" spans="1:25" x14ac:dyDescent="0.55000000000000004">
      <c r="A2336" t="s">
        <v>94</v>
      </c>
      <c r="B2336" t="s">
        <v>474</v>
      </c>
      <c r="C2336" t="s">
        <v>308</v>
      </c>
      <c r="D2336" t="s">
        <v>174</v>
      </c>
      <c r="E2336" t="s">
        <v>175</v>
      </c>
      <c r="F2336" t="s">
        <v>99</v>
      </c>
      <c r="G2336">
        <v>20844</v>
      </c>
      <c r="H2336" t="s">
        <v>477</v>
      </c>
      <c r="I2336">
        <v>1</v>
      </c>
      <c r="J2336" t="s">
        <v>104</v>
      </c>
      <c r="K2336" s="19">
        <v>0.27083333333333331</v>
      </c>
      <c r="L2336" s="19">
        <v>0.625</v>
      </c>
      <c r="M2336">
        <v>8.5</v>
      </c>
      <c r="N2336">
        <v>280.88</v>
      </c>
      <c r="O2336">
        <v>40</v>
      </c>
      <c r="P2336">
        <v>76</v>
      </c>
      <c r="Q2336" t="s">
        <v>99</v>
      </c>
      <c r="R2336">
        <v>30</v>
      </c>
      <c r="S2336" s="19">
        <v>0.47916666666666669</v>
      </c>
      <c r="T2336">
        <v>0</v>
      </c>
      <c r="U2336" s="19">
        <v>0.54166666666666663</v>
      </c>
      <c r="V2336" t="s">
        <v>99</v>
      </c>
      <c r="W2336">
        <v>8</v>
      </c>
      <c r="X2336" t="s">
        <v>102</v>
      </c>
      <c r="Y2336" t="b">
        <v>0</v>
      </c>
    </row>
    <row r="2337" spans="1:25" x14ac:dyDescent="0.55000000000000004">
      <c r="A2337" t="s">
        <v>94</v>
      </c>
      <c r="B2337" t="s">
        <v>474</v>
      </c>
      <c r="C2337" t="s">
        <v>308</v>
      </c>
      <c r="D2337" t="s">
        <v>174</v>
      </c>
      <c r="E2337" t="s">
        <v>175</v>
      </c>
      <c r="F2337" t="s">
        <v>99</v>
      </c>
      <c r="G2337">
        <v>20844</v>
      </c>
      <c r="H2337" t="s">
        <v>477</v>
      </c>
      <c r="I2337">
        <v>2</v>
      </c>
      <c r="J2337" t="s">
        <v>101</v>
      </c>
      <c r="K2337" s="19">
        <v>0.27083333333333331</v>
      </c>
      <c r="L2337" s="19">
        <v>0.625</v>
      </c>
      <c r="M2337">
        <v>8.5</v>
      </c>
      <c r="N2337">
        <v>280.88</v>
      </c>
      <c r="O2337">
        <v>40</v>
      </c>
      <c r="P2337">
        <v>76</v>
      </c>
      <c r="Q2337" t="s">
        <v>99</v>
      </c>
      <c r="R2337">
        <v>30</v>
      </c>
      <c r="S2337" s="19">
        <v>0.47916666666666669</v>
      </c>
      <c r="T2337">
        <v>0</v>
      </c>
      <c r="U2337" s="19">
        <v>0.54166666666666663</v>
      </c>
      <c r="V2337" t="s">
        <v>99</v>
      </c>
      <c r="W2337">
        <v>8</v>
      </c>
      <c r="X2337" t="s">
        <v>102</v>
      </c>
      <c r="Y2337" t="b">
        <v>0</v>
      </c>
    </row>
    <row r="2338" spans="1:25" x14ac:dyDescent="0.55000000000000004">
      <c r="A2338" t="s">
        <v>94</v>
      </c>
      <c r="B2338" t="s">
        <v>474</v>
      </c>
      <c r="C2338" t="s">
        <v>308</v>
      </c>
      <c r="D2338" t="s">
        <v>174</v>
      </c>
      <c r="E2338" t="s">
        <v>175</v>
      </c>
      <c r="F2338" t="s">
        <v>99</v>
      </c>
      <c r="G2338">
        <v>20844</v>
      </c>
      <c r="H2338" t="s">
        <v>477</v>
      </c>
      <c r="I2338">
        <v>2</v>
      </c>
      <c r="J2338" t="s">
        <v>104</v>
      </c>
      <c r="K2338" s="19">
        <v>0.27083333333333331</v>
      </c>
      <c r="L2338" s="19">
        <v>0.625</v>
      </c>
      <c r="M2338">
        <v>8.5</v>
      </c>
      <c r="N2338">
        <v>280.88</v>
      </c>
      <c r="O2338">
        <v>40</v>
      </c>
      <c r="P2338">
        <v>76</v>
      </c>
      <c r="Q2338" t="s">
        <v>99</v>
      </c>
      <c r="R2338">
        <v>30</v>
      </c>
      <c r="S2338" s="19">
        <v>0.47916666666666669</v>
      </c>
      <c r="T2338">
        <v>0</v>
      </c>
      <c r="U2338" s="19">
        <v>0.54166666666666663</v>
      </c>
      <c r="V2338" t="s">
        <v>99</v>
      </c>
      <c r="W2338">
        <v>8</v>
      </c>
      <c r="X2338" t="s">
        <v>102</v>
      </c>
      <c r="Y2338" t="b">
        <v>0</v>
      </c>
    </row>
    <row r="2339" spans="1:25" x14ac:dyDescent="0.55000000000000004">
      <c r="A2339" t="s">
        <v>94</v>
      </c>
      <c r="B2339" t="s">
        <v>474</v>
      </c>
      <c r="C2339" t="s">
        <v>308</v>
      </c>
      <c r="D2339" t="s">
        <v>174</v>
      </c>
      <c r="E2339" t="s">
        <v>175</v>
      </c>
      <c r="F2339" t="s">
        <v>99</v>
      </c>
      <c r="G2339">
        <v>21354</v>
      </c>
      <c r="H2339" t="s">
        <v>315</v>
      </c>
      <c r="I2339">
        <v>2</v>
      </c>
      <c r="J2339" t="s">
        <v>103</v>
      </c>
      <c r="K2339" s="19">
        <v>0.27083333333333331</v>
      </c>
      <c r="L2339" s="19">
        <v>0.625</v>
      </c>
      <c r="M2339">
        <v>8.5</v>
      </c>
      <c r="N2339">
        <v>280.88</v>
      </c>
      <c r="O2339">
        <v>56</v>
      </c>
      <c r="P2339">
        <v>76</v>
      </c>
      <c r="Q2339" t="s">
        <v>99</v>
      </c>
      <c r="R2339">
        <v>30</v>
      </c>
      <c r="S2339" s="19">
        <v>0.47916666666666669</v>
      </c>
      <c r="T2339">
        <v>0</v>
      </c>
      <c r="U2339" s="19">
        <v>0.54166666666666663</v>
      </c>
      <c r="V2339" t="s">
        <v>99</v>
      </c>
      <c r="W2339">
        <v>8</v>
      </c>
      <c r="X2339" t="s">
        <v>102</v>
      </c>
      <c r="Y2339" t="b">
        <v>0</v>
      </c>
    </row>
    <row r="2340" spans="1:25" x14ac:dyDescent="0.55000000000000004">
      <c r="A2340" t="s">
        <v>94</v>
      </c>
      <c r="B2340" t="s">
        <v>474</v>
      </c>
      <c r="C2340" t="s">
        <v>308</v>
      </c>
      <c r="D2340" t="s">
        <v>174</v>
      </c>
      <c r="E2340" t="s">
        <v>175</v>
      </c>
      <c r="F2340" t="s">
        <v>99</v>
      </c>
      <c r="G2340">
        <v>21354</v>
      </c>
      <c r="H2340" t="s">
        <v>315</v>
      </c>
      <c r="I2340">
        <v>2</v>
      </c>
      <c r="J2340" t="s">
        <v>104</v>
      </c>
      <c r="K2340" s="19">
        <v>0.27083333333333331</v>
      </c>
      <c r="L2340" s="19">
        <v>0.58333333333333337</v>
      </c>
      <c r="M2340">
        <v>7.5</v>
      </c>
      <c r="N2340">
        <v>245.77</v>
      </c>
      <c r="O2340">
        <v>56</v>
      </c>
      <c r="P2340">
        <v>76</v>
      </c>
      <c r="Q2340" t="s">
        <v>99</v>
      </c>
      <c r="R2340">
        <v>30</v>
      </c>
      <c r="S2340" s="19">
        <v>0.47916666666666669</v>
      </c>
      <c r="T2340">
        <v>0</v>
      </c>
      <c r="U2340" s="19">
        <v>0.54166666666666663</v>
      </c>
      <c r="V2340" t="s">
        <v>99</v>
      </c>
      <c r="W2340">
        <v>7</v>
      </c>
      <c r="X2340" t="s">
        <v>102</v>
      </c>
      <c r="Y2340" t="b">
        <v>0</v>
      </c>
    </row>
    <row r="2341" spans="1:25" x14ac:dyDescent="0.55000000000000004">
      <c r="A2341" t="s">
        <v>94</v>
      </c>
      <c r="B2341" t="s">
        <v>474</v>
      </c>
      <c r="C2341" t="s">
        <v>308</v>
      </c>
      <c r="D2341" t="s">
        <v>174</v>
      </c>
      <c r="E2341" t="s">
        <v>175</v>
      </c>
      <c r="F2341" t="s">
        <v>99</v>
      </c>
      <c r="G2341">
        <v>21354</v>
      </c>
      <c r="H2341" t="s">
        <v>315</v>
      </c>
      <c r="I2341">
        <v>2</v>
      </c>
      <c r="J2341" t="s">
        <v>105</v>
      </c>
      <c r="K2341" s="19">
        <v>0.27083333333333331</v>
      </c>
      <c r="L2341" s="19">
        <v>0.58333333333333337</v>
      </c>
      <c r="M2341">
        <v>7.5</v>
      </c>
      <c r="N2341">
        <v>245.77</v>
      </c>
      <c r="O2341">
        <v>56</v>
      </c>
      <c r="P2341">
        <v>76</v>
      </c>
      <c r="Q2341" t="s">
        <v>99</v>
      </c>
      <c r="R2341">
        <v>30</v>
      </c>
      <c r="S2341" s="19">
        <v>0.47916666666666669</v>
      </c>
      <c r="T2341">
        <v>0</v>
      </c>
      <c r="U2341" s="19">
        <v>0.54166666666666663</v>
      </c>
      <c r="V2341" t="s">
        <v>99</v>
      </c>
      <c r="W2341">
        <v>7</v>
      </c>
      <c r="X2341" t="s">
        <v>102</v>
      </c>
      <c r="Y2341" t="b">
        <v>0</v>
      </c>
    </row>
    <row r="2342" spans="1:25" x14ac:dyDescent="0.55000000000000004">
      <c r="A2342" t="s">
        <v>94</v>
      </c>
      <c r="B2342" t="s">
        <v>474</v>
      </c>
      <c r="C2342" t="s">
        <v>308</v>
      </c>
      <c r="D2342" t="s">
        <v>174</v>
      </c>
      <c r="E2342" t="s">
        <v>175</v>
      </c>
      <c r="F2342" t="s">
        <v>99</v>
      </c>
      <c r="G2342">
        <v>23132</v>
      </c>
      <c r="H2342" t="s">
        <v>478</v>
      </c>
      <c r="I2342">
        <v>1</v>
      </c>
      <c r="J2342" t="s">
        <v>107</v>
      </c>
      <c r="K2342" s="19">
        <v>0.27083333333333331</v>
      </c>
      <c r="L2342" s="19">
        <v>0.625</v>
      </c>
      <c r="M2342">
        <v>8.5</v>
      </c>
      <c r="N2342">
        <v>280.88</v>
      </c>
      <c r="O2342">
        <v>76</v>
      </c>
      <c r="P2342">
        <v>76</v>
      </c>
      <c r="Q2342" t="s">
        <v>99</v>
      </c>
      <c r="R2342">
        <v>30</v>
      </c>
      <c r="S2342" s="19">
        <v>0.47916666666666669</v>
      </c>
      <c r="T2342">
        <v>0</v>
      </c>
      <c r="U2342" s="19">
        <v>0.54166666666666663</v>
      </c>
      <c r="V2342" t="s">
        <v>99</v>
      </c>
      <c r="W2342">
        <v>8</v>
      </c>
      <c r="X2342" t="s">
        <v>102</v>
      </c>
      <c r="Y2342" t="b">
        <v>0</v>
      </c>
    </row>
    <row r="2343" spans="1:25" x14ac:dyDescent="0.55000000000000004">
      <c r="A2343" t="s">
        <v>94</v>
      </c>
      <c r="B2343" t="s">
        <v>474</v>
      </c>
      <c r="C2343" t="s">
        <v>308</v>
      </c>
      <c r="D2343" t="s">
        <v>174</v>
      </c>
      <c r="E2343" t="s">
        <v>175</v>
      </c>
      <c r="F2343" t="s">
        <v>99</v>
      </c>
      <c r="G2343">
        <v>23132</v>
      </c>
      <c r="H2343" t="s">
        <v>478</v>
      </c>
      <c r="I2343">
        <v>1</v>
      </c>
      <c r="J2343" t="s">
        <v>115</v>
      </c>
      <c r="K2343" s="19">
        <v>0.27083333333333331</v>
      </c>
      <c r="L2343" s="19">
        <v>0.625</v>
      </c>
      <c r="M2343">
        <v>8.5</v>
      </c>
      <c r="N2343">
        <v>421.32</v>
      </c>
      <c r="O2343">
        <v>76</v>
      </c>
      <c r="P2343">
        <v>76</v>
      </c>
      <c r="Q2343" t="s">
        <v>99</v>
      </c>
      <c r="R2343">
        <v>30</v>
      </c>
      <c r="S2343" s="19">
        <v>0.47916666666666669</v>
      </c>
      <c r="T2343">
        <v>0</v>
      </c>
      <c r="U2343" s="19">
        <v>0.54166666666666663</v>
      </c>
      <c r="V2343" t="s">
        <v>99</v>
      </c>
      <c r="W2343">
        <v>8</v>
      </c>
      <c r="X2343" t="s">
        <v>102</v>
      </c>
      <c r="Y2343" t="b">
        <v>0</v>
      </c>
    </row>
    <row r="2344" spans="1:25" x14ac:dyDescent="0.55000000000000004">
      <c r="A2344" t="s">
        <v>94</v>
      </c>
      <c r="B2344" t="s">
        <v>474</v>
      </c>
      <c r="C2344" t="s">
        <v>308</v>
      </c>
      <c r="D2344" t="s">
        <v>174</v>
      </c>
      <c r="E2344" t="s">
        <v>175</v>
      </c>
      <c r="F2344" t="s">
        <v>99</v>
      </c>
      <c r="G2344">
        <v>23132</v>
      </c>
      <c r="H2344" t="s">
        <v>478</v>
      </c>
      <c r="I2344">
        <v>1</v>
      </c>
      <c r="J2344" t="s">
        <v>103</v>
      </c>
      <c r="K2344" s="19">
        <v>0.27083333333333331</v>
      </c>
      <c r="L2344" s="19">
        <v>0.625</v>
      </c>
      <c r="M2344">
        <v>8.5</v>
      </c>
      <c r="N2344">
        <v>280.88</v>
      </c>
      <c r="O2344">
        <v>76</v>
      </c>
      <c r="P2344">
        <v>76</v>
      </c>
      <c r="Q2344" t="s">
        <v>99</v>
      </c>
      <c r="R2344">
        <v>30</v>
      </c>
      <c r="S2344" s="19">
        <v>0.47916666666666669</v>
      </c>
      <c r="T2344">
        <v>0</v>
      </c>
      <c r="U2344" s="19">
        <v>0.54166666666666663</v>
      </c>
      <c r="V2344" t="s">
        <v>99</v>
      </c>
      <c r="W2344">
        <v>8</v>
      </c>
      <c r="X2344" t="s">
        <v>102</v>
      </c>
      <c r="Y2344" t="b">
        <v>0</v>
      </c>
    </row>
    <row r="2345" spans="1:25" x14ac:dyDescent="0.55000000000000004">
      <c r="A2345" t="s">
        <v>94</v>
      </c>
      <c r="B2345" t="s">
        <v>474</v>
      </c>
      <c r="C2345" t="s">
        <v>308</v>
      </c>
      <c r="D2345" t="s">
        <v>174</v>
      </c>
      <c r="E2345" t="s">
        <v>175</v>
      </c>
      <c r="F2345" t="s">
        <v>99</v>
      </c>
      <c r="G2345">
        <v>23132</v>
      </c>
      <c r="H2345" t="s">
        <v>478</v>
      </c>
      <c r="I2345">
        <v>2</v>
      </c>
      <c r="J2345" t="s">
        <v>115</v>
      </c>
      <c r="K2345" s="19">
        <v>0.27083333333333331</v>
      </c>
      <c r="L2345" s="19">
        <v>0.625</v>
      </c>
      <c r="M2345">
        <v>8.5</v>
      </c>
      <c r="N2345">
        <v>421.32</v>
      </c>
      <c r="O2345">
        <v>76</v>
      </c>
      <c r="P2345">
        <v>76</v>
      </c>
      <c r="Q2345" t="s">
        <v>99</v>
      </c>
      <c r="R2345">
        <v>30</v>
      </c>
      <c r="S2345" s="19">
        <v>0.47916666666666669</v>
      </c>
      <c r="T2345">
        <v>0</v>
      </c>
      <c r="U2345" s="19">
        <v>0.54166666666666663</v>
      </c>
      <c r="V2345" t="s">
        <v>99</v>
      </c>
      <c r="W2345">
        <v>8</v>
      </c>
      <c r="X2345" t="s">
        <v>102</v>
      </c>
      <c r="Y2345" t="b">
        <v>0</v>
      </c>
    </row>
    <row r="2346" spans="1:25" x14ac:dyDescent="0.55000000000000004">
      <c r="A2346" t="s">
        <v>94</v>
      </c>
      <c r="B2346" t="s">
        <v>474</v>
      </c>
      <c r="C2346" t="s">
        <v>308</v>
      </c>
      <c r="D2346" t="s">
        <v>174</v>
      </c>
      <c r="E2346" t="s">
        <v>175</v>
      </c>
      <c r="F2346" t="s">
        <v>99</v>
      </c>
      <c r="G2346">
        <v>23132</v>
      </c>
      <c r="H2346" t="s">
        <v>478</v>
      </c>
      <c r="I2346">
        <v>2</v>
      </c>
      <c r="J2346" t="s">
        <v>116</v>
      </c>
      <c r="K2346" s="19">
        <v>0.27083333333333331</v>
      </c>
      <c r="L2346" s="19">
        <v>0.625</v>
      </c>
      <c r="M2346">
        <v>8.5</v>
      </c>
      <c r="N2346">
        <v>491.54</v>
      </c>
      <c r="O2346">
        <v>76</v>
      </c>
      <c r="P2346">
        <v>76</v>
      </c>
      <c r="Q2346" t="s">
        <v>99</v>
      </c>
      <c r="R2346">
        <v>30</v>
      </c>
      <c r="S2346" s="19">
        <v>0.47916666666666669</v>
      </c>
      <c r="T2346">
        <v>0</v>
      </c>
      <c r="U2346" s="19">
        <v>0.54166666666666663</v>
      </c>
      <c r="V2346" t="s">
        <v>99</v>
      </c>
      <c r="W2346">
        <v>8</v>
      </c>
      <c r="X2346" t="s">
        <v>102</v>
      </c>
      <c r="Y2346" t="b">
        <v>0</v>
      </c>
    </row>
    <row r="2347" spans="1:25" x14ac:dyDescent="0.55000000000000004">
      <c r="A2347" t="s">
        <v>94</v>
      </c>
      <c r="B2347" t="s">
        <v>474</v>
      </c>
      <c r="C2347" t="s">
        <v>308</v>
      </c>
      <c r="D2347" t="s">
        <v>174</v>
      </c>
      <c r="E2347" t="s">
        <v>175</v>
      </c>
      <c r="F2347" t="s">
        <v>99</v>
      </c>
      <c r="G2347">
        <v>23133</v>
      </c>
      <c r="H2347" t="s">
        <v>479</v>
      </c>
      <c r="I2347">
        <v>2</v>
      </c>
      <c r="J2347" t="s">
        <v>107</v>
      </c>
      <c r="K2347" s="19">
        <v>0.27083333333333331</v>
      </c>
      <c r="L2347" s="19">
        <v>0.625</v>
      </c>
      <c r="M2347">
        <v>8.5</v>
      </c>
      <c r="N2347">
        <v>280.88</v>
      </c>
      <c r="O2347">
        <v>76</v>
      </c>
      <c r="P2347">
        <v>76</v>
      </c>
      <c r="Q2347" t="s">
        <v>99</v>
      </c>
      <c r="R2347">
        <v>30</v>
      </c>
      <c r="S2347" s="19">
        <v>0.47916666666666669</v>
      </c>
      <c r="T2347">
        <v>0</v>
      </c>
      <c r="U2347" s="19">
        <v>0.54166666666666663</v>
      </c>
      <c r="V2347" t="s">
        <v>99</v>
      </c>
      <c r="W2347">
        <v>8</v>
      </c>
      <c r="X2347" t="s">
        <v>102</v>
      </c>
      <c r="Y2347" t="b">
        <v>0</v>
      </c>
    </row>
    <row r="2348" spans="1:25" x14ac:dyDescent="0.55000000000000004">
      <c r="A2348" t="s">
        <v>94</v>
      </c>
      <c r="B2348" t="s">
        <v>474</v>
      </c>
      <c r="C2348" t="s">
        <v>308</v>
      </c>
      <c r="D2348" t="s">
        <v>174</v>
      </c>
      <c r="E2348" t="s">
        <v>175</v>
      </c>
      <c r="F2348" t="s">
        <v>99</v>
      </c>
      <c r="G2348">
        <v>23133</v>
      </c>
      <c r="H2348" t="s">
        <v>479</v>
      </c>
      <c r="I2348">
        <v>2</v>
      </c>
      <c r="J2348" t="s">
        <v>115</v>
      </c>
      <c r="K2348" s="19">
        <v>0.27083333333333331</v>
      </c>
      <c r="L2348" s="19">
        <v>0.625</v>
      </c>
      <c r="M2348">
        <v>8.5</v>
      </c>
      <c r="N2348">
        <v>702.2</v>
      </c>
      <c r="O2348">
        <v>76</v>
      </c>
      <c r="P2348">
        <v>76</v>
      </c>
      <c r="Q2348" t="s">
        <v>99</v>
      </c>
      <c r="R2348">
        <v>30</v>
      </c>
      <c r="S2348" s="19">
        <v>0.47916666666666669</v>
      </c>
      <c r="T2348">
        <v>0</v>
      </c>
      <c r="U2348" s="19">
        <v>0.54166666666666663</v>
      </c>
      <c r="V2348" t="s">
        <v>99</v>
      </c>
      <c r="W2348">
        <v>8</v>
      </c>
      <c r="X2348" t="s">
        <v>102</v>
      </c>
      <c r="Y2348" t="b">
        <v>0</v>
      </c>
    </row>
    <row r="2349" spans="1:25" x14ac:dyDescent="0.55000000000000004">
      <c r="A2349" t="s">
        <v>94</v>
      </c>
      <c r="B2349" t="s">
        <v>474</v>
      </c>
      <c r="C2349" t="s">
        <v>308</v>
      </c>
      <c r="D2349" t="s">
        <v>174</v>
      </c>
      <c r="E2349" t="s">
        <v>175</v>
      </c>
      <c r="F2349" t="s">
        <v>99</v>
      </c>
      <c r="G2349">
        <v>23133</v>
      </c>
      <c r="H2349" t="s">
        <v>479</v>
      </c>
      <c r="I2349">
        <v>2</v>
      </c>
      <c r="J2349" t="s">
        <v>116</v>
      </c>
      <c r="K2349" s="19">
        <v>0.27083333333333331</v>
      </c>
      <c r="L2349" s="19">
        <v>0.625</v>
      </c>
      <c r="M2349">
        <v>8.5</v>
      </c>
      <c r="N2349">
        <v>491.54</v>
      </c>
      <c r="O2349">
        <v>76</v>
      </c>
      <c r="P2349">
        <v>76</v>
      </c>
      <c r="Q2349" t="s">
        <v>99</v>
      </c>
      <c r="R2349">
        <v>30</v>
      </c>
      <c r="S2349" s="19">
        <v>0.47916666666666669</v>
      </c>
      <c r="T2349">
        <v>0</v>
      </c>
      <c r="U2349" s="19">
        <v>0.54166666666666663</v>
      </c>
      <c r="V2349" t="s">
        <v>99</v>
      </c>
      <c r="W2349">
        <v>8</v>
      </c>
      <c r="X2349" t="s">
        <v>102</v>
      </c>
      <c r="Y2349" t="b">
        <v>0</v>
      </c>
    </row>
    <row r="2350" spans="1:25" x14ac:dyDescent="0.55000000000000004">
      <c r="A2350" t="s">
        <v>94</v>
      </c>
      <c r="B2350" t="s">
        <v>474</v>
      </c>
      <c r="C2350" t="s">
        <v>308</v>
      </c>
      <c r="D2350" t="s">
        <v>174</v>
      </c>
      <c r="E2350" t="s">
        <v>175</v>
      </c>
      <c r="F2350" t="s">
        <v>99</v>
      </c>
      <c r="G2350">
        <v>23133</v>
      </c>
      <c r="H2350" t="s">
        <v>479</v>
      </c>
      <c r="I2350">
        <v>2</v>
      </c>
      <c r="J2350" t="s">
        <v>103</v>
      </c>
      <c r="K2350" s="19">
        <v>0.27083333333333331</v>
      </c>
      <c r="L2350" s="19">
        <v>0.625</v>
      </c>
      <c r="M2350">
        <v>8.5</v>
      </c>
      <c r="N2350">
        <v>280.88</v>
      </c>
      <c r="O2350">
        <v>76</v>
      </c>
      <c r="P2350">
        <v>76</v>
      </c>
      <c r="Q2350" t="s">
        <v>99</v>
      </c>
      <c r="R2350">
        <v>30</v>
      </c>
      <c r="S2350" s="19">
        <v>0.47916666666666669</v>
      </c>
      <c r="T2350">
        <v>0</v>
      </c>
      <c r="U2350" s="19">
        <v>0.54166666666666663</v>
      </c>
      <c r="V2350" t="s">
        <v>99</v>
      </c>
      <c r="W2350">
        <v>8</v>
      </c>
      <c r="X2350" t="s">
        <v>102</v>
      </c>
      <c r="Y2350" t="b">
        <v>0</v>
      </c>
    </row>
    <row r="2351" spans="1:25" x14ac:dyDescent="0.55000000000000004">
      <c r="A2351" t="s">
        <v>94</v>
      </c>
      <c r="B2351" t="s">
        <v>474</v>
      </c>
      <c r="C2351" t="s">
        <v>308</v>
      </c>
      <c r="D2351" t="s">
        <v>174</v>
      </c>
      <c r="E2351" t="s">
        <v>175</v>
      </c>
      <c r="F2351" t="s">
        <v>99</v>
      </c>
      <c r="G2351">
        <v>23867</v>
      </c>
      <c r="H2351" t="s">
        <v>480</v>
      </c>
      <c r="I2351">
        <v>1</v>
      </c>
      <c r="J2351" t="s">
        <v>101</v>
      </c>
      <c r="K2351" s="19">
        <v>0.27083333333333331</v>
      </c>
      <c r="L2351" s="19">
        <v>0.625</v>
      </c>
      <c r="M2351">
        <v>8.5</v>
      </c>
      <c r="N2351">
        <v>280.88</v>
      </c>
      <c r="O2351">
        <v>76</v>
      </c>
      <c r="P2351">
        <v>76</v>
      </c>
      <c r="Q2351" t="s">
        <v>99</v>
      </c>
      <c r="R2351">
        <v>30</v>
      </c>
      <c r="S2351" s="19">
        <v>0.47916666666666669</v>
      </c>
      <c r="T2351">
        <v>0</v>
      </c>
      <c r="U2351" s="19">
        <v>0.54166666666666663</v>
      </c>
      <c r="V2351" t="s">
        <v>99</v>
      </c>
      <c r="W2351">
        <v>8</v>
      </c>
      <c r="X2351" t="s">
        <v>102</v>
      </c>
      <c r="Y2351" t="b">
        <v>0</v>
      </c>
    </row>
    <row r="2352" spans="1:25" x14ac:dyDescent="0.55000000000000004">
      <c r="A2352" t="s">
        <v>94</v>
      </c>
      <c r="B2352" t="s">
        <v>474</v>
      </c>
      <c r="C2352" t="s">
        <v>308</v>
      </c>
      <c r="D2352" t="s">
        <v>174</v>
      </c>
      <c r="E2352" t="s">
        <v>175</v>
      </c>
      <c r="F2352" t="s">
        <v>99</v>
      </c>
      <c r="G2352">
        <v>23867</v>
      </c>
      <c r="H2352" t="s">
        <v>480</v>
      </c>
      <c r="I2352">
        <v>1</v>
      </c>
      <c r="J2352" t="s">
        <v>104</v>
      </c>
      <c r="K2352" s="19">
        <v>0.27083333333333331</v>
      </c>
      <c r="L2352" s="19">
        <v>0.625</v>
      </c>
      <c r="M2352">
        <v>8.5</v>
      </c>
      <c r="N2352">
        <v>280.88</v>
      </c>
      <c r="O2352">
        <v>76</v>
      </c>
      <c r="P2352">
        <v>76</v>
      </c>
      <c r="Q2352" t="s">
        <v>99</v>
      </c>
      <c r="R2352">
        <v>30</v>
      </c>
      <c r="S2352" s="19">
        <v>0.47916666666666669</v>
      </c>
      <c r="T2352">
        <v>0</v>
      </c>
      <c r="U2352" s="19">
        <v>0.54166666666666663</v>
      </c>
      <c r="V2352" t="s">
        <v>99</v>
      </c>
      <c r="W2352">
        <v>8</v>
      </c>
      <c r="X2352" t="s">
        <v>102</v>
      </c>
      <c r="Y2352" t="b">
        <v>0</v>
      </c>
    </row>
    <row r="2353" spans="1:25" x14ac:dyDescent="0.55000000000000004">
      <c r="A2353" t="s">
        <v>94</v>
      </c>
      <c r="B2353" t="s">
        <v>474</v>
      </c>
      <c r="C2353" t="s">
        <v>308</v>
      </c>
      <c r="D2353" t="s">
        <v>174</v>
      </c>
      <c r="E2353" t="s">
        <v>175</v>
      </c>
      <c r="F2353" t="s">
        <v>99</v>
      </c>
      <c r="G2353">
        <v>23868</v>
      </c>
      <c r="H2353" t="s">
        <v>481</v>
      </c>
      <c r="I2353">
        <v>1</v>
      </c>
      <c r="J2353" t="s">
        <v>101</v>
      </c>
      <c r="K2353" s="19">
        <v>0.27083333333333331</v>
      </c>
      <c r="L2353" s="19">
        <v>0.625</v>
      </c>
      <c r="M2353">
        <v>8.5</v>
      </c>
      <c r="N2353">
        <v>280.88</v>
      </c>
      <c r="O2353">
        <v>76</v>
      </c>
      <c r="P2353">
        <v>76</v>
      </c>
      <c r="Q2353" t="s">
        <v>99</v>
      </c>
      <c r="R2353">
        <v>30</v>
      </c>
      <c r="S2353" s="19">
        <v>0.47916666666666669</v>
      </c>
      <c r="T2353">
        <v>0</v>
      </c>
      <c r="U2353" s="19">
        <v>0.54166666666666663</v>
      </c>
      <c r="V2353" t="s">
        <v>99</v>
      </c>
      <c r="W2353">
        <v>8</v>
      </c>
      <c r="X2353" t="s">
        <v>102</v>
      </c>
      <c r="Y2353" t="b">
        <v>0</v>
      </c>
    </row>
    <row r="2354" spans="1:25" x14ac:dyDescent="0.55000000000000004">
      <c r="A2354" t="s">
        <v>94</v>
      </c>
      <c r="B2354" t="s">
        <v>474</v>
      </c>
      <c r="C2354" t="s">
        <v>308</v>
      </c>
      <c r="D2354" t="s">
        <v>174</v>
      </c>
      <c r="E2354" t="s">
        <v>175</v>
      </c>
      <c r="F2354" t="s">
        <v>99</v>
      </c>
      <c r="G2354">
        <v>23868</v>
      </c>
      <c r="H2354" t="s">
        <v>481</v>
      </c>
      <c r="I2354">
        <v>1</v>
      </c>
      <c r="J2354" t="s">
        <v>104</v>
      </c>
      <c r="K2354" s="19">
        <v>0.27083333333333331</v>
      </c>
      <c r="L2354" s="19">
        <v>0.625</v>
      </c>
      <c r="M2354">
        <v>8.5</v>
      </c>
      <c r="N2354">
        <v>280.88</v>
      </c>
      <c r="O2354">
        <v>76</v>
      </c>
      <c r="P2354">
        <v>76</v>
      </c>
      <c r="Q2354" t="s">
        <v>99</v>
      </c>
      <c r="R2354">
        <v>30</v>
      </c>
      <c r="S2354" s="19">
        <v>0.47916666666666669</v>
      </c>
      <c r="T2354">
        <v>0</v>
      </c>
      <c r="U2354" s="19">
        <v>0.54166666666666663</v>
      </c>
      <c r="V2354" t="s">
        <v>99</v>
      </c>
      <c r="W2354">
        <v>8</v>
      </c>
      <c r="X2354" t="s">
        <v>102</v>
      </c>
      <c r="Y2354" t="b">
        <v>0</v>
      </c>
    </row>
    <row r="2355" spans="1:25" x14ac:dyDescent="0.55000000000000004">
      <c r="A2355" t="s">
        <v>94</v>
      </c>
      <c r="B2355" t="s">
        <v>474</v>
      </c>
      <c r="C2355" t="s">
        <v>308</v>
      </c>
      <c r="D2355" t="s">
        <v>174</v>
      </c>
      <c r="E2355" t="s">
        <v>175</v>
      </c>
      <c r="F2355" t="s">
        <v>99</v>
      </c>
      <c r="G2355">
        <v>23868</v>
      </c>
      <c r="H2355" t="s">
        <v>481</v>
      </c>
      <c r="I2355">
        <v>2</v>
      </c>
      <c r="J2355" t="s">
        <v>107</v>
      </c>
      <c r="K2355" s="19">
        <v>0.27083333333333331</v>
      </c>
      <c r="L2355" s="19">
        <v>0.625</v>
      </c>
      <c r="M2355">
        <v>8.5</v>
      </c>
      <c r="N2355">
        <v>280.88</v>
      </c>
      <c r="O2355">
        <v>76</v>
      </c>
      <c r="P2355">
        <v>76</v>
      </c>
      <c r="Q2355" t="s">
        <v>99</v>
      </c>
      <c r="R2355">
        <v>30</v>
      </c>
      <c r="S2355" s="19">
        <v>0.47916666666666669</v>
      </c>
      <c r="T2355">
        <v>0</v>
      </c>
      <c r="U2355" s="19">
        <v>0.54166666666666663</v>
      </c>
      <c r="V2355" t="s">
        <v>99</v>
      </c>
      <c r="W2355">
        <v>8</v>
      </c>
      <c r="X2355" t="s">
        <v>102</v>
      </c>
      <c r="Y2355" t="b">
        <v>0</v>
      </c>
    </row>
    <row r="2356" spans="1:25" x14ac:dyDescent="0.55000000000000004">
      <c r="A2356" t="s">
        <v>94</v>
      </c>
      <c r="B2356" t="s">
        <v>474</v>
      </c>
      <c r="C2356" t="s">
        <v>308</v>
      </c>
      <c r="D2356" t="s">
        <v>174</v>
      </c>
      <c r="E2356" t="s">
        <v>175</v>
      </c>
      <c r="F2356" t="s">
        <v>99</v>
      </c>
      <c r="G2356">
        <v>23868</v>
      </c>
      <c r="H2356" t="s">
        <v>481</v>
      </c>
      <c r="I2356">
        <v>2</v>
      </c>
      <c r="J2356" t="s">
        <v>103</v>
      </c>
      <c r="K2356" s="19">
        <v>0.27083333333333331</v>
      </c>
      <c r="L2356" s="19">
        <v>0.625</v>
      </c>
      <c r="M2356">
        <v>8.5</v>
      </c>
      <c r="N2356">
        <v>280.88</v>
      </c>
      <c r="O2356">
        <v>76</v>
      </c>
      <c r="P2356">
        <v>76</v>
      </c>
      <c r="Q2356" t="s">
        <v>99</v>
      </c>
      <c r="R2356">
        <v>30</v>
      </c>
      <c r="S2356" s="19">
        <v>0.47916666666666669</v>
      </c>
      <c r="T2356">
        <v>0</v>
      </c>
      <c r="U2356" s="19">
        <v>0.54166666666666663</v>
      </c>
      <c r="V2356" t="s">
        <v>99</v>
      </c>
      <c r="W2356">
        <v>8</v>
      </c>
      <c r="X2356" t="s">
        <v>102</v>
      </c>
      <c r="Y2356" t="b">
        <v>0</v>
      </c>
    </row>
    <row r="2357" spans="1:25" x14ac:dyDescent="0.55000000000000004">
      <c r="A2357" t="s">
        <v>94</v>
      </c>
      <c r="B2357" t="s">
        <v>474</v>
      </c>
      <c r="C2357" t="s">
        <v>308</v>
      </c>
      <c r="D2357" t="s">
        <v>174</v>
      </c>
      <c r="E2357" t="s">
        <v>175</v>
      </c>
      <c r="F2357" t="s">
        <v>99</v>
      </c>
      <c r="G2357">
        <v>23868</v>
      </c>
      <c r="H2357" t="s">
        <v>481</v>
      </c>
      <c r="I2357">
        <v>2</v>
      </c>
      <c r="J2357" t="s">
        <v>105</v>
      </c>
      <c r="K2357" s="19">
        <v>0.27083333333333331</v>
      </c>
      <c r="L2357" s="19">
        <v>0.625</v>
      </c>
      <c r="M2357">
        <v>8.5</v>
      </c>
      <c r="N2357">
        <v>280.88</v>
      </c>
      <c r="O2357">
        <v>76</v>
      </c>
      <c r="P2357">
        <v>76</v>
      </c>
      <c r="Q2357" t="s">
        <v>99</v>
      </c>
      <c r="R2357">
        <v>30</v>
      </c>
      <c r="S2357" s="19">
        <v>0.47916666666666669</v>
      </c>
      <c r="T2357">
        <v>0</v>
      </c>
      <c r="U2357" s="19">
        <v>0.54166666666666663</v>
      </c>
      <c r="V2357" t="s">
        <v>99</v>
      </c>
      <c r="W2357">
        <v>8</v>
      </c>
      <c r="X2357" t="s">
        <v>102</v>
      </c>
      <c r="Y2357" t="b">
        <v>0</v>
      </c>
    </row>
    <row r="2358" spans="1:25" x14ac:dyDescent="0.55000000000000004">
      <c r="A2358" t="s">
        <v>94</v>
      </c>
      <c r="B2358" t="s">
        <v>474</v>
      </c>
      <c r="C2358" t="s">
        <v>308</v>
      </c>
      <c r="D2358" t="s">
        <v>174</v>
      </c>
      <c r="E2358" t="s">
        <v>175</v>
      </c>
      <c r="F2358" t="s">
        <v>99</v>
      </c>
      <c r="G2358">
        <v>24761</v>
      </c>
      <c r="H2358" t="s">
        <v>482</v>
      </c>
      <c r="I2358">
        <v>1</v>
      </c>
      <c r="J2358" t="s">
        <v>101</v>
      </c>
      <c r="K2358" s="19">
        <v>0.27083333333333331</v>
      </c>
      <c r="L2358" s="19">
        <v>0.625</v>
      </c>
      <c r="M2358">
        <v>8.5</v>
      </c>
      <c r="N2358">
        <v>280.88</v>
      </c>
      <c r="O2358">
        <v>40</v>
      </c>
      <c r="P2358">
        <v>76</v>
      </c>
      <c r="Q2358" t="s">
        <v>99</v>
      </c>
      <c r="R2358">
        <v>30</v>
      </c>
      <c r="S2358" s="19">
        <v>0.47916666666666669</v>
      </c>
      <c r="T2358">
        <v>0</v>
      </c>
      <c r="U2358" s="19">
        <v>0.54166666666666663</v>
      </c>
      <c r="V2358" t="s">
        <v>99</v>
      </c>
      <c r="W2358">
        <v>8</v>
      </c>
      <c r="X2358" t="s">
        <v>102</v>
      </c>
      <c r="Y2358" t="b">
        <v>0</v>
      </c>
    </row>
    <row r="2359" spans="1:25" x14ac:dyDescent="0.55000000000000004">
      <c r="A2359" t="s">
        <v>94</v>
      </c>
      <c r="B2359" t="s">
        <v>474</v>
      </c>
      <c r="C2359" t="s">
        <v>308</v>
      </c>
      <c r="D2359" t="s">
        <v>174</v>
      </c>
      <c r="E2359" t="s">
        <v>175</v>
      </c>
      <c r="F2359" t="s">
        <v>99</v>
      </c>
      <c r="G2359">
        <v>24761</v>
      </c>
      <c r="H2359" t="s">
        <v>482</v>
      </c>
      <c r="I2359">
        <v>1</v>
      </c>
      <c r="J2359" t="s">
        <v>116</v>
      </c>
      <c r="K2359" s="19">
        <v>0.27083333333333331</v>
      </c>
      <c r="L2359" s="19">
        <v>0.625</v>
      </c>
      <c r="M2359">
        <v>8.5</v>
      </c>
      <c r="N2359">
        <v>491.54</v>
      </c>
      <c r="O2359">
        <v>40</v>
      </c>
      <c r="P2359">
        <v>76</v>
      </c>
      <c r="Q2359" t="s">
        <v>99</v>
      </c>
      <c r="R2359">
        <v>30</v>
      </c>
      <c r="S2359" s="19">
        <v>0.47916666666666669</v>
      </c>
      <c r="T2359">
        <v>0</v>
      </c>
      <c r="U2359" s="19">
        <v>0.54166666666666663</v>
      </c>
      <c r="V2359" t="s">
        <v>99</v>
      </c>
      <c r="W2359">
        <v>8</v>
      </c>
      <c r="X2359" t="s">
        <v>102</v>
      </c>
      <c r="Y2359" t="b">
        <v>0</v>
      </c>
    </row>
    <row r="2360" spans="1:25" x14ac:dyDescent="0.55000000000000004">
      <c r="A2360" t="s">
        <v>94</v>
      </c>
      <c r="B2360" t="s">
        <v>474</v>
      </c>
      <c r="C2360" t="s">
        <v>308</v>
      </c>
      <c r="D2360" t="s">
        <v>174</v>
      </c>
      <c r="E2360" t="s">
        <v>175</v>
      </c>
      <c r="F2360" t="s">
        <v>99</v>
      </c>
      <c r="G2360">
        <v>24761</v>
      </c>
      <c r="H2360" t="s">
        <v>482</v>
      </c>
      <c r="I2360">
        <v>1</v>
      </c>
      <c r="J2360" t="s">
        <v>105</v>
      </c>
      <c r="K2360" s="19">
        <v>0.27083333333333331</v>
      </c>
      <c r="L2360" s="19">
        <v>0.625</v>
      </c>
      <c r="M2360">
        <v>8.5</v>
      </c>
      <c r="N2360">
        <v>280.88</v>
      </c>
      <c r="O2360">
        <v>40</v>
      </c>
      <c r="P2360">
        <v>76</v>
      </c>
      <c r="Q2360" t="s">
        <v>99</v>
      </c>
      <c r="R2360">
        <v>30</v>
      </c>
      <c r="S2360" s="19">
        <v>0.47916666666666669</v>
      </c>
      <c r="T2360">
        <v>0</v>
      </c>
      <c r="U2360" s="19">
        <v>0.54166666666666663</v>
      </c>
      <c r="V2360" t="s">
        <v>99</v>
      </c>
      <c r="W2360">
        <v>8</v>
      </c>
      <c r="X2360" t="s">
        <v>102</v>
      </c>
      <c r="Y2360" t="b">
        <v>0</v>
      </c>
    </row>
    <row r="2361" spans="1:25" x14ac:dyDescent="0.55000000000000004">
      <c r="A2361" t="s">
        <v>94</v>
      </c>
      <c r="B2361" t="s">
        <v>474</v>
      </c>
      <c r="C2361" t="s">
        <v>308</v>
      </c>
      <c r="D2361" t="s">
        <v>174</v>
      </c>
      <c r="E2361" t="s">
        <v>175</v>
      </c>
      <c r="F2361" t="s">
        <v>99</v>
      </c>
      <c r="G2361">
        <v>24761</v>
      </c>
      <c r="H2361" t="s">
        <v>482</v>
      </c>
      <c r="I2361">
        <v>2</v>
      </c>
      <c r="J2361" t="s">
        <v>115</v>
      </c>
      <c r="K2361" s="19">
        <v>0.27083333333333331</v>
      </c>
      <c r="L2361" s="19">
        <v>0.625</v>
      </c>
      <c r="M2361">
        <v>8.5</v>
      </c>
      <c r="N2361">
        <v>702.2</v>
      </c>
      <c r="O2361">
        <v>40</v>
      </c>
      <c r="P2361">
        <v>76</v>
      </c>
      <c r="Q2361" t="s">
        <v>99</v>
      </c>
      <c r="R2361">
        <v>30</v>
      </c>
      <c r="S2361" s="19">
        <v>0.47916666666666669</v>
      </c>
      <c r="T2361">
        <v>0</v>
      </c>
      <c r="U2361" s="19">
        <v>0.54166666666666663</v>
      </c>
      <c r="V2361" t="s">
        <v>99</v>
      </c>
      <c r="W2361">
        <v>8</v>
      </c>
      <c r="X2361" t="s">
        <v>102</v>
      </c>
      <c r="Y2361" t="b">
        <v>0</v>
      </c>
    </row>
    <row r="2362" spans="1:25" x14ac:dyDescent="0.55000000000000004">
      <c r="A2362" t="s">
        <v>94</v>
      </c>
      <c r="B2362" t="s">
        <v>474</v>
      </c>
      <c r="C2362" t="s">
        <v>308</v>
      </c>
      <c r="D2362" t="s">
        <v>174</v>
      </c>
      <c r="E2362" t="s">
        <v>175</v>
      </c>
      <c r="F2362" t="s">
        <v>99</v>
      </c>
      <c r="G2362">
        <v>24761</v>
      </c>
      <c r="H2362" t="s">
        <v>482</v>
      </c>
      <c r="I2362">
        <v>2</v>
      </c>
      <c r="J2362" t="s">
        <v>105</v>
      </c>
      <c r="K2362" s="19">
        <v>0.27083333333333331</v>
      </c>
      <c r="L2362" s="19">
        <v>0.625</v>
      </c>
      <c r="M2362">
        <v>8.5</v>
      </c>
      <c r="N2362">
        <v>280.88</v>
      </c>
      <c r="O2362">
        <v>40</v>
      </c>
      <c r="P2362">
        <v>76</v>
      </c>
      <c r="Q2362" t="s">
        <v>99</v>
      </c>
      <c r="R2362">
        <v>30</v>
      </c>
      <c r="S2362" s="19">
        <v>0.47916666666666669</v>
      </c>
      <c r="T2362">
        <v>0</v>
      </c>
      <c r="U2362" s="19">
        <v>0.54166666666666663</v>
      </c>
      <c r="V2362" t="s">
        <v>99</v>
      </c>
      <c r="W2362">
        <v>8</v>
      </c>
      <c r="X2362" t="s">
        <v>102</v>
      </c>
      <c r="Y2362" t="b">
        <v>0</v>
      </c>
    </row>
    <row r="2363" spans="1:25" x14ac:dyDescent="0.55000000000000004">
      <c r="A2363" t="s">
        <v>94</v>
      </c>
      <c r="B2363" t="s">
        <v>474</v>
      </c>
      <c r="C2363" t="s">
        <v>308</v>
      </c>
      <c r="D2363" t="s">
        <v>174</v>
      </c>
      <c r="E2363" t="s">
        <v>175</v>
      </c>
      <c r="F2363" t="s">
        <v>99</v>
      </c>
      <c r="G2363">
        <v>24816</v>
      </c>
      <c r="H2363" t="s">
        <v>483</v>
      </c>
      <c r="I2363">
        <v>1</v>
      </c>
      <c r="J2363" t="s">
        <v>107</v>
      </c>
      <c r="K2363" s="19">
        <v>0.27083333333333331</v>
      </c>
      <c r="L2363" s="19">
        <v>0.625</v>
      </c>
      <c r="M2363">
        <v>8.5</v>
      </c>
      <c r="N2363">
        <v>284.16000000000003</v>
      </c>
      <c r="O2363">
        <v>76</v>
      </c>
      <c r="P2363">
        <v>76</v>
      </c>
      <c r="Q2363" t="s">
        <v>99</v>
      </c>
      <c r="R2363">
        <v>30</v>
      </c>
      <c r="S2363" s="19">
        <v>0.47916666666666669</v>
      </c>
      <c r="T2363">
        <v>0</v>
      </c>
      <c r="U2363" s="19">
        <v>0.54166666666666663</v>
      </c>
      <c r="V2363" t="s">
        <v>99</v>
      </c>
      <c r="W2363">
        <v>8</v>
      </c>
      <c r="X2363" t="s">
        <v>102</v>
      </c>
      <c r="Y2363" t="b">
        <v>0</v>
      </c>
    </row>
    <row r="2364" spans="1:25" x14ac:dyDescent="0.55000000000000004">
      <c r="A2364" t="s">
        <v>94</v>
      </c>
      <c r="B2364" t="s">
        <v>474</v>
      </c>
      <c r="C2364" t="s">
        <v>308</v>
      </c>
      <c r="D2364" t="s">
        <v>174</v>
      </c>
      <c r="E2364" t="s">
        <v>175</v>
      </c>
      <c r="F2364" t="s">
        <v>99</v>
      </c>
      <c r="G2364">
        <v>24816</v>
      </c>
      <c r="H2364" t="s">
        <v>483</v>
      </c>
      <c r="I2364">
        <v>1</v>
      </c>
      <c r="J2364" t="s">
        <v>115</v>
      </c>
      <c r="K2364" s="19">
        <v>0.27083333333333331</v>
      </c>
      <c r="L2364" s="19">
        <v>0.625</v>
      </c>
      <c r="M2364">
        <v>8.5</v>
      </c>
      <c r="N2364">
        <v>426.24</v>
      </c>
      <c r="O2364">
        <v>76</v>
      </c>
      <c r="P2364">
        <v>76</v>
      </c>
      <c r="Q2364" t="s">
        <v>99</v>
      </c>
      <c r="R2364">
        <v>30</v>
      </c>
      <c r="S2364" s="19">
        <v>0.47916666666666669</v>
      </c>
      <c r="T2364">
        <v>0</v>
      </c>
      <c r="U2364" s="19">
        <v>0.54166666666666663</v>
      </c>
      <c r="V2364" t="s">
        <v>99</v>
      </c>
      <c r="W2364">
        <v>8</v>
      </c>
      <c r="X2364" t="s">
        <v>102</v>
      </c>
      <c r="Y2364" t="b">
        <v>0</v>
      </c>
    </row>
    <row r="2365" spans="1:25" x14ac:dyDescent="0.55000000000000004">
      <c r="A2365" t="s">
        <v>94</v>
      </c>
      <c r="B2365" t="s">
        <v>474</v>
      </c>
      <c r="C2365" t="s">
        <v>308</v>
      </c>
      <c r="D2365" t="s">
        <v>174</v>
      </c>
      <c r="E2365" t="s">
        <v>175</v>
      </c>
      <c r="F2365" t="s">
        <v>99</v>
      </c>
      <c r="G2365">
        <v>24816</v>
      </c>
      <c r="H2365" t="s">
        <v>483</v>
      </c>
      <c r="I2365">
        <v>1</v>
      </c>
      <c r="J2365" t="s">
        <v>116</v>
      </c>
      <c r="K2365" s="19">
        <v>0.27083333333333331</v>
      </c>
      <c r="L2365" s="19">
        <v>0.625</v>
      </c>
      <c r="M2365">
        <v>8.5</v>
      </c>
      <c r="N2365">
        <v>497.28</v>
      </c>
      <c r="O2365">
        <v>76</v>
      </c>
      <c r="P2365">
        <v>76</v>
      </c>
      <c r="Q2365" t="s">
        <v>99</v>
      </c>
      <c r="R2365">
        <v>30</v>
      </c>
      <c r="S2365" s="19">
        <v>0.47916666666666669</v>
      </c>
      <c r="T2365">
        <v>0</v>
      </c>
      <c r="U2365" s="19">
        <v>0.54166666666666663</v>
      </c>
      <c r="V2365" t="s">
        <v>99</v>
      </c>
      <c r="W2365">
        <v>8</v>
      </c>
      <c r="X2365" t="s">
        <v>102</v>
      </c>
      <c r="Y2365" t="b">
        <v>0</v>
      </c>
    </row>
    <row r="2366" spans="1:25" x14ac:dyDescent="0.55000000000000004">
      <c r="A2366" t="s">
        <v>94</v>
      </c>
      <c r="B2366" t="s">
        <v>474</v>
      </c>
      <c r="C2366" t="s">
        <v>308</v>
      </c>
      <c r="D2366" t="s">
        <v>174</v>
      </c>
      <c r="E2366" t="s">
        <v>175</v>
      </c>
      <c r="F2366" t="s">
        <v>99</v>
      </c>
      <c r="G2366">
        <v>24816</v>
      </c>
      <c r="H2366" t="s">
        <v>483</v>
      </c>
      <c r="I2366">
        <v>1</v>
      </c>
      <c r="J2366" t="s">
        <v>103</v>
      </c>
      <c r="K2366" s="19">
        <v>0.27083333333333331</v>
      </c>
      <c r="L2366" s="19">
        <v>0.58333333333333337</v>
      </c>
      <c r="M2366">
        <v>7.5</v>
      </c>
      <c r="N2366">
        <v>248.64</v>
      </c>
      <c r="O2366">
        <v>76</v>
      </c>
      <c r="P2366">
        <v>76</v>
      </c>
      <c r="Q2366" t="s">
        <v>99</v>
      </c>
      <c r="R2366">
        <v>30</v>
      </c>
      <c r="S2366" s="19">
        <v>0.47916666666666669</v>
      </c>
      <c r="T2366">
        <v>0</v>
      </c>
      <c r="U2366" s="19">
        <v>0.54166666666666663</v>
      </c>
      <c r="V2366" t="s">
        <v>99</v>
      </c>
      <c r="W2366">
        <v>7</v>
      </c>
      <c r="X2366" t="s">
        <v>102</v>
      </c>
      <c r="Y2366" t="b">
        <v>0</v>
      </c>
    </row>
    <row r="2367" spans="1:25" x14ac:dyDescent="0.55000000000000004">
      <c r="A2367" t="s">
        <v>94</v>
      </c>
      <c r="B2367" t="s">
        <v>474</v>
      </c>
      <c r="C2367" t="s">
        <v>308</v>
      </c>
      <c r="D2367" t="s">
        <v>174</v>
      </c>
      <c r="E2367" t="s">
        <v>175</v>
      </c>
      <c r="F2367" t="s">
        <v>99</v>
      </c>
      <c r="G2367">
        <v>24816</v>
      </c>
      <c r="H2367" t="s">
        <v>483</v>
      </c>
      <c r="I2367">
        <v>1</v>
      </c>
      <c r="J2367" t="s">
        <v>105</v>
      </c>
      <c r="K2367" s="19">
        <v>0.27083333333333331</v>
      </c>
      <c r="L2367" s="19">
        <v>0.58333333333333337</v>
      </c>
      <c r="M2367">
        <v>7.5</v>
      </c>
      <c r="N2367">
        <v>248.64</v>
      </c>
      <c r="O2367">
        <v>76</v>
      </c>
      <c r="P2367">
        <v>76</v>
      </c>
      <c r="Q2367" t="s">
        <v>99</v>
      </c>
      <c r="R2367">
        <v>30</v>
      </c>
      <c r="S2367" s="19">
        <v>0.47916666666666669</v>
      </c>
      <c r="T2367">
        <v>0</v>
      </c>
      <c r="U2367" s="19">
        <v>0.54166666666666663</v>
      </c>
      <c r="V2367" t="s">
        <v>99</v>
      </c>
      <c r="W2367">
        <v>7</v>
      </c>
      <c r="X2367" t="s">
        <v>102</v>
      </c>
      <c r="Y2367" t="b">
        <v>0</v>
      </c>
    </row>
    <row r="2368" spans="1:25" x14ac:dyDescent="0.55000000000000004">
      <c r="A2368" t="s">
        <v>94</v>
      </c>
      <c r="B2368" t="s">
        <v>474</v>
      </c>
      <c r="C2368" t="s">
        <v>308</v>
      </c>
      <c r="D2368" t="s">
        <v>174</v>
      </c>
      <c r="E2368" t="s">
        <v>175</v>
      </c>
      <c r="F2368" t="s">
        <v>99</v>
      </c>
      <c r="G2368">
        <v>24816</v>
      </c>
      <c r="H2368" t="s">
        <v>483</v>
      </c>
      <c r="I2368">
        <v>2</v>
      </c>
      <c r="J2368" t="s">
        <v>115</v>
      </c>
      <c r="K2368" s="19">
        <v>0.27083333333333331</v>
      </c>
      <c r="L2368" s="19">
        <v>0.58333333333333337</v>
      </c>
      <c r="M2368">
        <v>7.5</v>
      </c>
      <c r="N2368">
        <v>621.6</v>
      </c>
      <c r="O2368">
        <v>76</v>
      </c>
      <c r="P2368">
        <v>76</v>
      </c>
      <c r="Q2368" t="s">
        <v>99</v>
      </c>
      <c r="R2368">
        <v>30</v>
      </c>
      <c r="S2368" s="19">
        <v>0.47916666666666669</v>
      </c>
      <c r="T2368">
        <v>0</v>
      </c>
      <c r="U2368" s="19">
        <v>0.54166666666666663</v>
      </c>
      <c r="V2368" t="s">
        <v>99</v>
      </c>
      <c r="W2368">
        <v>7</v>
      </c>
      <c r="X2368" t="s">
        <v>102</v>
      </c>
      <c r="Y2368" t="b">
        <v>0</v>
      </c>
    </row>
    <row r="2369" spans="1:25" x14ac:dyDescent="0.55000000000000004">
      <c r="A2369" t="s">
        <v>94</v>
      </c>
      <c r="B2369" t="s">
        <v>474</v>
      </c>
      <c r="C2369" t="s">
        <v>308</v>
      </c>
      <c r="D2369" t="s">
        <v>174</v>
      </c>
      <c r="E2369" t="s">
        <v>175</v>
      </c>
      <c r="F2369" t="s">
        <v>99</v>
      </c>
      <c r="G2369">
        <v>24816</v>
      </c>
      <c r="H2369" t="s">
        <v>483</v>
      </c>
      <c r="I2369">
        <v>2</v>
      </c>
      <c r="J2369" t="s">
        <v>116</v>
      </c>
      <c r="K2369" s="19">
        <v>0.27083333333333331</v>
      </c>
      <c r="L2369" s="19">
        <v>0.58333333333333337</v>
      </c>
      <c r="M2369">
        <v>7.5</v>
      </c>
      <c r="N2369">
        <v>435.12</v>
      </c>
      <c r="O2369">
        <v>76</v>
      </c>
      <c r="P2369">
        <v>76</v>
      </c>
      <c r="Q2369" t="s">
        <v>99</v>
      </c>
      <c r="R2369">
        <v>30</v>
      </c>
      <c r="S2369" s="19">
        <v>0.47916666666666669</v>
      </c>
      <c r="T2369">
        <v>0</v>
      </c>
      <c r="U2369" s="19">
        <v>0.54166666666666663</v>
      </c>
      <c r="V2369" t="s">
        <v>99</v>
      </c>
      <c r="W2369">
        <v>7</v>
      </c>
      <c r="X2369" t="s">
        <v>102</v>
      </c>
      <c r="Y2369" t="b">
        <v>0</v>
      </c>
    </row>
    <row r="2370" spans="1:25" x14ac:dyDescent="0.55000000000000004">
      <c r="A2370" t="s">
        <v>94</v>
      </c>
      <c r="B2370" t="s">
        <v>474</v>
      </c>
      <c r="C2370" t="s">
        <v>308</v>
      </c>
      <c r="D2370" t="s">
        <v>174</v>
      </c>
      <c r="E2370" t="s">
        <v>175</v>
      </c>
      <c r="F2370" t="s">
        <v>99</v>
      </c>
      <c r="G2370">
        <v>24821</v>
      </c>
      <c r="H2370" t="s">
        <v>484</v>
      </c>
      <c r="I2370">
        <v>1</v>
      </c>
      <c r="J2370" t="s">
        <v>115</v>
      </c>
      <c r="K2370" s="19">
        <v>0.27083333333333331</v>
      </c>
      <c r="L2370" s="19">
        <v>0.625</v>
      </c>
      <c r="M2370">
        <v>8.5</v>
      </c>
      <c r="N2370">
        <v>421.32</v>
      </c>
      <c r="O2370">
        <v>76</v>
      </c>
      <c r="P2370">
        <v>76</v>
      </c>
      <c r="Q2370" t="s">
        <v>99</v>
      </c>
      <c r="R2370">
        <v>30</v>
      </c>
      <c r="S2370" s="19">
        <v>0.47916666666666669</v>
      </c>
      <c r="T2370">
        <v>0</v>
      </c>
      <c r="U2370" s="19">
        <v>0.54166666666666663</v>
      </c>
      <c r="V2370" t="s">
        <v>99</v>
      </c>
      <c r="W2370">
        <v>8</v>
      </c>
      <c r="X2370" t="s">
        <v>102</v>
      </c>
      <c r="Y2370" t="b">
        <v>0</v>
      </c>
    </row>
    <row r="2371" spans="1:25" x14ac:dyDescent="0.55000000000000004">
      <c r="A2371" t="s">
        <v>94</v>
      </c>
      <c r="B2371" t="s">
        <v>474</v>
      </c>
      <c r="C2371" t="s">
        <v>308</v>
      </c>
      <c r="D2371" t="s">
        <v>174</v>
      </c>
      <c r="E2371" t="s">
        <v>175</v>
      </c>
      <c r="F2371" t="s">
        <v>99</v>
      </c>
      <c r="G2371">
        <v>24821</v>
      </c>
      <c r="H2371" t="s">
        <v>484</v>
      </c>
      <c r="I2371">
        <v>1</v>
      </c>
      <c r="J2371" t="s">
        <v>116</v>
      </c>
      <c r="K2371" s="19">
        <v>0.27083333333333331</v>
      </c>
      <c r="L2371" s="19">
        <v>0.625</v>
      </c>
      <c r="M2371">
        <v>8.5</v>
      </c>
      <c r="N2371">
        <v>491.54</v>
      </c>
      <c r="O2371">
        <v>76</v>
      </c>
      <c r="P2371">
        <v>76</v>
      </c>
      <c r="Q2371" t="s">
        <v>99</v>
      </c>
      <c r="R2371">
        <v>30</v>
      </c>
      <c r="S2371" s="19">
        <v>0.47916666666666669</v>
      </c>
      <c r="T2371">
        <v>0</v>
      </c>
      <c r="U2371" s="19">
        <v>0.54166666666666663</v>
      </c>
      <c r="V2371" t="s">
        <v>99</v>
      </c>
      <c r="W2371">
        <v>8</v>
      </c>
      <c r="X2371" t="s">
        <v>102</v>
      </c>
      <c r="Y2371" t="b">
        <v>0</v>
      </c>
    </row>
    <row r="2372" spans="1:25" x14ac:dyDescent="0.55000000000000004">
      <c r="A2372" t="s">
        <v>94</v>
      </c>
      <c r="B2372" t="s">
        <v>474</v>
      </c>
      <c r="C2372" t="s">
        <v>308</v>
      </c>
      <c r="D2372" t="s">
        <v>174</v>
      </c>
      <c r="E2372" t="s">
        <v>175</v>
      </c>
      <c r="F2372" t="s">
        <v>99</v>
      </c>
      <c r="G2372">
        <v>24821</v>
      </c>
      <c r="H2372" t="s">
        <v>484</v>
      </c>
      <c r="I2372">
        <v>2</v>
      </c>
      <c r="J2372" t="s">
        <v>101</v>
      </c>
      <c r="K2372" s="19">
        <v>0.27083333333333331</v>
      </c>
      <c r="L2372" s="19">
        <v>0.625</v>
      </c>
      <c r="M2372">
        <v>8.5</v>
      </c>
      <c r="N2372">
        <v>280.88</v>
      </c>
      <c r="O2372">
        <v>76</v>
      </c>
      <c r="P2372">
        <v>76</v>
      </c>
      <c r="Q2372" t="s">
        <v>99</v>
      </c>
      <c r="R2372">
        <v>30</v>
      </c>
      <c r="S2372" s="19">
        <v>0.47916666666666669</v>
      </c>
      <c r="T2372">
        <v>0</v>
      </c>
      <c r="U2372" s="19">
        <v>0.54166666666666663</v>
      </c>
      <c r="V2372" t="s">
        <v>99</v>
      </c>
      <c r="W2372">
        <v>8</v>
      </c>
      <c r="X2372" t="s">
        <v>102</v>
      </c>
      <c r="Y2372" t="b">
        <v>0</v>
      </c>
    </row>
    <row r="2373" spans="1:25" x14ac:dyDescent="0.55000000000000004">
      <c r="A2373" t="s">
        <v>94</v>
      </c>
      <c r="B2373" t="s">
        <v>474</v>
      </c>
      <c r="C2373" t="s">
        <v>308</v>
      </c>
      <c r="D2373" t="s">
        <v>174</v>
      </c>
      <c r="E2373" t="s">
        <v>175</v>
      </c>
      <c r="F2373" t="s">
        <v>99</v>
      </c>
      <c r="G2373">
        <v>24821</v>
      </c>
      <c r="H2373" t="s">
        <v>484</v>
      </c>
      <c r="I2373">
        <v>2</v>
      </c>
      <c r="J2373" t="s">
        <v>104</v>
      </c>
      <c r="K2373" s="19">
        <v>0.27083333333333331</v>
      </c>
      <c r="L2373" s="19">
        <v>0.625</v>
      </c>
      <c r="M2373">
        <v>8.5</v>
      </c>
      <c r="N2373">
        <v>456.43</v>
      </c>
      <c r="O2373">
        <v>76</v>
      </c>
      <c r="P2373">
        <v>76</v>
      </c>
      <c r="Q2373" t="s">
        <v>99</v>
      </c>
      <c r="R2373">
        <v>30</v>
      </c>
      <c r="S2373" s="19">
        <v>0.47916666666666669</v>
      </c>
      <c r="T2373">
        <v>0</v>
      </c>
      <c r="U2373" s="19">
        <v>0.54166666666666663</v>
      </c>
      <c r="V2373" t="s">
        <v>99</v>
      </c>
      <c r="W2373">
        <v>8</v>
      </c>
      <c r="X2373" t="s">
        <v>102</v>
      </c>
      <c r="Y2373" t="b">
        <v>0</v>
      </c>
    </row>
    <row r="2374" spans="1:25" x14ac:dyDescent="0.55000000000000004">
      <c r="A2374" t="s">
        <v>94</v>
      </c>
      <c r="B2374" t="s">
        <v>474</v>
      </c>
      <c r="C2374" t="s">
        <v>308</v>
      </c>
      <c r="D2374" t="s">
        <v>174</v>
      </c>
      <c r="E2374" t="s">
        <v>175</v>
      </c>
      <c r="F2374" t="s">
        <v>99</v>
      </c>
      <c r="G2374">
        <v>24821</v>
      </c>
      <c r="H2374" t="s">
        <v>484</v>
      </c>
      <c r="I2374">
        <v>2</v>
      </c>
      <c r="J2374" t="s">
        <v>105</v>
      </c>
      <c r="K2374" s="19">
        <v>0.27083333333333331</v>
      </c>
      <c r="L2374" s="19">
        <v>0.625</v>
      </c>
      <c r="M2374">
        <v>8.5</v>
      </c>
      <c r="N2374">
        <v>280.88</v>
      </c>
      <c r="O2374">
        <v>76</v>
      </c>
      <c r="P2374">
        <v>76</v>
      </c>
      <c r="Q2374" t="s">
        <v>99</v>
      </c>
      <c r="R2374">
        <v>30</v>
      </c>
      <c r="S2374" s="19">
        <v>0.47916666666666669</v>
      </c>
      <c r="T2374">
        <v>0</v>
      </c>
      <c r="U2374" s="19">
        <v>0.54166666666666663</v>
      </c>
      <c r="V2374" t="s">
        <v>99</v>
      </c>
      <c r="W2374">
        <v>8</v>
      </c>
      <c r="X2374" t="s">
        <v>102</v>
      </c>
      <c r="Y2374" t="b">
        <v>0</v>
      </c>
    </row>
    <row r="2375" spans="1:25" x14ac:dyDescent="0.55000000000000004">
      <c r="A2375" t="s">
        <v>94</v>
      </c>
      <c r="B2375" t="s">
        <v>474</v>
      </c>
      <c r="C2375" t="s">
        <v>308</v>
      </c>
      <c r="D2375" t="s">
        <v>174</v>
      </c>
      <c r="E2375" t="s">
        <v>175</v>
      </c>
      <c r="F2375" t="s">
        <v>99</v>
      </c>
      <c r="G2375">
        <v>24897</v>
      </c>
      <c r="H2375" t="s">
        <v>485</v>
      </c>
      <c r="I2375">
        <v>1</v>
      </c>
      <c r="J2375" t="s">
        <v>107</v>
      </c>
      <c r="K2375" s="19">
        <v>0.27083333333333331</v>
      </c>
      <c r="L2375" s="19">
        <v>0.58333333333333337</v>
      </c>
      <c r="M2375">
        <v>7.5</v>
      </c>
      <c r="N2375">
        <v>248.64</v>
      </c>
      <c r="O2375">
        <v>76</v>
      </c>
      <c r="P2375">
        <v>76</v>
      </c>
      <c r="Q2375" t="s">
        <v>99</v>
      </c>
      <c r="R2375">
        <v>30</v>
      </c>
      <c r="S2375" s="19">
        <v>0.47916666666666669</v>
      </c>
      <c r="T2375">
        <v>0</v>
      </c>
      <c r="U2375" s="19">
        <v>0.54166666666666663</v>
      </c>
      <c r="V2375" t="s">
        <v>99</v>
      </c>
      <c r="W2375">
        <v>7</v>
      </c>
      <c r="X2375" t="s">
        <v>102</v>
      </c>
      <c r="Y2375" t="b">
        <v>0</v>
      </c>
    </row>
    <row r="2376" spans="1:25" x14ac:dyDescent="0.55000000000000004">
      <c r="A2376" t="s">
        <v>94</v>
      </c>
      <c r="B2376" t="s">
        <v>474</v>
      </c>
      <c r="C2376" t="s">
        <v>308</v>
      </c>
      <c r="D2376" t="s">
        <v>174</v>
      </c>
      <c r="E2376" t="s">
        <v>175</v>
      </c>
      <c r="F2376" t="s">
        <v>99</v>
      </c>
      <c r="G2376">
        <v>24897</v>
      </c>
      <c r="H2376" t="s">
        <v>485</v>
      </c>
      <c r="I2376">
        <v>1</v>
      </c>
      <c r="J2376" t="s">
        <v>115</v>
      </c>
      <c r="K2376" s="19">
        <v>0.27083333333333331</v>
      </c>
      <c r="L2376" s="19">
        <v>0.58333333333333337</v>
      </c>
      <c r="M2376">
        <v>7.5</v>
      </c>
      <c r="N2376">
        <v>372.96</v>
      </c>
      <c r="O2376">
        <v>76</v>
      </c>
      <c r="P2376">
        <v>76</v>
      </c>
      <c r="Q2376" t="s">
        <v>99</v>
      </c>
      <c r="R2376">
        <v>30</v>
      </c>
      <c r="S2376" s="19">
        <v>0.47916666666666669</v>
      </c>
      <c r="T2376">
        <v>0</v>
      </c>
      <c r="U2376" s="19">
        <v>0.54166666666666663</v>
      </c>
      <c r="V2376" t="s">
        <v>99</v>
      </c>
      <c r="W2376">
        <v>7</v>
      </c>
      <c r="X2376" t="s">
        <v>102</v>
      </c>
      <c r="Y2376" t="b">
        <v>0</v>
      </c>
    </row>
    <row r="2377" spans="1:25" x14ac:dyDescent="0.55000000000000004">
      <c r="A2377" t="s">
        <v>94</v>
      </c>
      <c r="B2377" t="s">
        <v>474</v>
      </c>
      <c r="C2377" t="s">
        <v>308</v>
      </c>
      <c r="D2377" t="s">
        <v>174</v>
      </c>
      <c r="E2377" t="s">
        <v>175</v>
      </c>
      <c r="F2377" t="s">
        <v>99</v>
      </c>
      <c r="G2377">
        <v>24897</v>
      </c>
      <c r="H2377" t="s">
        <v>485</v>
      </c>
      <c r="I2377">
        <v>1</v>
      </c>
      <c r="J2377" t="s">
        <v>103</v>
      </c>
      <c r="K2377" s="19">
        <v>0.27083333333333331</v>
      </c>
      <c r="L2377" s="19">
        <v>0.625</v>
      </c>
      <c r="M2377">
        <v>8.5</v>
      </c>
      <c r="N2377">
        <v>284.16000000000003</v>
      </c>
      <c r="O2377">
        <v>76</v>
      </c>
      <c r="P2377">
        <v>76</v>
      </c>
      <c r="Q2377" t="s">
        <v>99</v>
      </c>
      <c r="R2377">
        <v>30</v>
      </c>
      <c r="S2377" s="19">
        <v>0.47916666666666669</v>
      </c>
      <c r="T2377">
        <v>0</v>
      </c>
      <c r="U2377" s="19">
        <v>0.54166666666666663</v>
      </c>
      <c r="V2377" t="s">
        <v>99</v>
      </c>
      <c r="W2377">
        <v>8</v>
      </c>
      <c r="X2377" t="s">
        <v>102</v>
      </c>
      <c r="Y2377" t="b">
        <v>0</v>
      </c>
    </row>
    <row r="2378" spans="1:25" x14ac:dyDescent="0.55000000000000004">
      <c r="A2378" t="s">
        <v>94</v>
      </c>
      <c r="B2378" t="s">
        <v>474</v>
      </c>
      <c r="C2378" t="s">
        <v>308</v>
      </c>
      <c r="D2378" t="s">
        <v>174</v>
      </c>
      <c r="E2378" t="s">
        <v>175</v>
      </c>
      <c r="F2378" t="s">
        <v>99</v>
      </c>
      <c r="G2378">
        <v>24897</v>
      </c>
      <c r="H2378" t="s">
        <v>485</v>
      </c>
      <c r="I2378">
        <v>1</v>
      </c>
      <c r="J2378" t="s">
        <v>104</v>
      </c>
      <c r="K2378" s="19">
        <v>0.27083333333333331</v>
      </c>
      <c r="L2378" s="19">
        <v>0.58333333333333337</v>
      </c>
      <c r="M2378">
        <v>7.5</v>
      </c>
      <c r="N2378">
        <v>248.64</v>
      </c>
      <c r="O2378">
        <v>76</v>
      </c>
      <c r="P2378">
        <v>76</v>
      </c>
      <c r="Q2378" t="s">
        <v>99</v>
      </c>
      <c r="R2378">
        <v>30</v>
      </c>
      <c r="S2378" s="19">
        <v>0.47916666666666669</v>
      </c>
      <c r="T2378">
        <v>0</v>
      </c>
      <c r="U2378" s="19">
        <v>0.54166666666666663</v>
      </c>
      <c r="V2378" t="s">
        <v>99</v>
      </c>
      <c r="W2378">
        <v>7</v>
      </c>
      <c r="X2378" t="s">
        <v>102</v>
      </c>
      <c r="Y2378" t="b">
        <v>0</v>
      </c>
    </row>
    <row r="2379" spans="1:25" x14ac:dyDescent="0.55000000000000004">
      <c r="A2379" t="s">
        <v>94</v>
      </c>
      <c r="B2379" t="s">
        <v>474</v>
      </c>
      <c r="C2379" t="s">
        <v>308</v>
      </c>
      <c r="D2379" t="s">
        <v>174</v>
      </c>
      <c r="E2379" t="s">
        <v>175</v>
      </c>
      <c r="F2379" t="s">
        <v>99</v>
      </c>
      <c r="G2379">
        <v>24897</v>
      </c>
      <c r="H2379" t="s">
        <v>485</v>
      </c>
      <c r="I2379">
        <v>1</v>
      </c>
      <c r="J2379" t="s">
        <v>105</v>
      </c>
      <c r="K2379" s="19">
        <v>0.27083333333333331</v>
      </c>
      <c r="L2379" s="19">
        <v>0.625</v>
      </c>
      <c r="M2379">
        <v>8.5</v>
      </c>
      <c r="N2379">
        <v>284.16000000000003</v>
      </c>
      <c r="O2379">
        <v>76</v>
      </c>
      <c r="P2379">
        <v>76</v>
      </c>
      <c r="Q2379" t="s">
        <v>99</v>
      </c>
      <c r="R2379">
        <v>30</v>
      </c>
      <c r="S2379" s="19">
        <v>0.47916666666666669</v>
      </c>
      <c r="T2379">
        <v>0</v>
      </c>
      <c r="U2379" s="19">
        <v>0.54166666666666663</v>
      </c>
      <c r="V2379" t="s">
        <v>99</v>
      </c>
      <c r="W2379">
        <v>8</v>
      </c>
      <c r="X2379" t="s">
        <v>102</v>
      </c>
      <c r="Y2379" t="b">
        <v>0</v>
      </c>
    </row>
    <row r="2380" spans="1:25" x14ac:dyDescent="0.55000000000000004">
      <c r="A2380" t="s">
        <v>94</v>
      </c>
      <c r="B2380" t="s">
        <v>474</v>
      </c>
      <c r="C2380" t="s">
        <v>308</v>
      </c>
      <c r="D2380" t="s">
        <v>174</v>
      </c>
      <c r="E2380" t="s">
        <v>175</v>
      </c>
      <c r="F2380" t="s">
        <v>99</v>
      </c>
      <c r="G2380">
        <v>24897</v>
      </c>
      <c r="H2380" t="s">
        <v>485</v>
      </c>
      <c r="I2380">
        <v>2</v>
      </c>
      <c r="J2380" t="s">
        <v>107</v>
      </c>
      <c r="K2380" s="19">
        <v>0.27083333333333331</v>
      </c>
      <c r="L2380" s="19">
        <v>0.625</v>
      </c>
      <c r="M2380">
        <v>8.5</v>
      </c>
      <c r="N2380">
        <v>284.16000000000003</v>
      </c>
      <c r="O2380">
        <v>76</v>
      </c>
      <c r="P2380">
        <v>76</v>
      </c>
      <c r="Q2380" t="s">
        <v>99</v>
      </c>
      <c r="R2380">
        <v>30</v>
      </c>
      <c r="S2380" s="19">
        <v>0.47916666666666669</v>
      </c>
      <c r="T2380">
        <v>0</v>
      </c>
      <c r="U2380" s="19">
        <v>0.54166666666666663</v>
      </c>
      <c r="V2380" t="s">
        <v>99</v>
      </c>
      <c r="W2380">
        <v>8</v>
      </c>
      <c r="X2380" t="s">
        <v>102</v>
      </c>
      <c r="Y2380" t="b">
        <v>0</v>
      </c>
    </row>
    <row r="2381" spans="1:25" x14ac:dyDescent="0.55000000000000004">
      <c r="A2381" t="s">
        <v>94</v>
      </c>
      <c r="B2381" t="s">
        <v>474</v>
      </c>
      <c r="C2381" t="s">
        <v>308</v>
      </c>
      <c r="D2381" t="s">
        <v>174</v>
      </c>
      <c r="E2381" t="s">
        <v>175</v>
      </c>
      <c r="F2381" t="s">
        <v>99</v>
      </c>
      <c r="G2381">
        <v>24897</v>
      </c>
      <c r="H2381" t="s">
        <v>485</v>
      </c>
      <c r="I2381">
        <v>2</v>
      </c>
      <c r="J2381" t="s">
        <v>116</v>
      </c>
      <c r="K2381" s="19">
        <v>0.27083333333333331</v>
      </c>
      <c r="L2381" s="19">
        <v>0.625</v>
      </c>
      <c r="M2381">
        <v>8.5</v>
      </c>
      <c r="N2381">
        <v>497.28</v>
      </c>
      <c r="O2381">
        <v>76</v>
      </c>
      <c r="P2381">
        <v>76</v>
      </c>
      <c r="Q2381" t="s">
        <v>99</v>
      </c>
      <c r="R2381">
        <v>30</v>
      </c>
      <c r="S2381" s="19">
        <v>0.47916666666666669</v>
      </c>
      <c r="T2381">
        <v>0</v>
      </c>
      <c r="U2381" s="19">
        <v>0.54166666666666663</v>
      </c>
      <c r="V2381" t="s">
        <v>99</v>
      </c>
      <c r="W2381">
        <v>8</v>
      </c>
      <c r="X2381" t="s">
        <v>102</v>
      </c>
      <c r="Y2381" t="b">
        <v>0</v>
      </c>
    </row>
    <row r="2382" spans="1:25" x14ac:dyDescent="0.55000000000000004">
      <c r="A2382" t="s">
        <v>94</v>
      </c>
      <c r="B2382" t="s">
        <v>474</v>
      </c>
      <c r="C2382" t="s">
        <v>308</v>
      </c>
      <c r="D2382" t="s">
        <v>174</v>
      </c>
      <c r="E2382" t="s">
        <v>175</v>
      </c>
      <c r="F2382" t="s">
        <v>99</v>
      </c>
      <c r="G2382">
        <v>24897</v>
      </c>
      <c r="H2382" t="s">
        <v>485</v>
      </c>
      <c r="I2382">
        <v>2</v>
      </c>
      <c r="J2382" t="s">
        <v>103</v>
      </c>
      <c r="K2382" s="19">
        <v>0.27083333333333331</v>
      </c>
      <c r="L2382" s="19">
        <v>0.58333333333333337</v>
      </c>
      <c r="M2382">
        <v>7.5</v>
      </c>
      <c r="N2382">
        <v>248.64</v>
      </c>
      <c r="O2382">
        <v>76</v>
      </c>
      <c r="P2382">
        <v>76</v>
      </c>
      <c r="Q2382" t="s">
        <v>99</v>
      </c>
      <c r="R2382">
        <v>30</v>
      </c>
      <c r="S2382" s="19">
        <v>0.47916666666666669</v>
      </c>
      <c r="T2382">
        <v>0</v>
      </c>
      <c r="U2382" s="19">
        <v>0.54166666666666663</v>
      </c>
      <c r="V2382" t="s">
        <v>99</v>
      </c>
      <c r="W2382">
        <v>7</v>
      </c>
      <c r="X2382" t="s">
        <v>102</v>
      </c>
      <c r="Y2382" t="b">
        <v>0</v>
      </c>
    </row>
    <row r="2383" spans="1:25" x14ac:dyDescent="0.55000000000000004">
      <c r="A2383" t="s">
        <v>94</v>
      </c>
      <c r="B2383" t="s">
        <v>474</v>
      </c>
      <c r="C2383" t="s">
        <v>308</v>
      </c>
      <c r="D2383" t="s">
        <v>174</v>
      </c>
      <c r="E2383" t="s">
        <v>175</v>
      </c>
      <c r="F2383" t="s">
        <v>99</v>
      </c>
      <c r="G2383">
        <v>24897</v>
      </c>
      <c r="H2383" t="s">
        <v>485</v>
      </c>
      <c r="I2383">
        <v>2</v>
      </c>
      <c r="J2383" t="s">
        <v>104</v>
      </c>
      <c r="K2383" s="19">
        <v>0.27083333333333331</v>
      </c>
      <c r="L2383" s="19">
        <v>0.625</v>
      </c>
      <c r="M2383">
        <v>8.5</v>
      </c>
      <c r="N2383">
        <v>284.16000000000003</v>
      </c>
      <c r="O2383">
        <v>76</v>
      </c>
      <c r="P2383">
        <v>76</v>
      </c>
      <c r="Q2383" t="s">
        <v>99</v>
      </c>
      <c r="R2383">
        <v>30</v>
      </c>
      <c r="S2383" s="19">
        <v>0.47916666666666669</v>
      </c>
      <c r="T2383">
        <v>0</v>
      </c>
      <c r="U2383" s="19">
        <v>0.54166666666666663</v>
      </c>
      <c r="V2383" t="s">
        <v>99</v>
      </c>
      <c r="W2383">
        <v>8</v>
      </c>
      <c r="X2383" t="s">
        <v>102</v>
      </c>
      <c r="Y2383" t="b">
        <v>0</v>
      </c>
    </row>
    <row r="2384" spans="1:25" x14ac:dyDescent="0.55000000000000004">
      <c r="A2384" t="s">
        <v>94</v>
      </c>
      <c r="B2384" t="s">
        <v>474</v>
      </c>
      <c r="C2384" t="s">
        <v>308</v>
      </c>
      <c r="D2384" t="s">
        <v>174</v>
      </c>
      <c r="E2384" t="s">
        <v>175</v>
      </c>
      <c r="F2384" t="s">
        <v>99</v>
      </c>
      <c r="G2384">
        <v>24897</v>
      </c>
      <c r="H2384" t="s">
        <v>485</v>
      </c>
      <c r="I2384">
        <v>2</v>
      </c>
      <c r="J2384" t="s">
        <v>105</v>
      </c>
      <c r="K2384" s="19">
        <v>0.27083333333333331</v>
      </c>
      <c r="L2384" s="19">
        <v>0.625</v>
      </c>
      <c r="M2384">
        <v>8.5</v>
      </c>
      <c r="N2384">
        <v>284.16000000000003</v>
      </c>
      <c r="O2384">
        <v>76</v>
      </c>
      <c r="P2384">
        <v>76</v>
      </c>
      <c r="Q2384" t="s">
        <v>99</v>
      </c>
      <c r="R2384">
        <v>30</v>
      </c>
      <c r="S2384" s="19">
        <v>0.47916666666666669</v>
      </c>
      <c r="T2384">
        <v>0</v>
      </c>
      <c r="U2384" s="19">
        <v>0.54166666666666663</v>
      </c>
      <c r="V2384" t="s">
        <v>99</v>
      </c>
      <c r="W2384">
        <v>8</v>
      </c>
      <c r="X2384" t="s">
        <v>102</v>
      </c>
      <c r="Y2384" t="b">
        <v>0</v>
      </c>
    </row>
    <row r="2385" spans="1:25" x14ac:dyDescent="0.55000000000000004">
      <c r="A2385" t="s">
        <v>94</v>
      </c>
      <c r="B2385" t="s">
        <v>474</v>
      </c>
      <c r="C2385" t="s">
        <v>308</v>
      </c>
      <c r="D2385" t="s">
        <v>174</v>
      </c>
      <c r="E2385" t="s">
        <v>175</v>
      </c>
      <c r="F2385" t="s">
        <v>99</v>
      </c>
      <c r="G2385">
        <v>24999</v>
      </c>
      <c r="H2385" t="s">
        <v>486</v>
      </c>
      <c r="I2385">
        <v>1</v>
      </c>
      <c r="J2385" t="s">
        <v>107</v>
      </c>
      <c r="K2385" s="19">
        <v>0.27083333333333331</v>
      </c>
      <c r="L2385" s="19">
        <v>0.625</v>
      </c>
      <c r="M2385">
        <v>8.5</v>
      </c>
      <c r="N2385">
        <v>284.16000000000003</v>
      </c>
      <c r="O2385">
        <v>76</v>
      </c>
      <c r="P2385">
        <v>76</v>
      </c>
      <c r="Q2385" t="s">
        <v>99</v>
      </c>
      <c r="R2385">
        <v>30</v>
      </c>
      <c r="S2385" s="19">
        <v>0.47916666666666669</v>
      </c>
      <c r="T2385">
        <v>0</v>
      </c>
      <c r="U2385" s="19">
        <v>0.54166666666666663</v>
      </c>
      <c r="V2385" t="s">
        <v>99</v>
      </c>
      <c r="W2385">
        <v>8</v>
      </c>
      <c r="X2385" t="s">
        <v>102</v>
      </c>
      <c r="Y2385" t="b">
        <v>0</v>
      </c>
    </row>
    <row r="2386" spans="1:25" x14ac:dyDescent="0.55000000000000004">
      <c r="A2386" t="s">
        <v>94</v>
      </c>
      <c r="B2386" t="s">
        <v>474</v>
      </c>
      <c r="C2386" t="s">
        <v>308</v>
      </c>
      <c r="D2386" t="s">
        <v>174</v>
      </c>
      <c r="E2386" t="s">
        <v>175</v>
      </c>
      <c r="F2386" t="s">
        <v>99</v>
      </c>
      <c r="G2386">
        <v>24999</v>
      </c>
      <c r="H2386" t="s">
        <v>486</v>
      </c>
      <c r="I2386">
        <v>1</v>
      </c>
      <c r="J2386" t="s">
        <v>115</v>
      </c>
      <c r="K2386" s="19">
        <v>0.27083333333333331</v>
      </c>
      <c r="L2386" s="19">
        <v>0.625</v>
      </c>
      <c r="M2386">
        <v>8.5</v>
      </c>
      <c r="N2386">
        <v>426.24</v>
      </c>
      <c r="O2386">
        <v>76</v>
      </c>
      <c r="P2386">
        <v>76</v>
      </c>
      <c r="Q2386" t="s">
        <v>99</v>
      </c>
      <c r="R2386">
        <v>30</v>
      </c>
      <c r="S2386" s="19">
        <v>0.47916666666666669</v>
      </c>
      <c r="T2386">
        <v>0</v>
      </c>
      <c r="U2386" s="19">
        <v>0.54166666666666663</v>
      </c>
      <c r="V2386" t="s">
        <v>99</v>
      </c>
      <c r="W2386">
        <v>8</v>
      </c>
      <c r="X2386" t="s">
        <v>102</v>
      </c>
      <c r="Y2386" t="b">
        <v>0</v>
      </c>
    </row>
    <row r="2387" spans="1:25" x14ac:dyDescent="0.55000000000000004">
      <c r="A2387" t="s">
        <v>94</v>
      </c>
      <c r="B2387" t="s">
        <v>474</v>
      </c>
      <c r="C2387" t="s">
        <v>308</v>
      </c>
      <c r="D2387" t="s">
        <v>174</v>
      </c>
      <c r="E2387" t="s">
        <v>175</v>
      </c>
      <c r="F2387" t="s">
        <v>99</v>
      </c>
      <c r="G2387">
        <v>24999</v>
      </c>
      <c r="H2387" t="s">
        <v>486</v>
      </c>
      <c r="I2387">
        <v>1</v>
      </c>
      <c r="J2387" t="s">
        <v>103</v>
      </c>
      <c r="K2387" s="19">
        <v>0.27083333333333331</v>
      </c>
      <c r="L2387" s="19">
        <v>0.625</v>
      </c>
      <c r="M2387">
        <v>8.5</v>
      </c>
      <c r="N2387">
        <v>284.16000000000003</v>
      </c>
      <c r="O2387">
        <v>76</v>
      </c>
      <c r="P2387">
        <v>76</v>
      </c>
      <c r="Q2387" t="s">
        <v>99</v>
      </c>
      <c r="R2387">
        <v>30</v>
      </c>
      <c r="S2387" s="19">
        <v>0.47916666666666669</v>
      </c>
      <c r="T2387">
        <v>0</v>
      </c>
      <c r="U2387" s="19">
        <v>0.54166666666666663</v>
      </c>
      <c r="V2387" t="s">
        <v>99</v>
      </c>
      <c r="W2387">
        <v>8</v>
      </c>
      <c r="X2387" t="s">
        <v>102</v>
      </c>
      <c r="Y2387" t="b">
        <v>0</v>
      </c>
    </row>
    <row r="2388" spans="1:25" x14ac:dyDescent="0.55000000000000004">
      <c r="A2388" t="s">
        <v>94</v>
      </c>
      <c r="B2388" t="s">
        <v>474</v>
      </c>
      <c r="C2388" t="s">
        <v>308</v>
      </c>
      <c r="D2388" t="s">
        <v>174</v>
      </c>
      <c r="E2388" t="s">
        <v>175</v>
      </c>
      <c r="F2388" t="s">
        <v>99</v>
      </c>
      <c r="G2388">
        <v>24999</v>
      </c>
      <c r="H2388" t="s">
        <v>486</v>
      </c>
      <c r="I2388">
        <v>1</v>
      </c>
      <c r="J2388" t="s">
        <v>105</v>
      </c>
      <c r="K2388" s="19">
        <v>0.27083333333333331</v>
      </c>
      <c r="L2388" s="19">
        <v>0.625</v>
      </c>
      <c r="M2388">
        <v>8.5</v>
      </c>
      <c r="N2388">
        <v>284.16000000000003</v>
      </c>
      <c r="O2388">
        <v>76</v>
      </c>
      <c r="P2388">
        <v>76</v>
      </c>
      <c r="Q2388" t="s">
        <v>99</v>
      </c>
      <c r="R2388">
        <v>30</v>
      </c>
      <c r="S2388" s="19">
        <v>0.47916666666666669</v>
      </c>
      <c r="T2388">
        <v>0</v>
      </c>
      <c r="U2388" s="19">
        <v>0.54166666666666663</v>
      </c>
      <c r="V2388" t="s">
        <v>99</v>
      </c>
      <c r="W2388">
        <v>8</v>
      </c>
      <c r="X2388" t="s">
        <v>102</v>
      </c>
      <c r="Y2388" t="b">
        <v>0</v>
      </c>
    </row>
    <row r="2389" spans="1:25" x14ac:dyDescent="0.55000000000000004">
      <c r="A2389" t="s">
        <v>94</v>
      </c>
      <c r="B2389" t="s">
        <v>474</v>
      </c>
      <c r="C2389" t="s">
        <v>308</v>
      </c>
      <c r="D2389" t="s">
        <v>174</v>
      </c>
      <c r="E2389" t="s">
        <v>175</v>
      </c>
      <c r="F2389" t="s">
        <v>99</v>
      </c>
      <c r="G2389">
        <v>25247</v>
      </c>
      <c r="H2389" t="s">
        <v>487</v>
      </c>
      <c r="I2389">
        <v>2</v>
      </c>
      <c r="J2389" t="s">
        <v>107</v>
      </c>
      <c r="K2389" s="19">
        <v>0.27083333333333331</v>
      </c>
      <c r="L2389" s="19">
        <v>0.625</v>
      </c>
      <c r="M2389">
        <v>8.5</v>
      </c>
      <c r="N2389">
        <v>280.88</v>
      </c>
      <c r="O2389">
        <v>64</v>
      </c>
      <c r="P2389">
        <v>76</v>
      </c>
      <c r="Q2389" t="s">
        <v>99</v>
      </c>
      <c r="R2389">
        <v>30</v>
      </c>
      <c r="S2389" s="19">
        <v>0.47916666666666669</v>
      </c>
      <c r="T2389">
        <v>0</v>
      </c>
      <c r="U2389" s="19">
        <v>0.54166666666666663</v>
      </c>
      <c r="V2389" t="s">
        <v>99</v>
      </c>
      <c r="W2389">
        <v>8</v>
      </c>
      <c r="X2389" t="s">
        <v>102</v>
      </c>
      <c r="Y2389" t="b">
        <v>0</v>
      </c>
    </row>
    <row r="2390" spans="1:25" x14ac:dyDescent="0.55000000000000004">
      <c r="A2390" t="s">
        <v>94</v>
      </c>
      <c r="B2390" t="s">
        <v>474</v>
      </c>
      <c r="C2390" t="s">
        <v>308</v>
      </c>
      <c r="D2390" t="s">
        <v>174</v>
      </c>
      <c r="E2390" t="s">
        <v>175</v>
      </c>
      <c r="F2390" t="s">
        <v>99</v>
      </c>
      <c r="G2390">
        <v>25247</v>
      </c>
      <c r="H2390" t="s">
        <v>487</v>
      </c>
      <c r="I2390">
        <v>2</v>
      </c>
      <c r="J2390" t="s">
        <v>115</v>
      </c>
      <c r="K2390" s="19">
        <v>0.27083333333333331</v>
      </c>
      <c r="L2390" s="19">
        <v>0.625</v>
      </c>
      <c r="M2390">
        <v>8.5</v>
      </c>
      <c r="N2390">
        <v>702.2</v>
      </c>
      <c r="O2390">
        <v>64</v>
      </c>
      <c r="P2390">
        <v>76</v>
      </c>
      <c r="Q2390" t="s">
        <v>99</v>
      </c>
      <c r="R2390">
        <v>30</v>
      </c>
      <c r="S2390" s="19">
        <v>0.47916666666666669</v>
      </c>
      <c r="T2390">
        <v>0</v>
      </c>
      <c r="U2390" s="19">
        <v>0.54166666666666663</v>
      </c>
      <c r="V2390" t="s">
        <v>99</v>
      </c>
      <c r="W2390">
        <v>8</v>
      </c>
      <c r="X2390" t="s">
        <v>102</v>
      </c>
      <c r="Y2390" t="b">
        <v>0</v>
      </c>
    </row>
    <row r="2391" spans="1:25" x14ac:dyDescent="0.55000000000000004">
      <c r="A2391" t="s">
        <v>94</v>
      </c>
      <c r="B2391" t="s">
        <v>474</v>
      </c>
      <c r="C2391" t="s">
        <v>308</v>
      </c>
      <c r="D2391" t="s">
        <v>174</v>
      </c>
      <c r="E2391" t="s">
        <v>175</v>
      </c>
      <c r="F2391" t="s">
        <v>99</v>
      </c>
      <c r="G2391">
        <v>25247</v>
      </c>
      <c r="H2391" t="s">
        <v>487</v>
      </c>
      <c r="I2391">
        <v>2</v>
      </c>
      <c r="J2391" t="s">
        <v>116</v>
      </c>
      <c r="K2391" s="19">
        <v>0.27083333333333331</v>
      </c>
      <c r="L2391" s="19">
        <v>0.625</v>
      </c>
      <c r="M2391">
        <v>8.5</v>
      </c>
      <c r="N2391">
        <v>491.54</v>
      </c>
      <c r="O2391">
        <v>64</v>
      </c>
      <c r="P2391">
        <v>76</v>
      </c>
      <c r="Q2391" t="s">
        <v>99</v>
      </c>
      <c r="R2391">
        <v>30</v>
      </c>
      <c r="S2391" s="19">
        <v>0.47916666666666669</v>
      </c>
      <c r="T2391">
        <v>0</v>
      </c>
      <c r="U2391" s="19">
        <v>0.54166666666666663</v>
      </c>
      <c r="V2391" t="s">
        <v>99</v>
      </c>
      <c r="W2391">
        <v>8</v>
      </c>
      <c r="X2391" t="s">
        <v>102</v>
      </c>
      <c r="Y2391" t="b">
        <v>0</v>
      </c>
    </row>
    <row r="2392" spans="1:25" x14ac:dyDescent="0.55000000000000004">
      <c r="A2392" t="s">
        <v>94</v>
      </c>
      <c r="B2392" t="s">
        <v>474</v>
      </c>
      <c r="C2392" t="s">
        <v>308</v>
      </c>
      <c r="D2392" t="s">
        <v>174</v>
      </c>
      <c r="E2392" t="s">
        <v>175</v>
      </c>
      <c r="F2392" t="s">
        <v>99</v>
      </c>
      <c r="G2392">
        <v>25437</v>
      </c>
      <c r="H2392" t="s">
        <v>488</v>
      </c>
      <c r="I2392">
        <v>1</v>
      </c>
      <c r="J2392" t="s">
        <v>101</v>
      </c>
      <c r="K2392" s="19">
        <v>0.27083333333333331</v>
      </c>
      <c r="L2392" s="19">
        <v>0.625</v>
      </c>
      <c r="M2392">
        <v>8.5</v>
      </c>
      <c r="N2392">
        <v>280.88</v>
      </c>
      <c r="O2392">
        <v>72</v>
      </c>
      <c r="P2392">
        <v>76</v>
      </c>
      <c r="Q2392" t="s">
        <v>99</v>
      </c>
      <c r="R2392">
        <v>30</v>
      </c>
      <c r="S2392" s="19">
        <v>0.47916666666666669</v>
      </c>
      <c r="T2392">
        <v>0</v>
      </c>
      <c r="U2392" s="19">
        <v>0.54166666666666663</v>
      </c>
      <c r="V2392" t="s">
        <v>99</v>
      </c>
      <c r="W2392">
        <v>8</v>
      </c>
      <c r="X2392" t="s">
        <v>102</v>
      </c>
      <c r="Y2392" t="b">
        <v>0</v>
      </c>
    </row>
    <row r="2393" spans="1:25" x14ac:dyDescent="0.55000000000000004">
      <c r="A2393" t="s">
        <v>94</v>
      </c>
      <c r="B2393" t="s">
        <v>474</v>
      </c>
      <c r="C2393" t="s">
        <v>308</v>
      </c>
      <c r="D2393" t="s">
        <v>174</v>
      </c>
      <c r="E2393" t="s">
        <v>175</v>
      </c>
      <c r="F2393" t="s">
        <v>99</v>
      </c>
      <c r="G2393">
        <v>25437</v>
      </c>
      <c r="H2393" t="s">
        <v>488</v>
      </c>
      <c r="I2393">
        <v>1</v>
      </c>
      <c r="J2393" t="s">
        <v>116</v>
      </c>
      <c r="K2393" s="19">
        <v>0.27083333333333331</v>
      </c>
      <c r="L2393" s="19">
        <v>0.58333333333333337</v>
      </c>
      <c r="M2393">
        <v>7.5</v>
      </c>
      <c r="N2393">
        <v>430.1</v>
      </c>
      <c r="O2393">
        <v>72</v>
      </c>
      <c r="P2393">
        <v>76</v>
      </c>
      <c r="Q2393" t="s">
        <v>99</v>
      </c>
      <c r="R2393">
        <v>30</v>
      </c>
      <c r="S2393" s="19">
        <v>0.47916666666666669</v>
      </c>
      <c r="T2393">
        <v>0</v>
      </c>
      <c r="U2393" s="19">
        <v>0.54166666666666663</v>
      </c>
      <c r="V2393" t="s">
        <v>99</v>
      </c>
      <c r="W2393">
        <v>7</v>
      </c>
      <c r="X2393" t="s">
        <v>102</v>
      </c>
      <c r="Y2393" t="b">
        <v>0</v>
      </c>
    </row>
    <row r="2394" spans="1:25" x14ac:dyDescent="0.55000000000000004">
      <c r="A2394" t="s">
        <v>94</v>
      </c>
      <c r="B2394" t="s">
        <v>474</v>
      </c>
      <c r="C2394" t="s">
        <v>308</v>
      </c>
      <c r="D2394" t="s">
        <v>174</v>
      </c>
      <c r="E2394" t="s">
        <v>175</v>
      </c>
      <c r="F2394" t="s">
        <v>99</v>
      </c>
      <c r="G2394">
        <v>25437</v>
      </c>
      <c r="H2394" t="s">
        <v>488</v>
      </c>
      <c r="I2394">
        <v>1</v>
      </c>
      <c r="J2394" t="s">
        <v>103</v>
      </c>
      <c r="K2394" s="19">
        <v>0.27083333333333331</v>
      </c>
      <c r="L2394" s="19">
        <v>0.625</v>
      </c>
      <c r="M2394">
        <v>8.5</v>
      </c>
      <c r="N2394">
        <v>280.88</v>
      </c>
      <c r="O2394">
        <v>72</v>
      </c>
      <c r="P2394">
        <v>76</v>
      </c>
      <c r="Q2394" t="s">
        <v>99</v>
      </c>
      <c r="R2394">
        <v>30</v>
      </c>
      <c r="S2394" s="19">
        <v>0.47916666666666669</v>
      </c>
      <c r="T2394">
        <v>0</v>
      </c>
      <c r="U2394" s="19">
        <v>0.54166666666666663</v>
      </c>
      <c r="V2394" t="s">
        <v>99</v>
      </c>
      <c r="W2394">
        <v>8</v>
      </c>
      <c r="X2394" t="s">
        <v>102</v>
      </c>
      <c r="Y2394" t="b">
        <v>0</v>
      </c>
    </row>
    <row r="2395" spans="1:25" x14ac:dyDescent="0.55000000000000004">
      <c r="A2395" t="s">
        <v>94</v>
      </c>
      <c r="B2395" t="s">
        <v>474</v>
      </c>
      <c r="C2395" t="s">
        <v>308</v>
      </c>
      <c r="D2395" t="s">
        <v>174</v>
      </c>
      <c r="E2395" t="s">
        <v>175</v>
      </c>
      <c r="F2395" t="s">
        <v>99</v>
      </c>
      <c r="G2395">
        <v>25437</v>
      </c>
      <c r="H2395" t="s">
        <v>488</v>
      </c>
      <c r="I2395">
        <v>1</v>
      </c>
      <c r="J2395" t="s">
        <v>104</v>
      </c>
      <c r="K2395" s="19">
        <v>0.27083333333333331</v>
      </c>
      <c r="L2395" s="19">
        <v>0.625</v>
      </c>
      <c r="M2395">
        <v>8.5</v>
      </c>
      <c r="N2395">
        <v>280.88</v>
      </c>
      <c r="O2395">
        <v>72</v>
      </c>
      <c r="P2395">
        <v>76</v>
      </c>
      <c r="Q2395" t="s">
        <v>99</v>
      </c>
      <c r="R2395">
        <v>30</v>
      </c>
      <c r="S2395" s="19">
        <v>0.47916666666666669</v>
      </c>
      <c r="T2395">
        <v>0</v>
      </c>
      <c r="U2395" s="19">
        <v>0.54166666666666663</v>
      </c>
      <c r="V2395" t="s">
        <v>99</v>
      </c>
      <c r="W2395">
        <v>8</v>
      </c>
      <c r="X2395" t="s">
        <v>102</v>
      </c>
      <c r="Y2395" t="b">
        <v>0</v>
      </c>
    </row>
    <row r="2396" spans="1:25" x14ac:dyDescent="0.55000000000000004">
      <c r="A2396" t="s">
        <v>94</v>
      </c>
      <c r="B2396" t="s">
        <v>474</v>
      </c>
      <c r="C2396" t="s">
        <v>308</v>
      </c>
      <c r="D2396" t="s">
        <v>174</v>
      </c>
      <c r="E2396" t="s">
        <v>175</v>
      </c>
      <c r="F2396" t="s">
        <v>99</v>
      </c>
      <c r="G2396">
        <v>25437</v>
      </c>
      <c r="H2396" t="s">
        <v>488</v>
      </c>
      <c r="I2396">
        <v>1</v>
      </c>
      <c r="J2396" t="s">
        <v>105</v>
      </c>
      <c r="K2396" s="19">
        <v>0.27083333333333331</v>
      </c>
      <c r="L2396" s="19">
        <v>0.625</v>
      </c>
      <c r="M2396">
        <v>8.5</v>
      </c>
      <c r="N2396">
        <v>280.88</v>
      </c>
      <c r="O2396">
        <v>72</v>
      </c>
      <c r="P2396">
        <v>76</v>
      </c>
      <c r="Q2396" t="s">
        <v>99</v>
      </c>
      <c r="R2396">
        <v>30</v>
      </c>
      <c r="S2396" s="19">
        <v>0.47916666666666669</v>
      </c>
      <c r="T2396">
        <v>0</v>
      </c>
      <c r="U2396" s="19">
        <v>0.54166666666666663</v>
      </c>
      <c r="V2396" t="s">
        <v>99</v>
      </c>
      <c r="W2396">
        <v>8</v>
      </c>
      <c r="X2396" t="s">
        <v>102</v>
      </c>
      <c r="Y2396" t="b">
        <v>0</v>
      </c>
    </row>
    <row r="2397" spans="1:25" x14ac:dyDescent="0.55000000000000004">
      <c r="A2397" t="s">
        <v>94</v>
      </c>
      <c r="B2397" t="s">
        <v>474</v>
      </c>
      <c r="C2397" t="s">
        <v>308</v>
      </c>
      <c r="D2397" t="s">
        <v>174</v>
      </c>
      <c r="E2397" t="s">
        <v>175</v>
      </c>
      <c r="F2397" t="s">
        <v>99</v>
      </c>
      <c r="G2397">
        <v>25537</v>
      </c>
      <c r="H2397" t="s">
        <v>489</v>
      </c>
      <c r="I2397">
        <v>2</v>
      </c>
      <c r="J2397" t="s">
        <v>101</v>
      </c>
      <c r="K2397" s="19">
        <v>0.27083333333333331</v>
      </c>
      <c r="L2397" s="19">
        <v>0.625</v>
      </c>
      <c r="M2397">
        <v>8.5</v>
      </c>
      <c r="N2397">
        <v>280.88</v>
      </c>
      <c r="O2397">
        <v>40</v>
      </c>
      <c r="P2397">
        <v>76</v>
      </c>
      <c r="Q2397" t="s">
        <v>99</v>
      </c>
      <c r="R2397">
        <v>30</v>
      </c>
      <c r="S2397" s="19">
        <v>0.47916666666666669</v>
      </c>
      <c r="T2397">
        <v>0</v>
      </c>
      <c r="U2397" s="19">
        <v>0.54166666666666663</v>
      </c>
      <c r="V2397" t="s">
        <v>99</v>
      </c>
      <c r="W2397">
        <v>8</v>
      </c>
      <c r="X2397" t="s">
        <v>102</v>
      </c>
      <c r="Y2397" t="b">
        <v>0</v>
      </c>
    </row>
    <row r="2398" spans="1:25" x14ac:dyDescent="0.55000000000000004">
      <c r="A2398" t="s">
        <v>94</v>
      </c>
      <c r="B2398" t="s">
        <v>474</v>
      </c>
      <c r="C2398" t="s">
        <v>308</v>
      </c>
      <c r="D2398" t="s">
        <v>174</v>
      </c>
      <c r="E2398" t="s">
        <v>175</v>
      </c>
      <c r="F2398" t="s">
        <v>99</v>
      </c>
      <c r="G2398">
        <v>25537</v>
      </c>
      <c r="H2398" t="s">
        <v>489</v>
      </c>
      <c r="I2398">
        <v>2</v>
      </c>
      <c r="J2398" t="s">
        <v>116</v>
      </c>
      <c r="K2398" s="19">
        <v>0.27083333333333331</v>
      </c>
      <c r="L2398" s="19">
        <v>0.625</v>
      </c>
      <c r="M2398">
        <v>8.5</v>
      </c>
      <c r="N2398">
        <v>491.54</v>
      </c>
      <c r="O2398">
        <v>40</v>
      </c>
      <c r="P2398">
        <v>76</v>
      </c>
      <c r="Q2398" t="s">
        <v>99</v>
      </c>
      <c r="R2398">
        <v>30</v>
      </c>
      <c r="S2398" s="19">
        <v>0.47916666666666669</v>
      </c>
      <c r="T2398">
        <v>0</v>
      </c>
      <c r="U2398" s="19">
        <v>0.54166666666666663</v>
      </c>
      <c r="V2398" t="s">
        <v>99</v>
      </c>
      <c r="W2398">
        <v>8</v>
      </c>
      <c r="X2398" t="s">
        <v>102</v>
      </c>
      <c r="Y2398" t="b">
        <v>0</v>
      </c>
    </row>
    <row r="2399" spans="1:25" x14ac:dyDescent="0.55000000000000004">
      <c r="A2399" t="s">
        <v>94</v>
      </c>
      <c r="B2399" t="s">
        <v>474</v>
      </c>
      <c r="C2399" t="s">
        <v>308</v>
      </c>
      <c r="D2399" t="s">
        <v>174</v>
      </c>
      <c r="E2399" t="s">
        <v>175</v>
      </c>
      <c r="F2399" t="s">
        <v>99</v>
      </c>
      <c r="G2399">
        <v>26058</v>
      </c>
      <c r="H2399" t="s">
        <v>490</v>
      </c>
      <c r="I2399">
        <v>1</v>
      </c>
      <c r="J2399" t="s">
        <v>107</v>
      </c>
      <c r="K2399" s="19">
        <v>0.27083333333333331</v>
      </c>
      <c r="L2399" s="19">
        <v>0.625</v>
      </c>
      <c r="M2399">
        <v>8.5</v>
      </c>
      <c r="N2399">
        <v>280.88</v>
      </c>
      <c r="O2399">
        <v>32</v>
      </c>
      <c r="P2399">
        <v>76</v>
      </c>
      <c r="Q2399" t="s">
        <v>99</v>
      </c>
      <c r="R2399">
        <v>30</v>
      </c>
      <c r="S2399" s="19">
        <v>0.47916666666666669</v>
      </c>
      <c r="T2399">
        <v>0</v>
      </c>
      <c r="U2399" s="19">
        <v>0.54166666666666663</v>
      </c>
      <c r="V2399" t="s">
        <v>99</v>
      </c>
      <c r="W2399">
        <v>8</v>
      </c>
      <c r="X2399" t="s">
        <v>102</v>
      </c>
      <c r="Y2399" t="b">
        <v>0</v>
      </c>
    </row>
    <row r="2400" spans="1:25" x14ac:dyDescent="0.55000000000000004">
      <c r="A2400" t="s">
        <v>94</v>
      </c>
      <c r="B2400" t="s">
        <v>474</v>
      </c>
      <c r="C2400" t="s">
        <v>308</v>
      </c>
      <c r="D2400" t="s">
        <v>174</v>
      </c>
      <c r="E2400" t="s">
        <v>175</v>
      </c>
      <c r="F2400" t="s">
        <v>99</v>
      </c>
      <c r="G2400">
        <v>26058</v>
      </c>
      <c r="H2400" t="s">
        <v>490</v>
      </c>
      <c r="I2400">
        <v>1</v>
      </c>
      <c r="J2400" t="s">
        <v>101</v>
      </c>
      <c r="K2400" s="19">
        <v>0.27083333333333331</v>
      </c>
      <c r="L2400" s="19">
        <v>0.58333333333333337</v>
      </c>
      <c r="M2400">
        <v>7.5</v>
      </c>
      <c r="N2400">
        <v>245.77</v>
      </c>
      <c r="O2400">
        <v>32</v>
      </c>
      <c r="P2400">
        <v>76</v>
      </c>
      <c r="Q2400" t="s">
        <v>99</v>
      </c>
      <c r="R2400">
        <v>30</v>
      </c>
      <c r="S2400" s="19">
        <v>0.47916666666666669</v>
      </c>
      <c r="T2400">
        <v>0</v>
      </c>
      <c r="U2400" s="19">
        <v>0.54166666666666663</v>
      </c>
      <c r="V2400" t="s">
        <v>99</v>
      </c>
      <c r="W2400">
        <v>7</v>
      </c>
      <c r="X2400" t="s">
        <v>102</v>
      </c>
      <c r="Y2400" t="b">
        <v>0</v>
      </c>
    </row>
    <row r="2401" spans="1:25" x14ac:dyDescent="0.55000000000000004">
      <c r="A2401" t="s">
        <v>94</v>
      </c>
      <c r="B2401" t="s">
        <v>474</v>
      </c>
      <c r="C2401" t="s">
        <v>308</v>
      </c>
      <c r="D2401" t="s">
        <v>174</v>
      </c>
      <c r="E2401" t="s">
        <v>175</v>
      </c>
      <c r="F2401" t="s">
        <v>99</v>
      </c>
      <c r="G2401">
        <v>26058</v>
      </c>
      <c r="H2401" t="s">
        <v>490</v>
      </c>
      <c r="I2401">
        <v>2</v>
      </c>
      <c r="J2401" t="s">
        <v>103</v>
      </c>
      <c r="K2401" s="19">
        <v>0.27083333333333331</v>
      </c>
      <c r="L2401" s="19">
        <v>0.625</v>
      </c>
      <c r="M2401">
        <v>8.5</v>
      </c>
      <c r="N2401">
        <v>280.88</v>
      </c>
      <c r="O2401">
        <v>32</v>
      </c>
      <c r="P2401">
        <v>76</v>
      </c>
      <c r="Q2401" t="s">
        <v>99</v>
      </c>
      <c r="R2401">
        <v>30</v>
      </c>
      <c r="S2401" s="19">
        <v>0.47916666666666669</v>
      </c>
      <c r="T2401">
        <v>0</v>
      </c>
      <c r="U2401" s="19">
        <v>0.54166666666666663</v>
      </c>
      <c r="V2401" t="s">
        <v>99</v>
      </c>
      <c r="W2401">
        <v>8</v>
      </c>
      <c r="X2401" t="s">
        <v>102</v>
      </c>
      <c r="Y2401" t="b">
        <v>0</v>
      </c>
    </row>
    <row r="2402" spans="1:25" x14ac:dyDescent="0.55000000000000004">
      <c r="A2402" t="s">
        <v>94</v>
      </c>
      <c r="B2402" t="s">
        <v>474</v>
      </c>
      <c r="C2402" t="s">
        <v>308</v>
      </c>
      <c r="D2402" t="s">
        <v>174</v>
      </c>
      <c r="E2402" t="s">
        <v>175</v>
      </c>
      <c r="F2402" t="s">
        <v>99</v>
      </c>
      <c r="G2402">
        <v>26058</v>
      </c>
      <c r="H2402" t="s">
        <v>490</v>
      </c>
      <c r="I2402">
        <v>2</v>
      </c>
      <c r="J2402" t="s">
        <v>104</v>
      </c>
      <c r="K2402" s="19">
        <v>0.27083333333333331</v>
      </c>
      <c r="L2402" s="19">
        <v>0.625</v>
      </c>
      <c r="M2402">
        <v>8.5</v>
      </c>
      <c r="N2402">
        <v>280.88</v>
      </c>
      <c r="O2402">
        <v>32</v>
      </c>
      <c r="P2402">
        <v>76</v>
      </c>
      <c r="Q2402" t="s">
        <v>99</v>
      </c>
      <c r="R2402">
        <v>30</v>
      </c>
      <c r="S2402" s="19">
        <v>0.47916666666666669</v>
      </c>
      <c r="T2402">
        <v>0</v>
      </c>
      <c r="U2402" s="19">
        <v>0.54166666666666663</v>
      </c>
      <c r="V2402" t="s">
        <v>99</v>
      </c>
      <c r="W2402">
        <v>8</v>
      </c>
      <c r="X2402" t="s">
        <v>102</v>
      </c>
      <c r="Y2402" t="b">
        <v>0</v>
      </c>
    </row>
    <row r="2403" spans="1:25" x14ac:dyDescent="0.55000000000000004">
      <c r="A2403" t="s">
        <v>94</v>
      </c>
      <c r="B2403" t="s">
        <v>474</v>
      </c>
      <c r="C2403" t="s">
        <v>308</v>
      </c>
      <c r="D2403" t="s">
        <v>174</v>
      </c>
      <c r="E2403" t="s">
        <v>175</v>
      </c>
      <c r="F2403" t="s">
        <v>99</v>
      </c>
      <c r="G2403">
        <v>26058</v>
      </c>
      <c r="H2403" t="s">
        <v>490</v>
      </c>
      <c r="I2403">
        <v>2</v>
      </c>
      <c r="J2403" t="s">
        <v>105</v>
      </c>
      <c r="K2403" s="19">
        <v>0.27083333333333331</v>
      </c>
      <c r="L2403" s="19">
        <v>0.625</v>
      </c>
      <c r="M2403">
        <v>8.5</v>
      </c>
      <c r="N2403">
        <v>280.88</v>
      </c>
      <c r="O2403">
        <v>32</v>
      </c>
      <c r="P2403">
        <v>76</v>
      </c>
      <c r="Q2403" t="s">
        <v>99</v>
      </c>
      <c r="R2403">
        <v>30</v>
      </c>
      <c r="S2403" s="19">
        <v>0.47916666666666669</v>
      </c>
      <c r="T2403">
        <v>0</v>
      </c>
      <c r="U2403" s="19">
        <v>0.54166666666666663</v>
      </c>
      <c r="V2403" t="s">
        <v>99</v>
      </c>
      <c r="W2403">
        <v>8</v>
      </c>
      <c r="X2403" t="s">
        <v>102</v>
      </c>
      <c r="Y2403" t="b">
        <v>0</v>
      </c>
    </row>
    <row r="2404" spans="1:25" x14ac:dyDescent="0.55000000000000004">
      <c r="A2404" t="s">
        <v>94</v>
      </c>
      <c r="B2404" t="s">
        <v>474</v>
      </c>
      <c r="C2404" t="s">
        <v>308</v>
      </c>
      <c r="D2404" t="s">
        <v>174</v>
      </c>
      <c r="E2404" t="s">
        <v>211</v>
      </c>
      <c r="F2404" t="s">
        <v>99</v>
      </c>
      <c r="H2404" t="s">
        <v>99</v>
      </c>
      <c r="I2404">
        <v>1</v>
      </c>
      <c r="J2404" t="s">
        <v>107</v>
      </c>
      <c r="K2404" s="19">
        <v>0.95833333333333337</v>
      </c>
      <c r="L2404" s="19">
        <v>0.27083333333333331</v>
      </c>
      <c r="M2404">
        <v>7.5</v>
      </c>
      <c r="N2404">
        <v>338.5</v>
      </c>
      <c r="O2404">
        <v>0</v>
      </c>
      <c r="P2404">
        <v>0</v>
      </c>
      <c r="Q2404" t="s">
        <v>99</v>
      </c>
      <c r="R2404">
        <v>30</v>
      </c>
      <c r="S2404" s="19">
        <v>8.3333333333333329E-2</v>
      </c>
      <c r="U2404" s="19"/>
      <c r="V2404" t="s">
        <v>99</v>
      </c>
      <c r="W2404">
        <v>7</v>
      </c>
      <c r="X2404" t="s">
        <v>102</v>
      </c>
      <c r="Y2404" t="b">
        <v>0</v>
      </c>
    </row>
    <row r="2405" spans="1:25" x14ac:dyDescent="0.55000000000000004">
      <c r="A2405" t="s">
        <v>94</v>
      </c>
      <c r="B2405" t="s">
        <v>474</v>
      </c>
      <c r="C2405" t="s">
        <v>308</v>
      </c>
      <c r="D2405" t="s">
        <v>174</v>
      </c>
      <c r="E2405" t="s">
        <v>211</v>
      </c>
      <c r="F2405" t="s">
        <v>99</v>
      </c>
      <c r="H2405" t="s">
        <v>99</v>
      </c>
      <c r="I2405">
        <v>1</v>
      </c>
      <c r="J2405" t="s">
        <v>101</v>
      </c>
      <c r="K2405" s="19">
        <v>0.95833333333333337</v>
      </c>
      <c r="L2405" s="19">
        <v>0.27083333333333331</v>
      </c>
      <c r="M2405">
        <v>7.5</v>
      </c>
      <c r="N2405">
        <v>268.47000000000003</v>
      </c>
      <c r="O2405">
        <v>0</v>
      </c>
      <c r="P2405">
        <v>0</v>
      </c>
      <c r="Q2405" t="s">
        <v>99</v>
      </c>
      <c r="R2405">
        <v>30</v>
      </c>
      <c r="S2405" s="19">
        <v>8.3333333333333329E-2</v>
      </c>
      <c r="U2405" s="19"/>
      <c r="V2405" t="s">
        <v>99</v>
      </c>
      <c r="W2405">
        <v>7</v>
      </c>
      <c r="X2405" t="s">
        <v>102</v>
      </c>
      <c r="Y2405" t="b">
        <v>0</v>
      </c>
    </row>
    <row r="2406" spans="1:25" x14ac:dyDescent="0.55000000000000004">
      <c r="A2406" t="s">
        <v>94</v>
      </c>
      <c r="B2406" t="s">
        <v>474</v>
      </c>
      <c r="C2406" t="s">
        <v>308</v>
      </c>
      <c r="D2406" t="s">
        <v>174</v>
      </c>
      <c r="E2406" t="s">
        <v>211</v>
      </c>
      <c r="F2406" t="s">
        <v>99</v>
      </c>
      <c r="H2406" t="s">
        <v>99</v>
      </c>
      <c r="I2406">
        <v>1</v>
      </c>
      <c r="J2406" t="s">
        <v>115</v>
      </c>
      <c r="K2406" s="19">
        <v>0.95833333333333337</v>
      </c>
      <c r="L2406" s="19">
        <v>0.27083333333333331</v>
      </c>
      <c r="M2406">
        <v>7.5</v>
      </c>
      <c r="N2406">
        <v>400.2</v>
      </c>
      <c r="O2406">
        <v>0</v>
      </c>
      <c r="P2406">
        <v>0</v>
      </c>
      <c r="Q2406" t="s">
        <v>99</v>
      </c>
      <c r="R2406">
        <v>30</v>
      </c>
      <c r="S2406" s="19">
        <v>8.3333333333333329E-2</v>
      </c>
      <c r="U2406" s="19"/>
      <c r="V2406" t="s">
        <v>99</v>
      </c>
      <c r="W2406">
        <v>7</v>
      </c>
      <c r="X2406" t="s">
        <v>102</v>
      </c>
      <c r="Y2406" t="b">
        <v>0</v>
      </c>
    </row>
    <row r="2407" spans="1:25" x14ac:dyDescent="0.55000000000000004">
      <c r="A2407" t="s">
        <v>94</v>
      </c>
      <c r="B2407" t="s">
        <v>474</v>
      </c>
      <c r="C2407" t="s">
        <v>308</v>
      </c>
      <c r="D2407" t="s">
        <v>174</v>
      </c>
      <c r="E2407" t="s">
        <v>211</v>
      </c>
      <c r="F2407" t="s">
        <v>99</v>
      </c>
      <c r="H2407" t="s">
        <v>99</v>
      </c>
      <c r="I2407">
        <v>1</v>
      </c>
      <c r="J2407" t="s">
        <v>116</v>
      </c>
      <c r="K2407" s="19">
        <v>0.95833333333333337</v>
      </c>
      <c r="L2407" s="19">
        <v>0.27083333333333331</v>
      </c>
      <c r="M2407">
        <v>7.5</v>
      </c>
      <c r="N2407">
        <v>288.48</v>
      </c>
      <c r="O2407">
        <v>0</v>
      </c>
      <c r="P2407">
        <v>0</v>
      </c>
      <c r="Q2407" t="s">
        <v>99</v>
      </c>
      <c r="R2407">
        <v>30</v>
      </c>
      <c r="S2407" s="19">
        <v>8.3333333333333329E-2</v>
      </c>
      <c r="U2407" s="19"/>
      <c r="V2407" t="s">
        <v>99</v>
      </c>
      <c r="W2407">
        <v>7</v>
      </c>
      <c r="X2407" t="s">
        <v>102</v>
      </c>
      <c r="Y2407" t="b">
        <v>0</v>
      </c>
    </row>
    <row r="2408" spans="1:25" x14ac:dyDescent="0.55000000000000004">
      <c r="A2408" t="s">
        <v>94</v>
      </c>
      <c r="B2408" t="s">
        <v>474</v>
      </c>
      <c r="C2408" t="s">
        <v>308</v>
      </c>
      <c r="D2408" t="s">
        <v>174</v>
      </c>
      <c r="E2408" t="s">
        <v>211</v>
      </c>
      <c r="F2408" t="s">
        <v>99</v>
      </c>
      <c r="H2408" t="s">
        <v>99</v>
      </c>
      <c r="I2408">
        <v>1</v>
      </c>
      <c r="J2408" t="s">
        <v>103</v>
      </c>
      <c r="K2408" s="19">
        <v>0.95833333333333337</v>
      </c>
      <c r="L2408" s="19">
        <v>0.27083333333333331</v>
      </c>
      <c r="M2408">
        <v>7.5</v>
      </c>
      <c r="N2408">
        <v>268.47000000000003</v>
      </c>
      <c r="O2408">
        <v>0</v>
      </c>
      <c r="P2408">
        <v>0</v>
      </c>
      <c r="Q2408" t="s">
        <v>99</v>
      </c>
      <c r="R2408">
        <v>30</v>
      </c>
      <c r="S2408" s="19">
        <v>8.3333333333333329E-2</v>
      </c>
      <c r="U2408" s="19"/>
      <c r="V2408" t="s">
        <v>99</v>
      </c>
      <c r="W2408">
        <v>7</v>
      </c>
      <c r="X2408" t="s">
        <v>102</v>
      </c>
      <c r="Y2408" t="b">
        <v>0</v>
      </c>
    </row>
    <row r="2409" spans="1:25" x14ac:dyDescent="0.55000000000000004">
      <c r="A2409" t="s">
        <v>94</v>
      </c>
      <c r="B2409" t="s">
        <v>474</v>
      </c>
      <c r="C2409" t="s">
        <v>308</v>
      </c>
      <c r="D2409" t="s">
        <v>174</v>
      </c>
      <c r="E2409" t="s">
        <v>211</v>
      </c>
      <c r="F2409" t="s">
        <v>99</v>
      </c>
      <c r="H2409" t="s">
        <v>99</v>
      </c>
      <c r="I2409">
        <v>1</v>
      </c>
      <c r="J2409" t="s">
        <v>104</v>
      </c>
      <c r="K2409" s="19">
        <v>0.95833333333333337</v>
      </c>
      <c r="L2409" s="19">
        <v>0.27083333333333331</v>
      </c>
      <c r="M2409">
        <v>7.5</v>
      </c>
      <c r="N2409">
        <v>268.47000000000003</v>
      </c>
      <c r="O2409">
        <v>0</v>
      </c>
      <c r="P2409">
        <v>0</v>
      </c>
      <c r="Q2409" t="s">
        <v>99</v>
      </c>
      <c r="R2409">
        <v>30</v>
      </c>
      <c r="S2409" s="19">
        <v>8.3333333333333329E-2</v>
      </c>
      <c r="U2409" s="19"/>
      <c r="V2409" t="s">
        <v>99</v>
      </c>
      <c r="W2409">
        <v>7</v>
      </c>
      <c r="X2409" t="s">
        <v>102</v>
      </c>
      <c r="Y2409" t="b">
        <v>0</v>
      </c>
    </row>
    <row r="2410" spans="1:25" x14ac:dyDescent="0.55000000000000004">
      <c r="A2410" t="s">
        <v>94</v>
      </c>
      <c r="B2410" t="s">
        <v>474</v>
      </c>
      <c r="C2410" t="s">
        <v>308</v>
      </c>
      <c r="D2410" t="s">
        <v>174</v>
      </c>
      <c r="E2410" t="s">
        <v>211</v>
      </c>
      <c r="F2410" t="s">
        <v>99</v>
      </c>
      <c r="H2410" t="s">
        <v>99</v>
      </c>
      <c r="I2410">
        <v>1</v>
      </c>
      <c r="J2410" t="s">
        <v>105</v>
      </c>
      <c r="K2410" s="19">
        <v>0.95833333333333337</v>
      </c>
      <c r="L2410" s="19">
        <v>0.27083333333333331</v>
      </c>
      <c r="M2410">
        <v>7.5</v>
      </c>
      <c r="N2410">
        <v>268.47000000000003</v>
      </c>
      <c r="O2410">
        <v>0</v>
      </c>
      <c r="P2410">
        <v>0</v>
      </c>
      <c r="Q2410" t="s">
        <v>99</v>
      </c>
      <c r="R2410">
        <v>30</v>
      </c>
      <c r="S2410" s="19">
        <v>8.3333333333333329E-2</v>
      </c>
      <c r="U2410" s="19"/>
      <c r="V2410" t="s">
        <v>99</v>
      </c>
      <c r="W2410">
        <v>7</v>
      </c>
      <c r="X2410" t="s">
        <v>102</v>
      </c>
      <c r="Y2410" t="b">
        <v>0</v>
      </c>
    </row>
    <row r="2411" spans="1:25" x14ac:dyDescent="0.55000000000000004">
      <c r="A2411" t="s">
        <v>94</v>
      </c>
      <c r="B2411" t="s">
        <v>474</v>
      </c>
      <c r="C2411" t="s">
        <v>308</v>
      </c>
      <c r="D2411" t="s">
        <v>174</v>
      </c>
      <c r="E2411" t="s">
        <v>211</v>
      </c>
      <c r="F2411" t="s">
        <v>99</v>
      </c>
      <c r="H2411" t="s">
        <v>99</v>
      </c>
      <c r="I2411">
        <v>2</v>
      </c>
      <c r="J2411" t="s">
        <v>107</v>
      </c>
      <c r="K2411" s="19">
        <v>0.95833333333333337</v>
      </c>
      <c r="L2411" s="19">
        <v>0.27083333333333331</v>
      </c>
      <c r="M2411">
        <v>7.5</v>
      </c>
      <c r="N2411">
        <v>338.5</v>
      </c>
      <c r="O2411">
        <v>0</v>
      </c>
      <c r="P2411">
        <v>0</v>
      </c>
      <c r="Q2411" t="s">
        <v>99</v>
      </c>
      <c r="R2411">
        <v>30</v>
      </c>
      <c r="S2411" s="19">
        <v>8.3333333333333329E-2</v>
      </c>
      <c r="U2411" s="19"/>
      <c r="V2411" t="s">
        <v>99</v>
      </c>
      <c r="W2411">
        <v>7</v>
      </c>
      <c r="X2411" t="s">
        <v>102</v>
      </c>
      <c r="Y2411" t="b">
        <v>0</v>
      </c>
    </row>
    <row r="2412" spans="1:25" x14ac:dyDescent="0.55000000000000004">
      <c r="A2412" t="s">
        <v>94</v>
      </c>
      <c r="B2412" t="s">
        <v>474</v>
      </c>
      <c r="C2412" t="s">
        <v>308</v>
      </c>
      <c r="D2412" t="s">
        <v>174</v>
      </c>
      <c r="E2412" t="s">
        <v>211</v>
      </c>
      <c r="F2412" t="s">
        <v>99</v>
      </c>
      <c r="H2412" t="s">
        <v>99</v>
      </c>
      <c r="I2412">
        <v>2</v>
      </c>
      <c r="J2412" t="s">
        <v>101</v>
      </c>
      <c r="K2412" s="19">
        <v>0.95833333333333337</v>
      </c>
      <c r="L2412" s="19">
        <v>0.27083333333333331</v>
      </c>
      <c r="M2412">
        <v>7.5</v>
      </c>
      <c r="N2412">
        <v>268.47000000000003</v>
      </c>
      <c r="O2412">
        <v>0</v>
      </c>
      <c r="P2412">
        <v>0</v>
      </c>
      <c r="Q2412" t="s">
        <v>99</v>
      </c>
      <c r="R2412">
        <v>30</v>
      </c>
      <c r="S2412" s="19">
        <v>8.3333333333333329E-2</v>
      </c>
      <c r="U2412" s="19"/>
      <c r="V2412" t="s">
        <v>99</v>
      </c>
      <c r="W2412">
        <v>7</v>
      </c>
      <c r="X2412" t="s">
        <v>102</v>
      </c>
      <c r="Y2412" t="b">
        <v>0</v>
      </c>
    </row>
    <row r="2413" spans="1:25" x14ac:dyDescent="0.55000000000000004">
      <c r="A2413" t="s">
        <v>94</v>
      </c>
      <c r="B2413" t="s">
        <v>474</v>
      </c>
      <c r="C2413" t="s">
        <v>308</v>
      </c>
      <c r="D2413" t="s">
        <v>174</v>
      </c>
      <c r="E2413" t="s">
        <v>211</v>
      </c>
      <c r="F2413" t="s">
        <v>99</v>
      </c>
      <c r="H2413" t="s">
        <v>99</v>
      </c>
      <c r="I2413">
        <v>2</v>
      </c>
      <c r="J2413" t="s">
        <v>115</v>
      </c>
      <c r="K2413" s="19">
        <v>0.95833333333333337</v>
      </c>
      <c r="L2413" s="19">
        <v>0.27083333333333331</v>
      </c>
      <c r="M2413">
        <v>7.5</v>
      </c>
      <c r="N2413">
        <v>400.2</v>
      </c>
      <c r="O2413">
        <v>0</v>
      </c>
      <c r="P2413">
        <v>0</v>
      </c>
      <c r="Q2413" t="s">
        <v>99</v>
      </c>
      <c r="R2413">
        <v>30</v>
      </c>
      <c r="S2413" s="19">
        <v>8.3333333333333329E-2</v>
      </c>
      <c r="U2413" s="19"/>
      <c r="V2413" t="s">
        <v>99</v>
      </c>
      <c r="W2413">
        <v>7</v>
      </c>
      <c r="X2413" t="s">
        <v>102</v>
      </c>
      <c r="Y2413" t="b">
        <v>0</v>
      </c>
    </row>
    <row r="2414" spans="1:25" x14ac:dyDescent="0.55000000000000004">
      <c r="A2414" t="s">
        <v>94</v>
      </c>
      <c r="B2414" t="s">
        <v>474</v>
      </c>
      <c r="C2414" t="s">
        <v>308</v>
      </c>
      <c r="D2414" t="s">
        <v>174</v>
      </c>
      <c r="E2414" t="s">
        <v>211</v>
      </c>
      <c r="F2414" t="s">
        <v>99</v>
      </c>
      <c r="H2414" t="s">
        <v>99</v>
      </c>
      <c r="I2414">
        <v>2</v>
      </c>
      <c r="J2414" t="s">
        <v>116</v>
      </c>
      <c r="K2414" s="19">
        <v>0.95833333333333337</v>
      </c>
      <c r="L2414" s="19">
        <v>0.27083333333333331</v>
      </c>
      <c r="M2414">
        <v>7.5</v>
      </c>
      <c r="N2414">
        <v>288.48</v>
      </c>
      <c r="O2414">
        <v>0</v>
      </c>
      <c r="P2414">
        <v>0</v>
      </c>
      <c r="Q2414" t="s">
        <v>99</v>
      </c>
      <c r="R2414">
        <v>30</v>
      </c>
      <c r="S2414" s="19">
        <v>8.3333333333333329E-2</v>
      </c>
      <c r="U2414" s="19"/>
      <c r="V2414" t="s">
        <v>99</v>
      </c>
      <c r="W2414">
        <v>7</v>
      </c>
      <c r="X2414" t="s">
        <v>102</v>
      </c>
      <c r="Y2414" t="b">
        <v>0</v>
      </c>
    </row>
    <row r="2415" spans="1:25" x14ac:dyDescent="0.55000000000000004">
      <c r="A2415" t="s">
        <v>94</v>
      </c>
      <c r="B2415" t="s">
        <v>474</v>
      </c>
      <c r="C2415" t="s">
        <v>308</v>
      </c>
      <c r="D2415" t="s">
        <v>174</v>
      </c>
      <c r="E2415" t="s">
        <v>211</v>
      </c>
      <c r="F2415" t="s">
        <v>99</v>
      </c>
      <c r="H2415" t="s">
        <v>99</v>
      </c>
      <c r="I2415">
        <v>2</v>
      </c>
      <c r="J2415" t="s">
        <v>103</v>
      </c>
      <c r="K2415" s="19">
        <v>0.95833333333333337</v>
      </c>
      <c r="L2415" s="19">
        <v>0.27083333333333331</v>
      </c>
      <c r="M2415">
        <v>7.5</v>
      </c>
      <c r="N2415">
        <v>268.47000000000003</v>
      </c>
      <c r="O2415">
        <v>0</v>
      </c>
      <c r="P2415">
        <v>0</v>
      </c>
      <c r="Q2415" t="s">
        <v>99</v>
      </c>
      <c r="R2415">
        <v>30</v>
      </c>
      <c r="S2415" s="19">
        <v>8.3333333333333329E-2</v>
      </c>
      <c r="U2415" s="19"/>
      <c r="V2415" t="s">
        <v>99</v>
      </c>
      <c r="W2415">
        <v>7</v>
      </c>
      <c r="X2415" t="s">
        <v>102</v>
      </c>
      <c r="Y2415" t="b">
        <v>0</v>
      </c>
    </row>
    <row r="2416" spans="1:25" x14ac:dyDescent="0.55000000000000004">
      <c r="A2416" t="s">
        <v>94</v>
      </c>
      <c r="B2416" t="s">
        <v>474</v>
      </c>
      <c r="C2416" t="s">
        <v>308</v>
      </c>
      <c r="D2416" t="s">
        <v>174</v>
      </c>
      <c r="E2416" t="s">
        <v>211</v>
      </c>
      <c r="F2416" t="s">
        <v>99</v>
      </c>
      <c r="H2416" t="s">
        <v>99</v>
      </c>
      <c r="I2416">
        <v>2</v>
      </c>
      <c r="J2416" t="s">
        <v>104</v>
      </c>
      <c r="K2416" s="19">
        <v>0.95833333333333337</v>
      </c>
      <c r="L2416" s="19">
        <v>0.27083333333333331</v>
      </c>
      <c r="M2416">
        <v>7.5</v>
      </c>
      <c r="N2416">
        <v>268.47000000000003</v>
      </c>
      <c r="O2416">
        <v>0</v>
      </c>
      <c r="P2416">
        <v>0</v>
      </c>
      <c r="Q2416" t="s">
        <v>99</v>
      </c>
      <c r="R2416">
        <v>30</v>
      </c>
      <c r="S2416" s="19">
        <v>8.3333333333333329E-2</v>
      </c>
      <c r="U2416" s="19"/>
      <c r="V2416" t="s">
        <v>99</v>
      </c>
      <c r="W2416">
        <v>7</v>
      </c>
      <c r="X2416" t="s">
        <v>102</v>
      </c>
      <c r="Y2416" t="b">
        <v>0</v>
      </c>
    </row>
    <row r="2417" spans="1:25" x14ac:dyDescent="0.55000000000000004">
      <c r="A2417" t="s">
        <v>94</v>
      </c>
      <c r="B2417" t="s">
        <v>474</v>
      </c>
      <c r="C2417" t="s">
        <v>308</v>
      </c>
      <c r="D2417" t="s">
        <v>174</v>
      </c>
      <c r="E2417" t="s">
        <v>211</v>
      </c>
      <c r="F2417" t="s">
        <v>99</v>
      </c>
      <c r="H2417" t="s">
        <v>99</v>
      </c>
      <c r="I2417">
        <v>2</v>
      </c>
      <c r="J2417" t="s">
        <v>105</v>
      </c>
      <c r="K2417" s="19">
        <v>0.95833333333333337</v>
      </c>
      <c r="L2417" s="19">
        <v>0.27083333333333331</v>
      </c>
      <c r="M2417">
        <v>7.5</v>
      </c>
      <c r="N2417">
        <v>268.47000000000003</v>
      </c>
      <c r="O2417">
        <v>0</v>
      </c>
      <c r="P2417">
        <v>0</v>
      </c>
      <c r="Q2417" t="s">
        <v>99</v>
      </c>
      <c r="R2417">
        <v>30</v>
      </c>
      <c r="S2417" s="19">
        <v>8.3333333333333329E-2</v>
      </c>
      <c r="U2417" s="19"/>
      <c r="V2417" t="s">
        <v>99</v>
      </c>
      <c r="W2417">
        <v>7</v>
      </c>
      <c r="X2417" t="s">
        <v>102</v>
      </c>
      <c r="Y2417" t="b">
        <v>0</v>
      </c>
    </row>
    <row r="2418" spans="1:25" x14ac:dyDescent="0.55000000000000004">
      <c r="A2418" t="s">
        <v>94</v>
      </c>
      <c r="B2418" t="s">
        <v>474</v>
      </c>
      <c r="C2418" t="s">
        <v>308</v>
      </c>
      <c r="D2418" t="s">
        <v>174</v>
      </c>
      <c r="E2418" t="s">
        <v>211</v>
      </c>
      <c r="F2418" t="s">
        <v>99</v>
      </c>
      <c r="G2418">
        <v>13187</v>
      </c>
      <c r="H2418" t="s">
        <v>491</v>
      </c>
      <c r="I2418">
        <v>1</v>
      </c>
      <c r="J2418" t="s">
        <v>107</v>
      </c>
      <c r="K2418" s="19">
        <v>0.9375</v>
      </c>
      <c r="L2418" s="19">
        <v>0.29166666666666669</v>
      </c>
      <c r="M2418">
        <v>8.5</v>
      </c>
      <c r="N2418">
        <v>402.89</v>
      </c>
      <c r="O2418">
        <v>64</v>
      </c>
      <c r="P2418">
        <v>76</v>
      </c>
      <c r="Q2418" t="s">
        <v>99</v>
      </c>
      <c r="R2418">
        <v>30</v>
      </c>
      <c r="S2418" s="19">
        <v>0</v>
      </c>
      <c r="T2418">
        <v>0</v>
      </c>
      <c r="U2418" s="19">
        <v>0.54166666666666663</v>
      </c>
      <c r="V2418" t="s">
        <v>99</v>
      </c>
      <c r="W2418">
        <v>8</v>
      </c>
      <c r="X2418" t="s">
        <v>102</v>
      </c>
      <c r="Y2418" t="b">
        <v>0</v>
      </c>
    </row>
    <row r="2419" spans="1:25" x14ac:dyDescent="0.55000000000000004">
      <c r="A2419" t="s">
        <v>94</v>
      </c>
      <c r="B2419" t="s">
        <v>474</v>
      </c>
      <c r="C2419" t="s">
        <v>308</v>
      </c>
      <c r="D2419" t="s">
        <v>174</v>
      </c>
      <c r="E2419" t="s">
        <v>211</v>
      </c>
      <c r="F2419" t="s">
        <v>99</v>
      </c>
      <c r="G2419">
        <v>13187</v>
      </c>
      <c r="H2419" t="s">
        <v>491</v>
      </c>
      <c r="I2419">
        <v>1</v>
      </c>
      <c r="J2419" t="s">
        <v>101</v>
      </c>
      <c r="K2419" s="19">
        <v>0.9375</v>
      </c>
      <c r="L2419" s="19">
        <v>0.29166666666666669</v>
      </c>
      <c r="M2419">
        <v>8.5</v>
      </c>
      <c r="N2419">
        <v>323.01</v>
      </c>
      <c r="O2419">
        <v>64</v>
      </c>
      <c r="P2419">
        <v>76</v>
      </c>
      <c r="Q2419" t="s">
        <v>99</v>
      </c>
      <c r="R2419">
        <v>30</v>
      </c>
      <c r="S2419" s="19">
        <v>0</v>
      </c>
      <c r="T2419">
        <v>0</v>
      </c>
      <c r="U2419" s="19">
        <v>0.54166666666666663</v>
      </c>
      <c r="V2419" t="s">
        <v>99</v>
      </c>
      <c r="W2419">
        <v>8</v>
      </c>
      <c r="X2419" t="s">
        <v>102</v>
      </c>
      <c r="Y2419" t="b">
        <v>0</v>
      </c>
    </row>
    <row r="2420" spans="1:25" x14ac:dyDescent="0.55000000000000004">
      <c r="A2420" t="s">
        <v>94</v>
      </c>
      <c r="B2420" t="s">
        <v>474</v>
      </c>
      <c r="C2420" t="s">
        <v>308</v>
      </c>
      <c r="D2420" t="s">
        <v>174</v>
      </c>
      <c r="E2420" t="s">
        <v>211</v>
      </c>
      <c r="F2420" t="s">
        <v>99</v>
      </c>
      <c r="G2420">
        <v>13187</v>
      </c>
      <c r="H2420" t="s">
        <v>491</v>
      </c>
      <c r="I2420">
        <v>1</v>
      </c>
      <c r="J2420" t="s">
        <v>115</v>
      </c>
      <c r="K2420" s="19">
        <v>0.9375</v>
      </c>
      <c r="L2420" s="19">
        <v>0.29166666666666669</v>
      </c>
      <c r="M2420">
        <v>8.5</v>
      </c>
      <c r="N2420">
        <v>478.37</v>
      </c>
      <c r="O2420">
        <v>64</v>
      </c>
      <c r="P2420">
        <v>76</v>
      </c>
      <c r="Q2420" t="s">
        <v>99</v>
      </c>
      <c r="R2420">
        <v>30</v>
      </c>
      <c r="S2420" s="19">
        <v>0</v>
      </c>
      <c r="T2420">
        <v>0</v>
      </c>
      <c r="U2420" s="19">
        <v>0.54166666666666663</v>
      </c>
      <c r="V2420" t="s">
        <v>99</v>
      </c>
      <c r="W2420">
        <v>8</v>
      </c>
      <c r="X2420" t="s">
        <v>102</v>
      </c>
      <c r="Y2420" t="b">
        <v>0</v>
      </c>
    </row>
    <row r="2421" spans="1:25" x14ac:dyDescent="0.55000000000000004">
      <c r="A2421" t="s">
        <v>94</v>
      </c>
      <c r="B2421" t="s">
        <v>474</v>
      </c>
      <c r="C2421" t="s">
        <v>308</v>
      </c>
      <c r="D2421" t="s">
        <v>174</v>
      </c>
      <c r="E2421" t="s">
        <v>211</v>
      </c>
      <c r="F2421" t="s">
        <v>99</v>
      </c>
      <c r="G2421">
        <v>13187</v>
      </c>
      <c r="H2421" t="s">
        <v>491</v>
      </c>
      <c r="I2421">
        <v>1</v>
      </c>
      <c r="J2421" t="s">
        <v>116</v>
      </c>
      <c r="K2421" s="19">
        <v>0.9375</v>
      </c>
      <c r="L2421" s="19">
        <v>0.29166666666666669</v>
      </c>
      <c r="M2421">
        <v>8.5</v>
      </c>
      <c r="N2421">
        <v>354.61</v>
      </c>
      <c r="O2421">
        <v>64</v>
      </c>
      <c r="P2421">
        <v>76</v>
      </c>
      <c r="Q2421" t="s">
        <v>99</v>
      </c>
      <c r="R2421">
        <v>30</v>
      </c>
      <c r="S2421" s="19">
        <v>0</v>
      </c>
      <c r="T2421">
        <v>0</v>
      </c>
      <c r="U2421" s="19">
        <v>0.54166666666666663</v>
      </c>
      <c r="V2421" t="s">
        <v>99</v>
      </c>
      <c r="W2421">
        <v>8</v>
      </c>
      <c r="X2421" t="s">
        <v>102</v>
      </c>
      <c r="Y2421" t="b">
        <v>0</v>
      </c>
    </row>
    <row r="2422" spans="1:25" x14ac:dyDescent="0.55000000000000004">
      <c r="A2422" t="s">
        <v>94</v>
      </c>
      <c r="B2422" t="s">
        <v>474</v>
      </c>
      <c r="C2422" t="s">
        <v>308</v>
      </c>
      <c r="D2422" t="s">
        <v>174</v>
      </c>
      <c r="E2422" t="s">
        <v>211</v>
      </c>
      <c r="F2422" t="s">
        <v>99</v>
      </c>
      <c r="G2422">
        <v>13187</v>
      </c>
      <c r="H2422" t="s">
        <v>491</v>
      </c>
      <c r="I2422">
        <v>1</v>
      </c>
      <c r="J2422" t="s">
        <v>103</v>
      </c>
      <c r="K2422" s="19">
        <v>0.9375</v>
      </c>
      <c r="L2422" s="19">
        <v>0.29166666666666669</v>
      </c>
      <c r="M2422">
        <v>8.5</v>
      </c>
      <c r="N2422">
        <v>323.01</v>
      </c>
      <c r="O2422">
        <v>64</v>
      </c>
      <c r="P2422">
        <v>76</v>
      </c>
      <c r="Q2422" t="s">
        <v>99</v>
      </c>
      <c r="R2422">
        <v>30</v>
      </c>
      <c r="S2422" s="19">
        <v>0</v>
      </c>
      <c r="T2422">
        <v>0</v>
      </c>
      <c r="U2422" s="19">
        <v>0.54166666666666663</v>
      </c>
      <c r="V2422" t="s">
        <v>99</v>
      </c>
      <c r="W2422">
        <v>8</v>
      </c>
      <c r="X2422" t="s">
        <v>102</v>
      </c>
      <c r="Y2422" t="b">
        <v>0</v>
      </c>
    </row>
    <row r="2423" spans="1:25" x14ac:dyDescent="0.55000000000000004">
      <c r="A2423" t="s">
        <v>94</v>
      </c>
      <c r="B2423" t="s">
        <v>474</v>
      </c>
      <c r="C2423" t="s">
        <v>308</v>
      </c>
      <c r="D2423" t="s">
        <v>174</v>
      </c>
      <c r="E2423" t="s">
        <v>211</v>
      </c>
      <c r="F2423" t="s">
        <v>99</v>
      </c>
      <c r="G2423">
        <v>13187</v>
      </c>
      <c r="H2423" t="s">
        <v>491</v>
      </c>
      <c r="I2423">
        <v>2</v>
      </c>
      <c r="J2423" t="s">
        <v>107</v>
      </c>
      <c r="K2423" s="19">
        <v>0.9375</v>
      </c>
      <c r="L2423" s="19">
        <v>0.29166666666666669</v>
      </c>
      <c r="M2423">
        <v>8.5</v>
      </c>
      <c r="N2423">
        <v>631.1</v>
      </c>
      <c r="O2423">
        <v>64</v>
      </c>
      <c r="P2423">
        <v>76</v>
      </c>
      <c r="Q2423" t="s">
        <v>99</v>
      </c>
      <c r="R2423">
        <v>30</v>
      </c>
      <c r="S2423" s="19">
        <v>0</v>
      </c>
      <c r="T2423">
        <v>0</v>
      </c>
      <c r="U2423" s="19">
        <v>0.54166666666666663</v>
      </c>
      <c r="V2423" t="s">
        <v>99</v>
      </c>
      <c r="W2423">
        <v>8</v>
      </c>
      <c r="X2423" t="s">
        <v>102</v>
      </c>
      <c r="Y2423" t="b">
        <v>0</v>
      </c>
    </row>
    <row r="2424" spans="1:25" x14ac:dyDescent="0.55000000000000004">
      <c r="A2424" t="s">
        <v>94</v>
      </c>
      <c r="B2424" t="s">
        <v>474</v>
      </c>
      <c r="C2424" t="s">
        <v>308</v>
      </c>
      <c r="D2424" t="s">
        <v>174</v>
      </c>
      <c r="E2424" t="s">
        <v>211</v>
      </c>
      <c r="F2424" t="s">
        <v>99</v>
      </c>
      <c r="G2424">
        <v>13187</v>
      </c>
      <c r="H2424" t="s">
        <v>491</v>
      </c>
      <c r="I2424">
        <v>2</v>
      </c>
      <c r="J2424" t="s">
        <v>101</v>
      </c>
      <c r="K2424" s="19">
        <v>0.9375</v>
      </c>
      <c r="L2424" s="19">
        <v>0.29166666666666669</v>
      </c>
      <c r="M2424">
        <v>8.5</v>
      </c>
      <c r="N2424">
        <v>323.01</v>
      </c>
      <c r="O2424">
        <v>64</v>
      </c>
      <c r="P2424">
        <v>76</v>
      </c>
      <c r="Q2424" t="s">
        <v>99</v>
      </c>
      <c r="R2424">
        <v>30</v>
      </c>
      <c r="S2424" s="19">
        <v>0</v>
      </c>
      <c r="T2424">
        <v>0</v>
      </c>
      <c r="U2424" s="19">
        <v>0.54166666666666663</v>
      </c>
      <c r="V2424" t="s">
        <v>99</v>
      </c>
      <c r="W2424">
        <v>8</v>
      </c>
      <c r="X2424" t="s">
        <v>102</v>
      </c>
      <c r="Y2424" t="b">
        <v>0</v>
      </c>
    </row>
    <row r="2425" spans="1:25" x14ac:dyDescent="0.55000000000000004">
      <c r="A2425" t="s">
        <v>94</v>
      </c>
      <c r="B2425" t="s">
        <v>474</v>
      </c>
      <c r="C2425" t="s">
        <v>308</v>
      </c>
      <c r="D2425" t="s">
        <v>174</v>
      </c>
      <c r="E2425" t="s">
        <v>211</v>
      </c>
      <c r="F2425" t="s">
        <v>99</v>
      </c>
      <c r="G2425">
        <v>13187</v>
      </c>
      <c r="H2425" t="s">
        <v>491</v>
      </c>
      <c r="I2425">
        <v>2</v>
      </c>
      <c r="J2425" t="s">
        <v>115</v>
      </c>
      <c r="K2425" s="19">
        <v>0.9375</v>
      </c>
      <c r="L2425" s="19">
        <v>0.29166666666666669</v>
      </c>
      <c r="M2425">
        <v>8.5</v>
      </c>
      <c r="N2425">
        <v>531.04</v>
      </c>
      <c r="O2425">
        <v>64</v>
      </c>
      <c r="P2425">
        <v>76</v>
      </c>
      <c r="Q2425" t="s">
        <v>99</v>
      </c>
      <c r="R2425">
        <v>30</v>
      </c>
      <c r="S2425" s="19">
        <v>0</v>
      </c>
      <c r="T2425">
        <v>0</v>
      </c>
      <c r="U2425" s="19">
        <v>0.54166666666666663</v>
      </c>
      <c r="V2425" t="s">
        <v>99</v>
      </c>
      <c r="W2425">
        <v>8</v>
      </c>
      <c r="X2425" t="s">
        <v>102</v>
      </c>
      <c r="Y2425" t="b">
        <v>0</v>
      </c>
    </row>
    <row r="2426" spans="1:25" x14ac:dyDescent="0.55000000000000004">
      <c r="A2426" t="s">
        <v>94</v>
      </c>
      <c r="B2426" t="s">
        <v>474</v>
      </c>
      <c r="C2426" t="s">
        <v>308</v>
      </c>
      <c r="D2426" t="s">
        <v>174</v>
      </c>
      <c r="E2426" t="s">
        <v>211</v>
      </c>
      <c r="F2426" t="s">
        <v>99</v>
      </c>
      <c r="G2426">
        <v>13187</v>
      </c>
      <c r="H2426" t="s">
        <v>491</v>
      </c>
      <c r="I2426">
        <v>2</v>
      </c>
      <c r="J2426" t="s">
        <v>116</v>
      </c>
      <c r="K2426" s="19">
        <v>0.9375</v>
      </c>
      <c r="L2426" s="19">
        <v>0.29166666666666669</v>
      </c>
      <c r="M2426">
        <v>8.5</v>
      </c>
      <c r="N2426">
        <v>662.7</v>
      </c>
      <c r="O2426">
        <v>64</v>
      </c>
      <c r="P2426">
        <v>76</v>
      </c>
      <c r="Q2426" t="s">
        <v>99</v>
      </c>
      <c r="R2426">
        <v>30</v>
      </c>
      <c r="S2426" s="19">
        <v>0</v>
      </c>
      <c r="T2426">
        <v>0</v>
      </c>
      <c r="U2426" s="19">
        <v>0.54166666666666663</v>
      </c>
      <c r="V2426" t="s">
        <v>99</v>
      </c>
      <c r="W2426">
        <v>8</v>
      </c>
      <c r="X2426" t="s">
        <v>102</v>
      </c>
      <c r="Y2426" t="b">
        <v>0</v>
      </c>
    </row>
    <row r="2427" spans="1:25" x14ac:dyDescent="0.55000000000000004">
      <c r="A2427" t="s">
        <v>94</v>
      </c>
      <c r="B2427" t="s">
        <v>474</v>
      </c>
      <c r="C2427" t="s">
        <v>308</v>
      </c>
      <c r="D2427" t="s">
        <v>174</v>
      </c>
      <c r="E2427" t="s">
        <v>211</v>
      </c>
      <c r="F2427" t="s">
        <v>99</v>
      </c>
      <c r="G2427">
        <v>15701</v>
      </c>
      <c r="H2427" t="s">
        <v>492</v>
      </c>
      <c r="I2427">
        <v>2</v>
      </c>
      <c r="J2427" t="s">
        <v>103</v>
      </c>
      <c r="K2427" s="19">
        <v>0.9375</v>
      </c>
      <c r="L2427" s="19">
        <v>0.29166666666666669</v>
      </c>
      <c r="M2427">
        <v>8.5</v>
      </c>
      <c r="N2427">
        <v>326.77999999999997</v>
      </c>
      <c r="O2427">
        <v>30</v>
      </c>
      <c r="P2427">
        <v>76</v>
      </c>
      <c r="Q2427" t="s">
        <v>99</v>
      </c>
      <c r="R2427">
        <v>30</v>
      </c>
      <c r="S2427" s="19">
        <v>0</v>
      </c>
      <c r="T2427">
        <v>0</v>
      </c>
      <c r="U2427" s="19">
        <v>0.54166666666666663</v>
      </c>
      <c r="V2427" t="s">
        <v>99</v>
      </c>
      <c r="W2427">
        <v>8</v>
      </c>
      <c r="X2427" t="s">
        <v>102</v>
      </c>
      <c r="Y2427" t="b">
        <v>0</v>
      </c>
    </row>
    <row r="2428" spans="1:25" x14ac:dyDescent="0.55000000000000004">
      <c r="A2428" t="s">
        <v>94</v>
      </c>
      <c r="B2428" t="s">
        <v>474</v>
      </c>
      <c r="C2428" t="s">
        <v>308</v>
      </c>
      <c r="D2428" t="s">
        <v>174</v>
      </c>
      <c r="E2428" t="s">
        <v>211</v>
      </c>
      <c r="F2428" t="s">
        <v>99</v>
      </c>
      <c r="G2428">
        <v>15701</v>
      </c>
      <c r="H2428" t="s">
        <v>492</v>
      </c>
      <c r="I2428">
        <v>2</v>
      </c>
      <c r="J2428" t="s">
        <v>104</v>
      </c>
      <c r="K2428" s="19">
        <v>0.9375</v>
      </c>
      <c r="L2428" s="19">
        <v>0.29166666666666669</v>
      </c>
      <c r="M2428">
        <v>8.5</v>
      </c>
      <c r="N2428">
        <v>326.77999999999997</v>
      </c>
      <c r="O2428">
        <v>30</v>
      </c>
      <c r="P2428">
        <v>76</v>
      </c>
      <c r="Q2428" t="s">
        <v>99</v>
      </c>
      <c r="R2428">
        <v>30</v>
      </c>
      <c r="S2428" s="19">
        <v>0</v>
      </c>
      <c r="T2428">
        <v>0</v>
      </c>
      <c r="U2428" s="19">
        <v>0.54166666666666663</v>
      </c>
      <c r="V2428" t="s">
        <v>99</v>
      </c>
      <c r="W2428">
        <v>8</v>
      </c>
      <c r="X2428" t="s">
        <v>102</v>
      </c>
      <c r="Y2428" t="b">
        <v>0</v>
      </c>
    </row>
    <row r="2429" spans="1:25" x14ac:dyDescent="0.55000000000000004">
      <c r="A2429" t="s">
        <v>94</v>
      </c>
      <c r="B2429" t="s">
        <v>474</v>
      </c>
      <c r="C2429" t="s">
        <v>308</v>
      </c>
      <c r="D2429" t="s">
        <v>174</v>
      </c>
      <c r="E2429" t="s">
        <v>211</v>
      </c>
      <c r="F2429" t="s">
        <v>99</v>
      </c>
      <c r="G2429">
        <v>15701</v>
      </c>
      <c r="H2429" t="s">
        <v>492</v>
      </c>
      <c r="I2429">
        <v>2</v>
      </c>
      <c r="J2429" t="s">
        <v>105</v>
      </c>
      <c r="K2429" s="19">
        <v>0.9375</v>
      </c>
      <c r="L2429" s="19">
        <v>0.29166666666666669</v>
      </c>
      <c r="M2429">
        <v>8.5</v>
      </c>
      <c r="N2429">
        <v>326.77999999999997</v>
      </c>
      <c r="O2429">
        <v>30</v>
      </c>
      <c r="P2429">
        <v>76</v>
      </c>
      <c r="Q2429" t="s">
        <v>99</v>
      </c>
      <c r="R2429">
        <v>30</v>
      </c>
      <c r="S2429" s="19">
        <v>0</v>
      </c>
      <c r="T2429">
        <v>0</v>
      </c>
      <c r="U2429" s="19">
        <v>0.54166666666666663</v>
      </c>
      <c r="V2429" t="s">
        <v>99</v>
      </c>
      <c r="W2429">
        <v>8</v>
      </c>
      <c r="X2429" t="s">
        <v>102</v>
      </c>
      <c r="Y2429" t="b">
        <v>0</v>
      </c>
    </row>
    <row r="2430" spans="1:25" x14ac:dyDescent="0.55000000000000004">
      <c r="A2430" t="s">
        <v>94</v>
      </c>
      <c r="B2430" t="s">
        <v>474</v>
      </c>
      <c r="C2430" t="s">
        <v>308</v>
      </c>
      <c r="D2430" t="s">
        <v>174</v>
      </c>
      <c r="E2430" t="s">
        <v>211</v>
      </c>
      <c r="F2430" t="s">
        <v>99</v>
      </c>
      <c r="G2430">
        <v>23133</v>
      </c>
      <c r="H2430" t="s">
        <v>479</v>
      </c>
      <c r="I2430">
        <v>1</v>
      </c>
      <c r="J2430" t="s">
        <v>104</v>
      </c>
      <c r="K2430" s="19">
        <v>0.9375</v>
      </c>
      <c r="L2430" s="19">
        <v>0.29166666666666669</v>
      </c>
      <c r="M2430">
        <v>8.5</v>
      </c>
      <c r="N2430">
        <v>323.01</v>
      </c>
      <c r="O2430">
        <v>76</v>
      </c>
      <c r="P2430">
        <v>76</v>
      </c>
      <c r="Q2430" t="s">
        <v>99</v>
      </c>
      <c r="R2430">
        <v>30</v>
      </c>
      <c r="S2430" s="19">
        <v>0</v>
      </c>
      <c r="T2430">
        <v>0</v>
      </c>
      <c r="U2430" s="19">
        <v>0.54166666666666663</v>
      </c>
      <c r="V2430" t="s">
        <v>99</v>
      </c>
      <c r="W2430">
        <v>8</v>
      </c>
      <c r="X2430" t="s">
        <v>102</v>
      </c>
      <c r="Y2430" t="b">
        <v>0</v>
      </c>
    </row>
    <row r="2431" spans="1:25" x14ac:dyDescent="0.55000000000000004">
      <c r="A2431" t="s">
        <v>94</v>
      </c>
      <c r="B2431" t="s">
        <v>474</v>
      </c>
      <c r="C2431" t="s">
        <v>308</v>
      </c>
      <c r="D2431" t="s">
        <v>174</v>
      </c>
      <c r="E2431" t="s">
        <v>211</v>
      </c>
      <c r="F2431" t="s">
        <v>99</v>
      </c>
      <c r="G2431">
        <v>23133</v>
      </c>
      <c r="H2431" t="s">
        <v>479</v>
      </c>
      <c r="I2431">
        <v>1</v>
      </c>
      <c r="J2431" t="s">
        <v>105</v>
      </c>
      <c r="K2431" s="19">
        <v>0.9375</v>
      </c>
      <c r="L2431" s="19">
        <v>0.29166666666666669</v>
      </c>
      <c r="M2431">
        <v>8.5</v>
      </c>
      <c r="N2431">
        <v>323.01</v>
      </c>
      <c r="O2431">
        <v>76</v>
      </c>
      <c r="P2431">
        <v>76</v>
      </c>
      <c r="Q2431" t="s">
        <v>99</v>
      </c>
      <c r="R2431">
        <v>30</v>
      </c>
      <c r="S2431" s="19">
        <v>0</v>
      </c>
      <c r="T2431">
        <v>0</v>
      </c>
      <c r="U2431" s="19">
        <v>0.54166666666666663</v>
      </c>
      <c r="V2431" t="s">
        <v>99</v>
      </c>
      <c r="W2431">
        <v>8</v>
      </c>
      <c r="X2431" t="s">
        <v>102</v>
      </c>
      <c r="Y2431" t="b">
        <v>0</v>
      </c>
    </row>
    <row r="2432" spans="1:25" x14ac:dyDescent="0.55000000000000004">
      <c r="A2432" t="s">
        <v>94</v>
      </c>
      <c r="B2432" t="s">
        <v>474</v>
      </c>
      <c r="C2432" t="s">
        <v>308</v>
      </c>
      <c r="D2432" t="s">
        <v>174</v>
      </c>
      <c r="E2432" t="s">
        <v>211</v>
      </c>
      <c r="F2432" t="s">
        <v>99</v>
      </c>
      <c r="G2432">
        <v>23867</v>
      </c>
      <c r="H2432" t="s">
        <v>480</v>
      </c>
      <c r="I2432">
        <v>1</v>
      </c>
      <c r="J2432" t="s">
        <v>115</v>
      </c>
      <c r="K2432" s="19">
        <v>0.9375</v>
      </c>
      <c r="L2432" s="19">
        <v>0.29166666666666669</v>
      </c>
      <c r="M2432">
        <v>8.5</v>
      </c>
      <c r="N2432">
        <v>478.37</v>
      </c>
      <c r="O2432">
        <v>76</v>
      </c>
      <c r="P2432">
        <v>76</v>
      </c>
      <c r="Q2432" t="s">
        <v>99</v>
      </c>
      <c r="R2432">
        <v>30</v>
      </c>
      <c r="S2432" s="19">
        <v>0</v>
      </c>
      <c r="T2432">
        <v>0</v>
      </c>
      <c r="U2432" s="19">
        <v>0.54166666666666663</v>
      </c>
      <c r="V2432" t="s">
        <v>99</v>
      </c>
      <c r="W2432">
        <v>8</v>
      </c>
      <c r="X2432" t="s">
        <v>102</v>
      </c>
      <c r="Y2432" t="b">
        <v>0</v>
      </c>
    </row>
    <row r="2433" spans="1:25" x14ac:dyDescent="0.55000000000000004">
      <c r="A2433" t="s">
        <v>94</v>
      </c>
      <c r="B2433" t="s">
        <v>474</v>
      </c>
      <c r="C2433" t="s">
        <v>308</v>
      </c>
      <c r="D2433" t="s">
        <v>174</v>
      </c>
      <c r="E2433" t="s">
        <v>211</v>
      </c>
      <c r="F2433" t="s">
        <v>99</v>
      </c>
      <c r="G2433">
        <v>23867</v>
      </c>
      <c r="H2433" t="s">
        <v>480</v>
      </c>
      <c r="I2433">
        <v>1</v>
      </c>
      <c r="J2433" t="s">
        <v>116</v>
      </c>
      <c r="K2433" s="19">
        <v>0.9375</v>
      </c>
      <c r="L2433" s="19">
        <v>0.29166666666666669</v>
      </c>
      <c r="M2433">
        <v>8.5</v>
      </c>
      <c r="N2433">
        <v>354.61</v>
      </c>
      <c r="O2433">
        <v>76</v>
      </c>
      <c r="P2433">
        <v>76</v>
      </c>
      <c r="Q2433" t="s">
        <v>99</v>
      </c>
      <c r="R2433">
        <v>30</v>
      </c>
      <c r="S2433" s="19">
        <v>0</v>
      </c>
      <c r="T2433">
        <v>0</v>
      </c>
      <c r="U2433" s="19">
        <v>0.54166666666666663</v>
      </c>
      <c r="V2433" t="s">
        <v>99</v>
      </c>
      <c r="W2433">
        <v>8</v>
      </c>
      <c r="X2433" t="s">
        <v>102</v>
      </c>
      <c r="Y2433" t="b">
        <v>0</v>
      </c>
    </row>
    <row r="2434" spans="1:25" x14ac:dyDescent="0.55000000000000004">
      <c r="A2434" t="s">
        <v>94</v>
      </c>
      <c r="B2434" t="s">
        <v>474</v>
      </c>
      <c r="C2434" t="s">
        <v>308</v>
      </c>
      <c r="D2434" t="s">
        <v>174</v>
      </c>
      <c r="E2434" t="s">
        <v>211</v>
      </c>
      <c r="F2434" t="s">
        <v>99</v>
      </c>
      <c r="G2434">
        <v>24056</v>
      </c>
      <c r="H2434" t="s">
        <v>493</v>
      </c>
      <c r="I2434">
        <v>1</v>
      </c>
      <c r="J2434" t="s">
        <v>107</v>
      </c>
      <c r="K2434" s="19">
        <v>0.9375</v>
      </c>
      <c r="L2434" s="19">
        <v>0.29166666666666669</v>
      </c>
      <c r="M2434">
        <v>8.5</v>
      </c>
      <c r="N2434">
        <v>382.69</v>
      </c>
      <c r="O2434">
        <v>76</v>
      </c>
      <c r="P2434">
        <v>76</v>
      </c>
      <c r="Q2434" t="s">
        <v>99</v>
      </c>
      <c r="R2434">
        <v>30</v>
      </c>
      <c r="S2434" s="19">
        <v>0</v>
      </c>
      <c r="T2434">
        <v>0</v>
      </c>
      <c r="U2434" s="19">
        <v>0.54166666666666663</v>
      </c>
      <c r="V2434" t="s">
        <v>99</v>
      </c>
      <c r="W2434">
        <v>8</v>
      </c>
      <c r="X2434" t="s">
        <v>102</v>
      </c>
      <c r="Y2434" t="b">
        <v>0</v>
      </c>
    </row>
    <row r="2435" spans="1:25" x14ac:dyDescent="0.55000000000000004">
      <c r="A2435" t="s">
        <v>94</v>
      </c>
      <c r="B2435" t="s">
        <v>474</v>
      </c>
      <c r="C2435" t="s">
        <v>308</v>
      </c>
      <c r="D2435" t="s">
        <v>174</v>
      </c>
      <c r="E2435" t="s">
        <v>211</v>
      </c>
      <c r="F2435" t="s">
        <v>99</v>
      </c>
      <c r="G2435">
        <v>24056</v>
      </c>
      <c r="H2435" t="s">
        <v>493</v>
      </c>
      <c r="I2435">
        <v>1</v>
      </c>
      <c r="J2435" t="s">
        <v>101</v>
      </c>
      <c r="K2435" s="19">
        <v>0.9375</v>
      </c>
      <c r="L2435" s="19">
        <v>0.29166666666666669</v>
      </c>
      <c r="M2435">
        <v>8.5</v>
      </c>
      <c r="N2435">
        <v>306.82</v>
      </c>
      <c r="O2435">
        <v>76</v>
      </c>
      <c r="P2435">
        <v>76</v>
      </c>
      <c r="Q2435" t="s">
        <v>99</v>
      </c>
      <c r="R2435">
        <v>30</v>
      </c>
      <c r="S2435" s="19">
        <v>0</v>
      </c>
      <c r="T2435">
        <v>0</v>
      </c>
      <c r="U2435" s="19">
        <v>0.54166666666666663</v>
      </c>
      <c r="V2435" t="s">
        <v>99</v>
      </c>
      <c r="W2435">
        <v>8</v>
      </c>
      <c r="X2435" t="s">
        <v>102</v>
      </c>
      <c r="Y2435" t="b">
        <v>0</v>
      </c>
    </row>
    <row r="2436" spans="1:25" x14ac:dyDescent="0.55000000000000004">
      <c r="A2436" t="s">
        <v>94</v>
      </c>
      <c r="B2436" t="s">
        <v>474</v>
      </c>
      <c r="C2436" t="s">
        <v>308</v>
      </c>
      <c r="D2436" t="s">
        <v>174</v>
      </c>
      <c r="E2436" t="s">
        <v>211</v>
      </c>
      <c r="F2436" t="s">
        <v>99</v>
      </c>
      <c r="G2436">
        <v>24056</v>
      </c>
      <c r="H2436" t="s">
        <v>493</v>
      </c>
      <c r="I2436">
        <v>1</v>
      </c>
      <c r="J2436" t="s">
        <v>103</v>
      </c>
      <c r="K2436" s="19">
        <v>0.9375</v>
      </c>
      <c r="L2436" s="19">
        <v>0.29166666666666669</v>
      </c>
      <c r="M2436">
        <v>8.5</v>
      </c>
      <c r="N2436">
        <v>306.82</v>
      </c>
      <c r="O2436">
        <v>76</v>
      </c>
      <c r="P2436">
        <v>76</v>
      </c>
      <c r="Q2436" t="s">
        <v>99</v>
      </c>
      <c r="R2436">
        <v>30</v>
      </c>
      <c r="S2436" s="19">
        <v>0</v>
      </c>
      <c r="T2436">
        <v>0</v>
      </c>
      <c r="U2436" s="19">
        <v>0.54166666666666663</v>
      </c>
      <c r="V2436" t="s">
        <v>99</v>
      </c>
      <c r="W2436">
        <v>8</v>
      </c>
      <c r="X2436" t="s">
        <v>102</v>
      </c>
      <c r="Y2436" t="b">
        <v>0</v>
      </c>
    </row>
    <row r="2437" spans="1:25" x14ac:dyDescent="0.55000000000000004">
      <c r="A2437" t="s">
        <v>94</v>
      </c>
      <c r="B2437" t="s">
        <v>474</v>
      </c>
      <c r="C2437" t="s">
        <v>308</v>
      </c>
      <c r="D2437" t="s">
        <v>174</v>
      </c>
      <c r="E2437" t="s">
        <v>211</v>
      </c>
      <c r="F2437" t="s">
        <v>99</v>
      </c>
      <c r="G2437">
        <v>24056</v>
      </c>
      <c r="H2437" t="s">
        <v>493</v>
      </c>
      <c r="I2437">
        <v>1</v>
      </c>
      <c r="J2437" t="s">
        <v>104</v>
      </c>
      <c r="K2437" s="19">
        <v>0.9375</v>
      </c>
      <c r="L2437" s="19">
        <v>0.29166666666666669</v>
      </c>
      <c r="M2437">
        <v>8.5</v>
      </c>
      <c r="N2437">
        <v>306.82</v>
      </c>
      <c r="O2437">
        <v>76</v>
      </c>
      <c r="P2437">
        <v>76</v>
      </c>
      <c r="Q2437" t="s">
        <v>99</v>
      </c>
      <c r="R2437">
        <v>30</v>
      </c>
      <c r="S2437" s="19">
        <v>0</v>
      </c>
      <c r="T2437">
        <v>0</v>
      </c>
      <c r="U2437" s="19">
        <v>0.54166666666666663</v>
      </c>
      <c r="V2437" t="s">
        <v>99</v>
      </c>
      <c r="W2437">
        <v>8</v>
      </c>
      <c r="X2437" t="s">
        <v>102</v>
      </c>
      <c r="Y2437" t="b">
        <v>0</v>
      </c>
    </row>
    <row r="2438" spans="1:25" x14ac:dyDescent="0.55000000000000004">
      <c r="A2438" t="s">
        <v>94</v>
      </c>
      <c r="B2438" t="s">
        <v>474</v>
      </c>
      <c r="C2438" t="s">
        <v>308</v>
      </c>
      <c r="D2438" t="s">
        <v>174</v>
      </c>
      <c r="E2438" t="s">
        <v>211</v>
      </c>
      <c r="F2438" t="s">
        <v>99</v>
      </c>
      <c r="G2438">
        <v>24056</v>
      </c>
      <c r="H2438" t="s">
        <v>493</v>
      </c>
      <c r="I2438">
        <v>1</v>
      </c>
      <c r="J2438" t="s">
        <v>105</v>
      </c>
      <c r="K2438" s="19">
        <v>0.9375</v>
      </c>
      <c r="L2438" s="19">
        <v>0.29166666666666669</v>
      </c>
      <c r="M2438">
        <v>8.5</v>
      </c>
      <c r="N2438">
        <v>306.82</v>
      </c>
      <c r="O2438">
        <v>76</v>
      </c>
      <c r="P2438">
        <v>76</v>
      </c>
      <c r="Q2438" t="s">
        <v>99</v>
      </c>
      <c r="R2438">
        <v>30</v>
      </c>
      <c r="S2438" s="19">
        <v>0</v>
      </c>
      <c r="T2438">
        <v>0</v>
      </c>
      <c r="U2438" s="19">
        <v>0.54166666666666663</v>
      </c>
      <c r="V2438" t="s">
        <v>99</v>
      </c>
      <c r="W2438">
        <v>8</v>
      </c>
      <c r="X2438" t="s">
        <v>102</v>
      </c>
      <c r="Y2438" t="b">
        <v>0</v>
      </c>
    </row>
    <row r="2439" spans="1:25" x14ac:dyDescent="0.55000000000000004">
      <c r="A2439" t="s">
        <v>94</v>
      </c>
      <c r="B2439" t="s">
        <v>474</v>
      </c>
      <c r="C2439" t="s">
        <v>308</v>
      </c>
      <c r="D2439" t="s">
        <v>174</v>
      </c>
      <c r="E2439" t="s">
        <v>211</v>
      </c>
      <c r="F2439" t="s">
        <v>99</v>
      </c>
      <c r="G2439">
        <v>24056</v>
      </c>
      <c r="H2439" t="s">
        <v>493</v>
      </c>
      <c r="I2439">
        <v>2</v>
      </c>
      <c r="J2439" t="s">
        <v>107</v>
      </c>
      <c r="K2439" s="19">
        <v>0.9375</v>
      </c>
      <c r="L2439" s="19">
        <v>0.29166666666666669</v>
      </c>
      <c r="M2439">
        <v>8.5</v>
      </c>
      <c r="N2439">
        <v>599.47</v>
      </c>
      <c r="O2439">
        <v>76</v>
      </c>
      <c r="P2439">
        <v>76</v>
      </c>
      <c r="Q2439" t="s">
        <v>99</v>
      </c>
      <c r="R2439">
        <v>30</v>
      </c>
      <c r="S2439" s="19">
        <v>0</v>
      </c>
      <c r="T2439">
        <v>0</v>
      </c>
      <c r="U2439" s="19">
        <v>0.54166666666666663</v>
      </c>
      <c r="V2439" t="s">
        <v>99</v>
      </c>
      <c r="W2439">
        <v>8</v>
      </c>
      <c r="X2439" t="s">
        <v>102</v>
      </c>
      <c r="Y2439" t="b">
        <v>0</v>
      </c>
    </row>
    <row r="2440" spans="1:25" x14ac:dyDescent="0.55000000000000004">
      <c r="A2440" t="s">
        <v>94</v>
      </c>
      <c r="B2440" t="s">
        <v>474</v>
      </c>
      <c r="C2440" t="s">
        <v>308</v>
      </c>
      <c r="D2440" t="s">
        <v>174</v>
      </c>
      <c r="E2440" t="s">
        <v>211</v>
      </c>
      <c r="F2440" t="s">
        <v>99</v>
      </c>
      <c r="G2440">
        <v>24056</v>
      </c>
      <c r="H2440" t="s">
        <v>493</v>
      </c>
      <c r="I2440">
        <v>2</v>
      </c>
      <c r="J2440" t="s">
        <v>103</v>
      </c>
      <c r="K2440" s="19">
        <v>0.9375</v>
      </c>
      <c r="L2440" s="19">
        <v>0.29166666666666669</v>
      </c>
      <c r="M2440">
        <v>8.5</v>
      </c>
      <c r="N2440">
        <v>306.82</v>
      </c>
      <c r="O2440">
        <v>76</v>
      </c>
      <c r="P2440">
        <v>76</v>
      </c>
      <c r="Q2440" t="s">
        <v>99</v>
      </c>
      <c r="R2440">
        <v>30</v>
      </c>
      <c r="S2440" s="19">
        <v>0</v>
      </c>
      <c r="T2440">
        <v>0</v>
      </c>
      <c r="U2440" s="19">
        <v>0.54166666666666663</v>
      </c>
      <c r="V2440" t="s">
        <v>99</v>
      </c>
      <c r="W2440">
        <v>8</v>
      </c>
      <c r="X2440" t="s">
        <v>102</v>
      </c>
      <c r="Y2440" t="b">
        <v>0</v>
      </c>
    </row>
    <row r="2441" spans="1:25" x14ac:dyDescent="0.55000000000000004">
      <c r="A2441" t="s">
        <v>94</v>
      </c>
      <c r="B2441" t="s">
        <v>474</v>
      </c>
      <c r="C2441" t="s">
        <v>308</v>
      </c>
      <c r="D2441" t="s">
        <v>174</v>
      </c>
      <c r="E2441" t="s">
        <v>211</v>
      </c>
      <c r="F2441" t="s">
        <v>99</v>
      </c>
      <c r="G2441">
        <v>24056</v>
      </c>
      <c r="H2441" t="s">
        <v>493</v>
      </c>
      <c r="I2441">
        <v>2</v>
      </c>
      <c r="J2441" t="s">
        <v>105</v>
      </c>
      <c r="K2441" s="19">
        <v>0.9375</v>
      </c>
      <c r="L2441" s="19">
        <v>0.29166666666666669</v>
      </c>
      <c r="M2441">
        <v>8.5</v>
      </c>
      <c r="N2441">
        <v>306.82</v>
      </c>
      <c r="O2441">
        <v>76</v>
      </c>
      <c r="P2441">
        <v>76</v>
      </c>
      <c r="Q2441" t="s">
        <v>99</v>
      </c>
      <c r="R2441">
        <v>30</v>
      </c>
      <c r="S2441" s="19">
        <v>0</v>
      </c>
      <c r="T2441">
        <v>0</v>
      </c>
      <c r="U2441" s="19">
        <v>0.54166666666666663</v>
      </c>
      <c r="V2441" t="s">
        <v>99</v>
      </c>
      <c r="W2441">
        <v>8</v>
      </c>
      <c r="X2441" t="s">
        <v>102</v>
      </c>
      <c r="Y2441" t="b">
        <v>0</v>
      </c>
    </row>
    <row r="2442" spans="1:25" x14ac:dyDescent="0.55000000000000004">
      <c r="A2442" t="s">
        <v>94</v>
      </c>
      <c r="B2442" t="s">
        <v>474</v>
      </c>
      <c r="C2442" t="s">
        <v>308</v>
      </c>
      <c r="D2442" t="s">
        <v>174</v>
      </c>
      <c r="E2442" t="s">
        <v>211</v>
      </c>
      <c r="F2442" t="s">
        <v>99</v>
      </c>
      <c r="G2442">
        <v>24821</v>
      </c>
      <c r="H2442" t="s">
        <v>484</v>
      </c>
      <c r="I2442">
        <v>2</v>
      </c>
      <c r="J2442" t="s">
        <v>115</v>
      </c>
      <c r="K2442" s="19">
        <v>0.9375</v>
      </c>
      <c r="L2442" s="19">
        <v>0.29166666666666669</v>
      </c>
      <c r="M2442">
        <v>8.5</v>
      </c>
      <c r="N2442">
        <v>548.59</v>
      </c>
      <c r="O2442">
        <v>76</v>
      </c>
      <c r="P2442">
        <v>76</v>
      </c>
      <c r="Q2442" t="s">
        <v>99</v>
      </c>
      <c r="R2442">
        <v>30</v>
      </c>
      <c r="S2442" s="19">
        <v>0</v>
      </c>
      <c r="T2442">
        <v>0</v>
      </c>
      <c r="U2442" s="19">
        <v>0.54166666666666663</v>
      </c>
      <c r="V2442" t="s">
        <v>99</v>
      </c>
      <c r="W2442">
        <v>8</v>
      </c>
      <c r="X2442" t="s">
        <v>102</v>
      </c>
      <c r="Y2442" t="b">
        <v>0</v>
      </c>
    </row>
    <row r="2443" spans="1:25" x14ac:dyDescent="0.55000000000000004">
      <c r="A2443" t="s">
        <v>94</v>
      </c>
      <c r="B2443" t="s">
        <v>474</v>
      </c>
      <c r="C2443" t="s">
        <v>308</v>
      </c>
      <c r="D2443" t="s">
        <v>174</v>
      </c>
      <c r="E2443" t="s">
        <v>211</v>
      </c>
      <c r="F2443" t="s">
        <v>99</v>
      </c>
      <c r="G2443">
        <v>24821</v>
      </c>
      <c r="H2443" t="s">
        <v>484</v>
      </c>
      <c r="I2443">
        <v>2</v>
      </c>
      <c r="J2443" t="s">
        <v>116</v>
      </c>
      <c r="K2443" s="19">
        <v>0.9375</v>
      </c>
      <c r="L2443" s="19">
        <v>0.29166666666666669</v>
      </c>
      <c r="M2443">
        <v>8.5</v>
      </c>
      <c r="N2443">
        <v>675.87</v>
      </c>
      <c r="O2443">
        <v>76</v>
      </c>
      <c r="P2443">
        <v>76</v>
      </c>
      <c r="Q2443" t="s">
        <v>99</v>
      </c>
      <c r="R2443">
        <v>30</v>
      </c>
      <c r="S2443" s="19">
        <v>0</v>
      </c>
      <c r="T2443">
        <v>0</v>
      </c>
      <c r="U2443" s="19">
        <v>0.54166666666666663</v>
      </c>
      <c r="V2443" t="s">
        <v>99</v>
      </c>
      <c r="W2443">
        <v>8</v>
      </c>
      <c r="X2443" t="s">
        <v>102</v>
      </c>
      <c r="Y2443" t="b">
        <v>0</v>
      </c>
    </row>
    <row r="2444" spans="1:25" x14ac:dyDescent="0.55000000000000004">
      <c r="A2444" t="s">
        <v>94</v>
      </c>
      <c r="B2444" t="s">
        <v>474</v>
      </c>
      <c r="C2444" t="s">
        <v>308</v>
      </c>
      <c r="D2444" t="s">
        <v>174</v>
      </c>
      <c r="E2444" t="s">
        <v>211</v>
      </c>
      <c r="F2444" t="s">
        <v>99</v>
      </c>
      <c r="G2444">
        <v>25247</v>
      </c>
      <c r="H2444" t="s">
        <v>487</v>
      </c>
      <c r="I2444">
        <v>2</v>
      </c>
      <c r="J2444" t="s">
        <v>101</v>
      </c>
      <c r="K2444" s="19">
        <v>0.9375</v>
      </c>
      <c r="L2444" s="19">
        <v>0.29166666666666669</v>
      </c>
      <c r="M2444">
        <v>8.5</v>
      </c>
      <c r="N2444">
        <v>323.01</v>
      </c>
      <c r="O2444">
        <v>64</v>
      </c>
      <c r="P2444">
        <v>76</v>
      </c>
      <c r="Q2444" t="s">
        <v>99</v>
      </c>
      <c r="R2444">
        <v>30</v>
      </c>
      <c r="S2444" s="19">
        <v>0</v>
      </c>
      <c r="T2444">
        <v>0</v>
      </c>
      <c r="U2444" s="19">
        <v>0.54166666666666663</v>
      </c>
      <c r="V2444" t="s">
        <v>99</v>
      </c>
      <c r="W2444">
        <v>8</v>
      </c>
      <c r="X2444" t="s">
        <v>102</v>
      </c>
      <c r="Y2444" t="b">
        <v>0</v>
      </c>
    </row>
    <row r="2445" spans="1:25" x14ac:dyDescent="0.55000000000000004">
      <c r="A2445" t="s">
        <v>94</v>
      </c>
      <c r="B2445" t="s">
        <v>474</v>
      </c>
      <c r="C2445" t="s">
        <v>308</v>
      </c>
      <c r="D2445" t="s">
        <v>174</v>
      </c>
      <c r="E2445" t="s">
        <v>211</v>
      </c>
      <c r="F2445" t="s">
        <v>99</v>
      </c>
      <c r="G2445">
        <v>25247</v>
      </c>
      <c r="H2445" t="s">
        <v>487</v>
      </c>
      <c r="I2445">
        <v>2</v>
      </c>
      <c r="J2445" t="s">
        <v>104</v>
      </c>
      <c r="K2445" s="19">
        <v>0.9375</v>
      </c>
      <c r="L2445" s="19">
        <v>0.29166666666666669</v>
      </c>
      <c r="M2445">
        <v>8.5</v>
      </c>
      <c r="N2445">
        <v>323.01</v>
      </c>
      <c r="O2445">
        <v>64</v>
      </c>
      <c r="P2445">
        <v>76</v>
      </c>
      <c r="Q2445" t="s">
        <v>99</v>
      </c>
      <c r="R2445">
        <v>30</v>
      </c>
      <c r="S2445" s="19">
        <v>0</v>
      </c>
      <c r="T2445">
        <v>0</v>
      </c>
      <c r="U2445" s="19">
        <v>0.54166666666666663</v>
      </c>
      <c r="V2445" t="s">
        <v>99</v>
      </c>
      <c r="W2445">
        <v>8</v>
      </c>
      <c r="X2445" t="s">
        <v>102</v>
      </c>
      <c r="Y2445" t="b">
        <v>0</v>
      </c>
    </row>
    <row r="2446" spans="1:25" x14ac:dyDescent="0.55000000000000004">
      <c r="A2446" t="s">
        <v>94</v>
      </c>
      <c r="B2446" t="s">
        <v>474</v>
      </c>
      <c r="C2446" t="s">
        <v>308</v>
      </c>
      <c r="D2446" t="s">
        <v>174</v>
      </c>
      <c r="E2446" t="s">
        <v>222</v>
      </c>
      <c r="F2446" t="s">
        <v>99</v>
      </c>
      <c r="H2446" t="s">
        <v>99</v>
      </c>
      <c r="I2446">
        <v>1</v>
      </c>
      <c r="J2446" t="s">
        <v>103</v>
      </c>
      <c r="K2446" s="19">
        <v>0.625</v>
      </c>
      <c r="L2446" s="19">
        <v>0.875</v>
      </c>
      <c r="M2446">
        <v>6</v>
      </c>
      <c r="N2446">
        <v>206.35</v>
      </c>
      <c r="O2446">
        <v>0</v>
      </c>
      <c r="P2446">
        <v>0</v>
      </c>
      <c r="Q2446" t="s">
        <v>99</v>
      </c>
      <c r="R2446">
        <v>30</v>
      </c>
      <c r="S2446" s="19">
        <v>0.8125</v>
      </c>
      <c r="T2446">
        <v>0</v>
      </c>
      <c r="U2446" s="19">
        <v>0.54166666666666663</v>
      </c>
      <c r="V2446" t="s">
        <v>99</v>
      </c>
      <c r="W2446">
        <v>5.5</v>
      </c>
      <c r="X2446" t="s">
        <v>102</v>
      </c>
      <c r="Y2446" t="b">
        <v>0</v>
      </c>
    </row>
    <row r="2447" spans="1:25" x14ac:dyDescent="0.55000000000000004">
      <c r="A2447" t="s">
        <v>94</v>
      </c>
      <c r="B2447" t="s">
        <v>474</v>
      </c>
      <c r="C2447" t="s">
        <v>308</v>
      </c>
      <c r="D2447" t="s">
        <v>174</v>
      </c>
      <c r="E2447" t="s">
        <v>222</v>
      </c>
      <c r="F2447" t="s">
        <v>99</v>
      </c>
      <c r="H2447" t="s">
        <v>99</v>
      </c>
      <c r="I2447">
        <v>2</v>
      </c>
      <c r="J2447" t="s">
        <v>107</v>
      </c>
      <c r="K2447" s="19">
        <v>0.625</v>
      </c>
      <c r="L2447" s="19">
        <v>0.875</v>
      </c>
      <c r="M2447">
        <v>12</v>
      </c>
      <c r="N2447">
        <v>412.7</v>
      </c>
      <c r="O2447">
        <v>0</v>
      </c>
      <c r="P2447">
        <v>0</v>
      </c>
      <c r="Q2447" t="s">
        <v>99</v>
      </c>
      <c r="R2447">
        <v>60</v>
      </c>
      <c r="S2447" s="19">
        <v>0.8125</v>
      </c>
      <c r="T2447">
        <v>0</v>
      </c>
      <c r="U2447" s="19">
        <v>0.54166666666666663</v>
      </c>
      <c r="V2447" t="s">
        <v>99</v>
      </c>
      <c r="W2447">
        <v>11</v>
      </c>
      <c r="X2447" t="s">
        <v>102</v>
      </c>
      <c r="Y2447" t="b">
        <v>0</v>
      </c>
    </row>
    <row r="2448" spans="1:25" x14ac:dyDescent="0.55000000000000004">
      <c r="A2448" t="s">
        <v>94</v>
      </c>
      <c r="B2448" t="s">
        <v>474</v>
      </c>
      <c r="C2448" t="s">
        <v>308</v>
      </c>
      <c r="D2448" t="s">
        <v>174</v>
      </c>
      <c r="E2448" t="s">
        <v>222</v>
      </c>
      <c r="F2448" t="s">
        <v>99</v>
      </c>
      <c r="H2448" t="s">
        <v>99</v>
      </c>
      <c r="I2448">
        <v>2</v>
      </c>
      <c r="J2448" t="s">
        <v>103</v>
      </c>
      <c r="K2448" s="19">
        <v>0.61458333333333337</v>
      </c>
      <c r="L2448" s="19">
        <v>0.94791666666666663</v>
      </c>
      <c r="M2448">
        <v>8</v>
      </c>
      <c r="N2448">
        <v>281.39</v>
      </c>
      <c r="O2448">
        <v>0</v>
      </c>
      <c r="P2448">
        <v>0</v>
      </c>
      <c r="Q2448" t="s">
        <v>99</v>
      </c>
      <c r="R2448">
        <v>30</v>
      </c>
      <c r="S2448" s="19">
        <v>0.82291666666666663</v>
      </c>
      <c r="T2448">
        <v>0</v>
      </c>
      <c r="U2448" s="19">
        <v>0.54166666666666663</v>
      </c>
      <c r="V2448" t="s">
        <v>99</v>
      </c>
      <c r="W2448">
        <v>7.5</v>
      </c>
      <c r="X2448" t="s">
        <v>102</v>
      </c>
      <c r="Y2448" t="b">
        <v>0</v>
      </c>
    </row>
    <row r="2449" spans="1:25" x14ac:dyDescent="0.55000000000000004">
      <c r="A2449" t="s">
        <v>94</v>
      </c>
      <c r="B2449" t="s">
        <v>474</v>
      </c>
      <c r="C2449" t="s">
        <v>308</v>
      </c>
      <c r="D2449" t="s">
        <v>174</v>
      </c>
      <c r="E2449" t="s">
        <v>222</v>
      </c>
      <c r="F2449" t="s">
        <v>99</v>
      </c>
      <c r="G2449">
        <v>15357</v>
      </c>
      <c r="H2449" t="s">
        <v>494</v>
      </c>
      <c r="I2449">
        <v>1</v>
      </c>
      <c r="J2449" t="s">
        <v>107</v>
      </c>
      <c r="K2449" s="19">
        <v>0.61458333333333337</v>
      </c>
      <c r="L2449" s="19">
        <v>0.94791666666666663</v>
      </c>
      <c r="M2449">
        <v>8</v>
      </c>
      <c r="N2449">
        <v>296.24</v>
      </c>
      <c r="O2449">
        <v>68</v>
      </c>
      <c r="P2449">
        <v>76</v>
      </c>
      <c r="Q2449" t="s">
        <v>99</v>
      </c>
      <c r="R2449">
        <v>30</v>
      </c>
      <c r="S2449" s="19">
        <v>0.82291666666666663</v>
      </c>
      <c r="T2449">
        <v>0</v>
      </c>
      <c r="U2449" s="19">
        <v>0.54166666666666663</v>
      </c>
      <c r="V2449" t="s">
        <v>99</v>
      </c>
      <c r="W2449">
        <v>7.5</v>
      </c>
      <c r="X2449" t="s">
        <v>102</v>
      </c>
      <c r="Y2449" t="b">
        <v>0</v>
      </c>
    </row>
    <row r="2450" spans="1:25" x14ac:dyDescent="0.55000000000000004">
      <c r="A2450" t="s">
        <v>94</v>
      </c>
      <c r="B2450" t="s">
        <v>474</v>
      </c>
      <c r="C2450" t="s">
        <v>308</v>
      </c>
      <c r="D2450" t="s">
        <v>174</v>
      </c>
      <c r="E2450" t="s">
        <v>222</v>
      </c>
      <c r="F2450" t="s">
        <v>99</v>
      </c>
      <c r="G2450">
        <v>15357</v>
      </c>
      <c r="H2450" t="s">
        <v>494</v>
      </c>
      <c r="I2450">
        <v>1</v>
      </c>
      <c r="J2450" t="s">
        <v>101</v>
      </c>
      <c r="K2450" s="19">
        <v>0.61458333333333337</v>
      </c>
      <c r="L2450" s="19">
        <v>0.94791666666666663</v>
      </c>
      <c r="M2450">
        <v>8</v>
      </c>
      <c r="N2450">
        <v>296.24</v>
      </c>
      <c r="O2450">
        <v>68</v>
      </c>
      <c r="P2450">
        <v>76</v>
      </c>
      <c r="Q2450" t="s">
        <v>99</v>
      </c>
      <c r="R2450">
        <v>30</v>
      </c>
      <c r="S2450" s="19">
        <v>0.82291666666666663</v>
      </c>
      <c r="T2450">
        <v>0</v>
      </c>
      <c r="U2450" s="19">
        <v>0.54166666666666663</v>
      </c>
      <c r="V2450" t="s">
        <v>99</v>
      </c>
      <c r="W2450">
        <v>7.5</v>
      </c>
      <c r="X2450" t="s">
        <v>102</v>
      </c>
      <c r="Y2450" t="b">
        <v>0</v>
      </c>
    </row>
    <row r="2451" spans="1:25" x14ac:dyDescent="0.55000000000000004">
      <c r="A2451" t="s">
        <v>94</v>
      </c>
      <c r="B2451" t="s">
        <v>474</v>
      </c>
      <c r="C2451" t="s">
        <v>308</v>
      </c>
      <c r="D2451" t="s">
        <v>174</v>
      </c>
      <c r="E2451" t="s">
        <v>222</v>
      </c>
      <c r="F2451" t="s">
        <v>99</v>
      </c>
      <c r="G2451">
        <v>15357</v>
      </c>
      <c r="H2451" t="s">
        <v>494</v>
      </c>
      <c r="I2451">
        <v>1</v>
      </c>
      <c r="J2451" t="s">
        <v>115</v>
      </c>
      <c r="K2451" s="19">
        <v>0.61458333333333337</v>
      </c>
      <c r="L2451" s="19">
        <v>0.94791666666666663</v>
      </c>
      <c r="M2451">
        <v>8</v>
      </c>
      <c r="N2451">
        <v>394.99</v>
      </c>
      <c r="O2451">
        <v>68</v>
      </c>
      <c r="P2451">
        <v>76</v>
      </c>
      <c r="Q2451" t="s">
        <v>99</v>
      </c>
      <c r="R2451">
        <v>30</v>
      </c>
      <c r="S2451" s="19">
        <v>0.82291666666666663</v>
      </c>
      <c r="T2451">
        <v>0</v>
      </c>
      <c r="U2451" s="19">
        <v>0.54166666666666663</v>
      </c>
      <c r="V2451" t="s">
        <v>99</v>
      </c>
      <c r="W2451">
        <v>7.5</v>
      </c>
      <c r="X2451" t="s">
        <v>102</v>
      </c>
      <c r="Y2451" t="b">
        <v>0</v>
      </c>
    </row>
    <row r="2452" spans="1:25" x14ac:dyDescent="0.55000000000000004">
      <c r="A2452" t="s">
        <v>94</v>
      </c>
      <c r="B2452" t="s">
        <v>474</v>
      </c>
      <c r="C2452" t="s">
        <v>308</v>
      </c>
      <c r="D2452" t="s">
        <v>174</v>
      </c>
      <c r="E2452" t="s">
        <v>222</v>
      </c>
      <c r="F2452" t="s">
        <v>99</v>
      </c>
      <c r="G2452">
        <v>15357</v>
      </c>
      <c r="H2452" t="s">
        <v>494</v>
      </c>
      <c r="I2452">
        <v>1</v>
      </c>
      <c r="J2452" t="s">
        <v>116</v>
      </c>
      <c r="K2452" s="19">
        <v>0.61458333333333337</v>
      </c>
      <c r="L2452" s="19">
        <v>0.94791666666666663</v>
      </c>
      <c r="M2452">
        <v>8</v>
      </c>
      <c r="N2452">
        <v>460.82</v>
      </c>
      <c r="O2452">
        <v>68</v>
      </c>
      <c r="P2452">
        <v>76</v>
      </c>
      <c r="Q2452" t="s">
        <v>99</v>
      </c>
      <c r="R2452">
        <v>30</v>
      </c>
      <c r="S2452" s="19">
        <v>0.82291666666666663</v>
      </c>
      <c r="T2452">
        <v>0</v>
      </c>
      <c r="U2452" s="19">
        <v>0.54166666666666663</v>
      </c>
      <c r="V2452" t="s">
        <v>99</v>
      </c>
      <c r="W2452">
        <v>7.5</v>
      </c>
      <c r="X2452" t="s">
        <v>102</v>
      </c>
      <c r="Y2452" t="b">
        <v>0</v>
      </c>
    </row>
    <row r="2453" spans="1:25" x14ac:dyDescent="0.55000000000000004">
      <c r="A2453" t="s">
        <v>94</v>
      </c>
      <c r="B2453" t="s">
        <v>474</v>
      </c>
      <c r="C2453" t="s">
        <v>308</v>
      </c>
      <c r="D2453" t="s">
        <v>174</v>
      </c>
      <c r="E2453" t="s">
        <v>222</v>
      </c>
      <c r="F2453" t="s">
        <v>99</v>
      </c>
      <c r="G2453">
        <v>15357</v>
      </c>
      <c r="H2453" t="s">
        <v>494</v>
      </c>
      <c r="I2453">
        <v>1</v>
      </c>
      <c r="J2453" t="s">
        <v>103</v>
      </c>
      <c r="K2453" s="19">
        <v>0.61458333333333337</v>
      </c>
      <c r="L2453" s="19">
        <v>0.94791666666666663</v>
      </c>
      <c r="M2453">
        <v>8</v>
      </c>
      <c r="N2453">
        <v>296.24</v>
      </c>
      <c r="O2453">
        <v>68</v>
      </c>
      <c r="P2453">
        <v>76</v>
      </c>
      <c r="Q2453" t="s">
        <v>99</v>
      </c>
      <c r="R2453">
        <v>30</v>
      </c>
      <c r="S2453" s="19">
        <v>0.82291666666666663</v>
      </c>
      <c r="T2453">
        <v>0</v>
      </c>
      <c r="U2453" s="19">
        <v>0.54166666666666663</v>
      </c>
      <c r="V2453" t="s">
        <v>99</v>
      </c>
      <c r="W2453">
        <v>7.5</v>
      </c>
      <c r="X2453" t="s">
        <v>102</v>
      </c>
      <c r="Y2453" t="b">
        <v>0</v>
      </c>
    </row>
    <row r="2454" spans="1:25" x14ac:dyDescent="0.55000000000000004">
      <c r="A2454" t="s">
        <v>94</v>
      </c>
      <c r="B2454" t="s">
        <v>474</v>
      </c>
      <c r="C2454" t="s">
        <v>308</v>
      </c>
      <c r="D2454" t="s">
        <v>174</v>
      </c>
      <c r="E2454" t="s">
        <v>222</v>
      </c>
      <c r="F2454" t="s">
        <v>99</v>
      </c>
      <c r="G2454">
        <v>15357</v>
      </c>
      <c r="H2454" t="s">
        <v>494</v>
      </c>
      <c r="I2454">
        <v>1</v>
      </c>
      <c r="J2454" t="s">
        <v>104</v>
      </c>
      <c r="K2454" s="19">
        <v>0.61458333333333337</v>
      </c>
      <c r="L2454" s="19">
        <v>0.94791666666666663</v>
      </c>
      <c r="M2454">
        <v>8</v>
      </c>
      <c r="N2454">
        <v>296.24</v>
      </c>
      <c r="O2454">
        <v>68</v>
      </c>
      <c r="P2454">
        <v>76</v>
      </c>
      <c r="Q2454" t="s">
        <v>99</v>
      </c>
      <c r="R2454">
        <v>30</v>
      </c>
      <c r="S2454" s="19">
        <v>0.82291666666666663</v>
      </c>
      <c r="T2454">
        <v>0</v>
      </c>
      <c r="U2454" s="19">
        <v>0.54166666666666663</v>
      </c>
      <c r="V2454" t="s">
        <v>99</v>
      </c>
      <c r="W2454">
        <v>7.5</v>
      </c>
      <c r="X2454" t="s">
        <v>102</v>
      </c>
      <c r="Y2454" t="b">
        <v>0</v>
      </c>
    </row>
    <row r="2455" spans="1:25" x14ac:dyDescent="0.55000000000000004">
      <c r="A2455" t="s">
        <v>94</v>
      </c>
      <c r="B2455" t="s">
        <v>474</v>
      </c>
      <c r="C2455" t="s">
        <v>308</v>
      </c>
      <c r="D2455" t="s">
        <v>174</v>
      </c>
      <c r="E2455" t="s">
        <v>222</v>
      </c>
      <c r="F2455" t="s">
        <v>99</v>
      </c>
      <c r="G2455">
        <v>15357</v>
      </c>
      <c r="H2455" t="s">
        <v>494</v>
      </c>
      <c r="I2455">
        <v>2</v>
      </c>
      <c r="J2455" t="s">
        <v>101</v>
      </c>
      <c r="K2455" s="19">
        <v>0.61458333333333337</v>
      </c>
      <c r="L2455" s="19">
        <v>0.94791666666666663</v>
      </c>
      <c r="M2455">
        <v>8</v>
      </c>
      <c r="N2455">
        <v>296.24</v>
      </c>
      <c r="O2455">
        <v>68</v>
      </c>
      <c r="P2455">
        <v>76</v>
      </c>
      <c r="Q2455" t="s">
        <v>99</v>
      </c>
      <c r="R2455">
        <v>30</v>
      </c>
      <c r="S2455" s="19">
        <v>0.82291666666666663</v>
      </c>
      <c r="T2455">
        <v>0</v>
      </c>
      <c r="U2455" s="19">
        <v>0.54166666666666663</v>
      </c>
      <c r="V2455" t="s">
        <v>99</v>
      </c>
      <c r="W2455">
        <v>7.5</v>
      </c>
      <c r="X2455" t="s">
        <v>102</v>
      </c>
      <c r="Y2455" t="b">
        <v>0</v>
      </c>
    </row>
    <row r="2456" spans="1:25" x14ac:dyDescent="0.55000000000000004">
      <c r="A2456" t="s">
        <v>94</v>
      </c>
      <c r="B2456" t="s">
        <v>474</v>
      </c>
      <c r="C2456" t="s">
        <v>308</v>
      </c>
      <c r="D2456" t="s">
        <v>174</v>
      </c>
      <c r="E2456" t="s">
        <v>222</v>
      </c>
      <c r="F2456" t="s">
        <v>99</v>
      </c>
      <c r="G2456">
        <v>15357</v>
      </c>
      <c r="H2456" t="s">
        <v>494</v>
      </c>
      <c r="I2456">
        <v>2</v>
      </c>
      <c r="J2456" t="s">
        <v>115</v>
      </c>
      <c r="K2456" s="19">
        <v>0.61458333333333337</v>
      </c>
      <c r="L2456" s="19">
        <v>0.94791666666666663</v>
      </c>
      <c r="M2456">
        <v>8</v>
      </c>
      <c r="N2456">
        <v>658.31</v>
      </c>
      <c r="O2456">
        <v>68</v>
      </c>
      <c r="P2456">
        <v>76</v>
      </c>
      <c r="Q2456" t="s">
        <v>99</v>
      </c>
      <c r="R2456">
        <v>30</v>
      </c>
      <c r="S2456" s="19">
        <v>0.82291666666666663</v>
      </c>
      <c r="T2456">
        <v>0</v>
      </c>
      <c r="U2456" s="19">
        <v>0.54166666666666663</v>
      </c>
      <c r="V2456" t="s">
        <v>99</v>
      </c>
      <c r="W2456">
        <v>7.5</v>
      </c>
      <c r="X2456" t="s">
        <v>102</v>
      </c>
      <c r="Y2456" t="b">
        <v>0</v>
      </c>
    </row>
    <row r="2457" spans="1:25" x14ac:dyDescent="0.55000000000000004">
      <c r="A2457" t="s">
        <v>94</v>
      </c>
      <c r="B2457" t="s">
        <v>474</v>
      </c>
      <c r="C2457" t="s">
        <v>308</v>
      </c>
      <c r="D2457" t="s">
        <v>174</v>
      </c>
      <c r="E2457" t="s">
        <v>222</v>
      </c>
      <c r="F2457" t="s">
        <v>99</v>
      </c>
      <c r="G2457">
        <v>15357</v>
      </c>
      <c r="H2457" t="s">
        <v>494</v>
      </c>
      <c r="I2457">
        <v>2</v>
      </c>
      <c r="J2457" t="s">
        <v>116</v>
      </c>
      <c r="K2457" s="19">
        <v>0.61458333333333337</v>
      </c>
      <c r="L2457" s="19">
        <v>0.94791666666666663</v>
      </c>
      <c r="M2457">
        <v>8</v>
      </c>
      <c r="N2457">
        <v>460.82</v>
      </c>
      <c r="O2457">
        <v>68</v>
      </c>
      <c r="P2457">
        <v>76</v>
      </c>
      <c r="Q2457" t="s">
        <v>99</v>
      </c>
      <c r="R2457">
        <v>30</v>
      </c>
      <c r="S2457" s="19">
        <v>0.82291666666666663</v>
      </c>
      <c r="T2457">
        <v>0</v>
      </c>
      <c r="U2457" s="19">
        <v>0.54166666666666663</v>
      </c>
      <c r="V2457" t="s">
        <v>99</v>
      </c>
      <c r="W2457">
        <v>7.5</v>
      </c>
      <c r="X2457" t="s">
        <v>102</v>
      </c>
      <c r="Y2457" t="b">
        <v>0</v>
      </c>
    </row>
    <row r="2458" spans="1:25" x14ac:dyDescent="0.55000000000000004">
      <c r="A2458" t="s">
        <v>94</v>
      </c>
      <c r="B2458" t="s">
        <v>474</v>
      </c>
      <c r="C2458" t="s">
        <v>308</v>
      </c>
      <c r="D2458" t="s">
        <v>174</v>
      </c>
      <c r="E2458" t="s">
        <v>222</v>
      </c>
      <c r="F2458" t="s">
        <v>99</v>
      </c>
      <c r="G2458">
        <v>15357</v>
      </c>
      <c r="H2458" t="s">
        <v>494</v>
      </c>
      <c r="I2458">
        <v>2</v>
      </c>
      <c r="J2458" t="s">
        <v>103</v>
      </c>
      <c r="K2458" s="19">
        <v>0.625</v>
      </c>
      <c r="L2458" s="19">
        <v>0.875</v>
      </c>
      <c r="M2458">
        <v>6</v>
      </c>
      <c r="N2458">
        <v>217.24</v>
      </c>
      <c r="O2458">
        <v>68</v>
      </c>
      <c r="P2458">
        <v>76</v>
      </c>
      <c r="Q2458" t="s">
        <v>99</v>
      </c>
      <c r="R2458">
        <v>30</v>
      </c>
      <c r="S2458" s="19">
        <v>0.8125</v>
      </c>
      <c r="T2458">
        <v>0</v>
      </c>
      <c r="U2458" s="19">
        <v>0.54166666666666663</v>
      </c>
      <c r="V2458" t="s">
        <v>99</v>
      </c>
      <c r="W2458">
        <v>5.5</v>
      </c>
      <c r="X2458" t="s">
        <v>102</v>
      </c>
      <c r="Y2458" t="b">
        <v>0</v>
      </c>
    </row>
    <row r="2459" spans="1:25" x14ac:dyDescent="0.55000000000000004">
      <c r="A2459" t="s">
        <v>94</v>
      </c>
      <c r="B2459" t="s">
        <v>474</v>
      </c>
      <c r="C2459" t="s">
        <v>308</v>
      </c>
      <c r="D2459" t="s">
        <v>174</v>
      </c>
      <c r="E2459" t="s">
        <v>222</v>
      </c>
      <c r="F2459" t="s">
        <v>99</v>
      </c>
      <c r="G2459">
        <v>15636</v>
      </c>
      <c r="H2459" t="s">
        <v>495</v>
      </c>
      <c r="I2459">
        <v>1</v>
      </c>
      <c r="J2459" t="s">
        <v>107</v>
      </c>
      <c r="K2459" s="19">
        <v>0.625</v>
      </c>
      <c r="L2459" s="19">
        <v>0.875</v>
      </c>
      <c r="M2459">
        <v>6</v>
      </c>
      <c r="N2459">
        <v>217.24</v>
      </c>
      <c r="O2459">
        <v>64</v>
      </c>
      <c r="P2459">
        <v>76</v>
      </c>
      <c r="Q2459" t="s">
        <v>99</v>
      </c>
      <c r="R2459">
        <v>30</v>
      </c>
      <c r="S2459" s="19">
        <v>0.8125</v>
      </c>
      <c r="U2459" s="19"/>
      <c r="V2459" t="s">
        <v>99</v>
      </c>
      <c r="W2459">
        <v>5.5</v>
      </c>
      <c r="X2459" t="s">
        <v>102</v>
      </c>
      <c r="Y2459" t="b">
        <v>0</v>
      </c>
    </row>
    <row r="2460" spans="1:25" x14ac:dyDescent="0.55000000000000004">
      <c r="A2460" t="s">
        <v>94</v>
      </c>
      <c r="B2460" t="s">
        <v>474</v>
      </c>
      <c r="C2460" t="s">
        <v>308</v>
      </c>
      <c r="D2460" t="s">
        <v>174</v>
      </c>
      <c r="E2460" t="s">
        <v>222</v>
      </c>
      <c r="F2460" t="s">
        <v>99</v>
      </c>
      <c r="G2460">
        <v>15636</v>
      </c>
      <c r="H2460" t="s">
        <v>495</v>
      </c>
      <c r="I2460">
        <v>1</v>
      </c>
      <c r="J2460" t="s">
        <v>103</v>
      </c>
      <c r="K2460" s="19">
        <v>0.61458333333333337</v>
      </c>
      <c r="L2460" s="19">
        <v>0.94791666666666663</v>
      </c>
      <c r="M2460">
        <v>8</v>
      </c>
      <c r="N2460">
        <v>296.24</v>
      </c>
      <c r="O2460">
        <v>64</v>
      </c>
      <c r="P2460">
        <v>76</v>
      </c>
      <c r="Q2460" t="s">
        <v>99</v>
      </c>
      <c r="R2460">
        <v>30</v>
      </c>
      <c r="S2460" s="19">
        <v>0.82291666666666663</v>
      </c>
      <c r="T2460">
        <v>0</v>
      </c>
      <c r="U2460" s="19">
        <v>0.54166666666666663</v>
      </c>
      <c r="V2460" t="s">
        <v>99</v>
      </c>
      <c r="W2460">
        <v>7.5</v>
      </c>
      <c r="X2460" t="s">
        <v>102</v>
      </c>
      <c r="Y2460" t="b">
        <v>0</v>
      </c>
    </row>
    <row r="2461" spans="1:25" x14ac:dyDescent="0.55000000000000004">
      <c r="A2461" t="s">
        <v>94</v>
      </c>
      <c r="B2461" t="s">
        <v>474</v>
      </c>
      <c r="C2461" t="s">
        <v>308</v>
      </c>
      <c r="D2461" t="s">
        <v>174</v>
      </c>
      <c r="E2461" t="s">
        <v>222</v>
      </c>
      <c r="F2461" t="s">
        <v>99</v>
      </c>
      <c r="G2461">
        <v>15636</v>
      </c>
      <c r="H2461" t="s">
        <v>495</v>
      </c>
      <c r="I2461">
        <v>1</v>
      </c>
      <c r="J2461" t="s">
        <v>104</v>
      </c>
      <c r="K2461" s="19">
        <v>0.61458333333333337</v>
      </c>
      <c r="L2461" s="19">
        <v>0.94791666666666663</v>
      </c>
      <c r="M2461">
        <v>8</v>
      </c>
      <c r="N2461">
        <v>296.24</v>
      </c>
      <c r="O2461">
        <v>64</v>
      </c>
      <c r="P2461">
        <v>76</v>
      </c>
      <c r="Q2461" t="s">
        <v>99</v>
      </c>
      <c r="R2461">
        <v>30</v>
      </c>
      <c r="S2461" s="19">
        <v>0.82291666666666663</v>
      </c>
      <c r="T2461">
        <v>0</v>
      </c>
      <c r="U2461" s="19">
        <v>0.54166666666666663</v>
      </c>
      <c r="V2461" t="s">
        <v>99</v>
      </c>
      <c r="W2461">
        <v>7.5</v>
      </c>
      <c r="X2461" t="s">
        <v>102</v>
      </c>
      <c r="Y2461" t="b">
        <v>0</v>
      </c>
    </row>
    <row r="2462" spans="1:25" x14ac:dyDescent="0.55000000000000004">
      <c r="A2462" t="s">
        <v>94</v>
      </c>
      <c r="B2462" t="s">
        <v>474</v>
      </c>
      <c r="C2462" t="s">
        <v>308</v>
      </c>
      <c r="D2462" t="s">
        <v>174</v>
      </c>
      <c r="E2462" t="s">
        <v>222</v>
      </c>
      <c r="F2462" t="s">
        <v>99</v>
      </c>
      <c r="G2462">
        <v>15636</v>
      </c>
      <c r="H2462" t="s">
        <v>495</v>
      </c>
      <c r="I2462">
        <v>1</v>
      </c>
      <c r="J2462" t="s">
        <v>105</v>
      </c>
      <c r="K2462" s="19">
        <v>0.61458333333333337</v>
      </c>
      <c r="L2462" s="19">
        <v>0.94791666666666663</v>
      </c>
      <c r="M2462">
        <v>8</v>
      </c>
      <c r="N2462">
        <v>296.24</v>
      </c>
      <c r="O2462">
        <v>64</v>
      </c>
      <c r="P2462">
        <v>76</v>
      </c>
      <c r="Q2462" t="s">
        <v>99</v>
      </c>
      <c r="R2462">
        <v>30</v>
      </c>
      <c r="S2462" s="19">
        <v>0.82291666666666663</v>
      </c>
      <c r="T2462">
        <v>0</v>
      </c>
      <c r="U2462" s="19">
        <v>0.54166666666666663</v>
      </c>
      <c r="V2462" t="s">
        <v>99</v>
      </c>
      <c r="W2462">
        <v>7.5</v>
      </c>
      <c r="X2462" t="s">
        <v>102</v>
      </c>
      <c r="Y2462" t="b">
        <v>0</v>
      </c>
    </row>
    <row r="2463" spans="1:25" x14ac:dyDescent="0.55000000000000004">
      <c r="A2463" t="s">
        <v>94</v>
      </c>
      <c r="B2463" t="s">
        <v>474</v>
      </c>
      <c r="C2463" t="s">
        <v>308</v>
      </c>
      <c r="D2463" t="s">
        <v>174</v>
      </c>
      <c r="E2463" t="s">
        <v>222</v>
      </c>
      <c r="F2463" t="s">
        <v>99</v>
      </c>
      <c r="G2463">
        <v>15636</v>
      </c>
      <c r="H2463" t="s">
        <v>495</v>
      </c>
      <c r="I2463">
        <v>2</v>
      </c>
      <c r="J2463" t="s">
        <v>107</v>
      </c>
      <c r="K2463" s="19">
        <v>0.61458333333333337</v>
      </c>
      <c r="L2463" s="19">
        <v>0.94791666666666663</v>
      </c>
      <c r="M2463">
        <v>8</v>
      </c>
      <c r="N2463">
        <v>296.24</v>
      </c>
      <c r="O2463">
        <v>64</v>
      </c>
      <c r="P2463">
        <v>76</v>
      </c>
      <c r="Q2463" t="s">
        <v>99</v>
      </c>
      <c r="R2463">
        <v>30</v>
      </c>
      <c r="S2463" s="19">
        <v>0.82291666666666663</v>
      </c>
      <c r="T2463">
        <v>0</v>
      </c>
      <c r="U2463" s="19">
        <v>0.54166666666666663</v>
      </c>
      <c r="V2463" t="s">
        <v>99</v>
      </c>
      <c r="W2463">
        <v>7.5</v>
      </c>
      <c r="X2463" t="s">
        <v>102</v>
      </c>
      <c r="Y2463" t="b">
        <v>0</v>
      </c>
    </row>
    <row r="2464" spans="1:25" x14ac:dyDescent="0.55000000000000004">
      <c r="A2464" t="s">
        <v>94</v>
      </c>
      <c r="B2464" t="s">
        <v>474</v>
      </c>
      <c r="C2464" t="s">
        <v>308</v>
      </c>
      <c r="D2464" t="s">
        <v>174</v>
      </c>
      <c r="E2464" t="s">
        <v>222</v>
      </c>
      <c r="F2464" t="s">
        <v>99</v>
      </c>
      <c r="G2464">
        <v>15636</v>
      </c>
      <c r="H2464" t="s">
        <v>495</v>
      </c>
      <c r="I2464">
        <v>2</v>
      </c>
      <c r="J2464" t="s">
        <v>115</v>
      </c>
      <c r="K2464" s="19">
        <v>0.61458333333333337</v>
      </c>
      <c r="L2464" s="19">
        <v>0.94791666666666663</v>
      </c>
      <c r="M2464">
        <v>8</v>
      </c>
      <c r="N2464">
        <v>394.99</v>
      </c>
      <c r="O2464">
        <v>64</v>
      </c>
      <c r="P2464">
        <v>76</v>
      </c>
      <c r="Q2464" t="s">
        <v>99</v>
      </c>
      <c r="R2464">
        <v>30</v>
      </c>
      <c r="S2464" s="19">
        <v>0.82291666666666663</v>
      </c>
      <c r="T2464">
        <v>0</v>
      </c>
      <c r="U2464" s="19">
        <v>0.54166666666666663</v>
      </c>
      <c r="V2464" t="s">
        <v>99</v>
      </c>
      <c r="W2464">
        <v>7.5</v>
      </c>
      <c r="X2464" t="s">
        <v>102</v>
      </c>
      <c r="Y2464" t="b">
        <v>0</v>
      </c>
    </row>
    <row r="2465" spans="1:25" x14ac:dyDescent="0.55000000000000004">
      <c r="A2465" t="s">
        <v>94</v>
      </c>
      <c r="B2465" t="s">
        <v>474</v>
      </c>
      <c r="C2465" t="s">
        <v>308</v>
      </c>
      <c r="D2465" t="s">
        <v>174</v>
      </c>
      <c r="E2465" t="s">
        <v>222</v>
      </c>
      <c r="F2465" t="s">
        <v>99</v>
      </c>
      <c r="G2465">
        <v>15636</v>
      </c>
      <c r="H2465" t="s">
        <v>495</v>
      </c>
      <c r="I2465">
        <v>2</v>
      </c>
      <c r="J2465" t="s">
        <v>116</v>
      </c>
      <c r="K2465" s="19">
        <v>0.61458333333333337</v>
      </c>
      <c r="L2465" s="19">
        <v>0.94791666666666663</v>
      </c>
      <c r="M2465">
        <v>8</v>
      </c>
      <c r="N2465">
        <v>460.82</v>
      </c>
      <c r="O2465">
        <v>64</v>
      </c>
      <c r="P2465">
        <v>76</v>
      </c>
      <c r="Q2465" t="s">
        <v>99</v>
      </c>
      <c r="R2465">
        <v>30</v>
      </c>
      <c r="S2465" s="19">
        <v>0.82291666666666663</v>
      </c>
      <c r="T2465">
        <v>0</v>
      </c>
      <c r="U2465" s="19">
        <v>0.54166666666666663</v>
      </c>
      <c r="V2465" t="s">
        <v>99</v>
      </c>
      <c r="W2465">
        <v>7.5</v>
      </c>
      <c r="X2465" t="s">
        <v>102</v>
      </c>
      <c r="Y2465" t="b">
        <v>0</v>
      </c>
    </row>
    <row r="2466" spans="1:25" x14ac:dyDescent="0.55000000000000004">
      <c r="A2466" t="s">
        <v>94</v>
      </c>
      <c r="B2466" t="s">
        <v>474</v>
      </c>
      <c r="C2466" t="s">
        <v>308</v>
      </c>
      <c r="D2466" t="s">
        <v>174</v>
      </c>
      <c r="E2466" t="s">
        <v>222</v>
      </c>
      <c r="F2466" t="s">
        <v>99</v>
      </c>
      <c r="G2466">
        <v>15636</v>
      </c>
      <c r="H2466" t="s">
        <v>495</v>
      </c>
      <c r="I2466">
        <v>2</v>
      </c>
      <c r="J2466" t="s">
        <v>104</v>
      </c>
      <c r="K2466" s="19">
        <v>0.61458333333333337</v>
      </c>
      <c r="L2466" s="19">
        <v>0.94791666666666663</v>
      </c>
      <c r="M2466">
        <v>8</v>
      </c>
      <c r="N2466">
        <v>296.24</v>
      </c>
      <c r="O2466">
        <v>64</v>
      </c>
      <c r="P2466">
        <v>76</v>
      </c>
      <c r="Q2466" t="s">
        <v>99</v>
      </c>
      <c r="R2466">
        <v>30</v>
      </c>
      <c r="S2466" s="19">
        <v>0.82291666666666663</v>
      </c>
      <c r="T2466">
        <v>0</v>
      </c>
      <c r="U2466" s="19">
        <v>0.54166666666666663</v>
      </c>
      <c r="V2466" t="s">
        <v>99</v>
      </c>
      <c r="W2466">
        <v>7.5</v>
      </c>
      <c r="X2466" t="s">
        <v>102</v>
      </c>
      <c r="Y2466" t="b">
        <v>0</v>
      </c>
    </row>
    <row r="2467" spans="1:25" x14ac:dyDescent="0.55000000000000004">
      <c r="A2467" t="s">
        <v>94</v>
      </c>
      <c r="B2467" t="s">
        <v>474</v>
      </c>
      <c r="C2467" t="s">
        <v>308</v>
      </c>
      <c r="D2467" t="s">
        <v>174</v>
      </c>
      <c r="E2467" t="s">
        <v>222</v>
      </c>
      <c r="F2467" t="s">
        <v>99</v>
      </c>
      <c r="G2467">
        <v>15636</v>
      </c>
      <c r="H2467" t="s">
        <v>495</v>
      </c>
      <c r="I2467">
        <v>2</v>
      </c>
      <c r="J2467" t="s">
        <v>105</v>
      </c>
      <c r="K2467" s="19">
        <v>0.61458333333333337</v>
      </c>
      <c r="L2467" s="19">
        <v>0.94791666666666663</v>
      </c>
      <c r="M2467">
        <v>8</v>
      </c>
      <c r="N2467">
        <v>296.24</v>
      </c>
      <c r="O2467">
        <v>64</v>
      </c>
      <c r="P2467">
        <v>76</v>
      </c>
      <c r="Q2467" t="s">
        <v>99</v>
      </c>
      <c r="R2467">
        <v>30</v>
      </c>
      <c r="S2467" s="19">
        <v>0.82291666666666663</v>
      </c>
      <c r="T2467">
        <v>0</v>
      </c>
      <c r="U2467" s="19">
        <v>0.54166666666666663</v>
      </c>
      <c r="V2467" t="s">
        <v>99</v>
      </c>
      <c r="W2467">
        <v>7.5</v>
      </c>
      <c r="X2467" t="s">
        <v>102</v>
      </c>
      <c r="Y2467" t="b">
        <v>0</v>
      </c>
    </row>
    <row r="2468" spans="1:25" x14ac:dyDescent="0.55000000000000004">
      <c r="A2468" t="s">
        <v>94</v>
      </c>
      <c r="B2468" t="s">
        <v>474</v>
      </c>
      <c r="C2468" t="s">
        <v>308</v>
      </c>
      <c r="D2468" t="s">
        <v>174</v>
      </c>
      <c r="E2468" t="s">
        <v>222</v>
      </c>
      <c r="F2468" t="s">
        <v>99</v>
      </c>
      <c r="G2468">
        <v>15701</v>
      </c>
      <c r="H2468" t="s">
        <v>492</v>
      </c>
      <c r="I2468">
        <v>1</v>
      </c>
      <c r="J2468" t="s">
        <v>107</v>
      </c>
      <c r="K2468" s="19">
        <v>0.61458333333333337</v>
      </c>
      <c r="L2468" s="19">
        <v>0.94791666666666663</v>
      </c>
      <c r="M2468">
        <v>8</v>
      </c>
      <c r="N2468">
        <v>299.7</v>
      </c>
      <c r="O2468">
        <v>30</v>
      </c>
      <c r="P2468">
        <v>76</v>
      </c>
      <c r="Q2468" t="s">
        <v>99</v>
      </c>
      <c r="R2468">
        <v>30</v>
      </c>
      <c r="S2468" s="19">
        <v>0.82291666666666663</v>
      </c>
      <c r="T2468">
        <v>0</v>
      </c>
      <c r="U2468" s="19">
        <v>0.54166666666666663</v>
      </c>
      <c r="V2468" t="s">
        <v>99</v>
      </c>
      <c r="W2468">
        <v>7.5</v>
      </c>
      <c r="X2468" t="s">
        <v>102</v>
      </c>
      <c r="Y2468" t="b">
        <v>0</v>
      </c>
    </row>
    <row r="2469" spans="1:25" x14ac:dyDescent="0.55000000000000004">
      <c r="A2469" t="s">
        <v>94</v>
      </c>
      <c r="B2469" t="s">
        <v>474</v>
      </c>
      <c r="C2469" t="s">
        <v>308</v>
      </c>
      <c r="D2469" t="s">
        <v>174</v>
      </c>
      <c r="E2469" t="s">
        <v>222</v>
      </c>
      <c r="F2469" t="s">
        <v>99</v>
      </c>
      <c r="G2469">
        <v>15701</v>
      </c>
      <c r="H2469" t="s">
        <v>492</v>
      </c>
      <c r="I2469">
        <v>1</v>
      </c>
      <c r="J2469" t="s">
        <v>105</v>
      </c>
      <c r="K2469" s="19">
        <v>0.61458333333333337</v>
      </c>
      <c r="L2469" s="19">
        <v>0.94791666666666663</v>
      </c>
      <c r="M2469">
        <v>8</v>
      </c>
      <c r="N2469">
        <v>299.7</v>
      </c>
      <c r="O2469">
        <v>30</v>
      </c>
      <c r="P2469">
        <v>76</v>
      </c>
      <c r="Q2469" t="s">
        <v>99</v>
      </c>
      <c r="R2469">
        <v>30</v>
      </c>
      <c r="S2469" s="19">
        <v>0.82291666666666663</v>
      </c>
      <c r="T2469">
        <v>0</v>
      </c>
      <c r="U2469" s="19">
        <v>0.54166666666666663</v>
      </c>
      <c r="V2469" t="s">
        <v>99</v>
      </c>
      <c r="W2469">
        <v>7.5</v>
      </c>
      <c r="X2469" t="s">
        <v>102</v>
      </c>
      <c r="Y2469" t="b">
        <v>0</v>
      </c>
    </row>
    <row r="2470" spans="1:25" x14ac:dyDescent="0.55000000000000004">
      <c r="A2470" t="s">
        <v>94</v>
      </c>
      <c r="B2470" t="s">
        <v>474</v>
      </c>
      <c r="C2470" t="s">
        <v>308</v>
      </c>
      <c r="D2470" t="s">
        <v>174</v>
      </c>
      <c r="E2470" t="s">
        <v>222</v>
      </c>
      <c r="F2470" t="s">
        <v>99</v>
      </c>
      <c r="G2470">
        <v>21354</v>
      </c>
      <c r="H2470" t="s">
        <v>315</v>
      </c>
      <c r="I2470">
        <v>1</v>
      </c>
      <c r="J2470" t="s">
        <v>101</v>
      </c>
      <c r="K2470" s="19">
        <v>0.61458333333333337</v>
      </c>
      <c r="L2470" s="19">
        <v>0.94791666666666663</v>
      </c>
      <c r="M2470">
        <v>8</v>
      </c>
      <c r="N2470">
        <v>296.24</v>
      </c>
      <c r="O2470">
        <v>56</v>
      </c>
      <c r="P2470">
        <v>76</v>
      </c>
      <c r="Q2470" t="s">
        <v>99</v>
      </c>
      <c r="R2470">
        <v>30</v>
      </c>
      <c r="S2470" s="19">
        <v>0.82291666666666663</v>
      </c>
      <c r="T2470">
        <v>0</v>
      </c>
      <c r="U2470" s="19">
        <v>0.54166666666666663</v>
      </c>
      <c r="V2470" t="s">
        <v>99</v>
      </c>
      <c r="W2470">
        <v>7.5</v>
      </c>
      <c r="X2470" t="s">
        <v>102</v>
      </c>
      <c r="Y2470" t="b">
        <v>0</v>
      </c>
    </row>
    <row r="2471" spans="1:25" x14ac:dyDescent="0.55000000000000004">
      <c r="A2471" t="s">
        <v>94</v>
      </c>
      <c r="B2471" t="s">
        <v>474</v>
      </c>
      <c r="C2471" t="s">
        <v>308</v>
      </c>
      <c r="D2471" t="s">
        <v>174</v>
      </c>
      <c r="E2471" t="s">
        <v>222</v>
      </c>
      <c r="F2471" t="s">
        <v>99</v>
      </c>
      <c r="G2471">
        <v>21354</v>
      </c>
      <c r="H2471" t="s">
        <v>315</v>
      </c>
      <c r="I2471">
        <v>1</v>
      </c>
      <c r="J2471" t="s">
        <v>115</v>
      </c>
      <c r="K2471" s="19">
        <v>0.61458333333333337</v>
      </c>
      <c r="L2471" s="19">
        <v>0.94791666666666663</v>
      </c>
      <c r="M2471">
        <v>8</v>
      </c>
      <c r="N2471">
        <v>394.99</v>
      </c>
      <c r="O2471">
        <v>56</v>
      </c>
      <c r="P2471">
        <v>76</v>
      </c>
      <c r="Q2471" t="s">
        <v>99</v>
      </c>
      <c r="R2471">
        <v>30</v>
      </c>
      <c r="S2471" s="19">
        <v>0.82291666666666663</v>
      </c>
      <c r="T2471">
        <v>0</v>
      </c>
      <c r="U2471" s="19">
        <v>0.54166666666666663</v>
      </c>
      <c r="V2471" t="s">
        <v>99</v>
      </c>
      <c r="W2471">
        <v>7.5</v>
      </c>
      <c r="X2471" t="s">
        <v>102</v>
      </c>
      <c r="Y2471" t="b">
        <v>0</v>
      </c>
    </row>
    <row r="2472" spans="1:25" x14ac:dyDescent="0.55000000000000004">
      <c r="A2472" t="s">
        <v>94</v>
      </c>
      <c r="B2472" t="s">
        <v>474</v>
      </c>
      <c r="C2472" t="s">
        <v>308</v>
      </c>
      <c r="D2472" t="s">
        <v>174</v>
      </c>
      <c r="E2472" t="s">
        <v>222</v>
      </c>
      <c r="F2472" t="s">
        <v>99</v>
      </c>
      <c r="G2472">
        <v>21354</v>
      </c>
      <c r="H2472" t="s">
        <v>315</v>
      </c>
      <c r="I2472">
        <v>1</v>
      </c>
      <c r="J2472" t="s">
        <v>116</v>
      </c>
      <c r="K2472" s="19">
        <v>0.61458333333333337</v>
      </c>
      <c r="L2472" s="19">
        <v>0.94791666666666663</v>
      </c>
      <c r="M2472">
        <v>8</v>
      </c>
      <c r="N2472">
        <v>460.82</v>
      </c>
      <c r="O2472">
        <v>56</v>
      </c>
      <c r="P2472">
        <v>76</v>
      </c>
      <c r="Q2472" t="s">
        <v>99</v>
      </c>
      <c r="R2472">
        <v>30</v>
      </c>
      <c r="S2472" s="19">
        <v>0.82291666666666663</v>
      </c>
      <c r="T2472">
        <v>0</v>
      </c>
      <c r="U2472" s="19">
        <v>0.54166666666666663</v>
      </c>
      <c r="V2472" t="s">
        <v>99</v>
      </c>
      <c r="W2472">
        <v>7.5</v>
      </c>
      <c r="X2472" t="s">
        <v>102</v>
      </c>
      <c r="Y2472" t="b">
        <v>0</v>
      </c>
    </row>
    <row r="2473" spans="1:25" x14ac:dyDescent="0.55000000000000004">
      <c r="A2473" t="s">
        <v>94</v>
      </c>
      <c r="B2473" t="s">
        <v>474</v>
      </c>
      <c r="C2473" t="s">
        <v>308</v>
      </c>
      <c r="D2473" t="s">
        <v>174</v>
      </c>
      <c r="E2473" t="s">
        <v>222</v>
      </c>
      <c r="F2473" t="s">
        <v>99</v>
      </c>
      <c r="G2473">
        <v>21354</v>
      </c>
      <c r="H2473" t="s">
        <v>315</v>
      </c>
      <c r="I2473">
        <v>1</v>
      </c>
      <c r="J2473" t="s">
        <v>103</v>
      </c>
      <c r="K2473" s="19">
        <v>0.61458333333333337</v>
      </c>
      <c r="L2473" s="19">
        <v>0.94791666666666663</v>
      </c>
      <c r="M2473">
        <v>8</v>
      </c>
      <c r="N2473">
        <v>296.24</v>
      </c>
      <c r="O2473">
        <v>56</v>
      </c>
      <c r="P2473">
        <v>76</v>
      </c>
      <c r="Q2473" t="s">
        <v>99</v>
      </c>
      <c r="R2473">
        <v>30</v>
      </c>
      <c r="S2473" s="19">
        <v>0.82291666666666663</v>
      </c>
      <c r="T2473">
        <v>0</v>
      </c>
      <c r="U2473" s="19">
        <v>0.54166666666666663</v>
      </c>
      <c r="V2473" t="s">
        <v>99</v>
      </c>
      <c r="W2473">
        <v>7.5</v>
      </c>
      <c r="X2473" t="s">
        <v>102</v>
      </c>
      <c r="Y2473" t="b">
        <v>0</v>
      </c>
    </row>
    <row r="2474" spans="1:25" x14ac:dyDescent="0.55000000000000004">
      <c r="A2474" t="s">
        <v>94</v>
      </c>
      <c r="B2474" t="s">
        <v>474</v>
      </c>
      <c r="C2474" t="s">
        <v>308</v>
      </c>
      <c r="D2474" t="s">
        <v>174</v>
      </c>
      <c r="E2474" t="s">
        <v>222</v>
      </c>
      <c r="F2474" t="s">
        <v>99</v>
      </c>
      <c r="G2474">
        <v>21354</v>
      </c>
      <c r="H2474" t="s">
        <v>315</v>
      </c>
      <c r="I2474">
        <v>1</v>
      </c>
      <c r="J2474" t="s">
        <v>104</v>
      </c>
      <c r="K2474" s="19">
        <v>0.61458333333333337</v>
      </c>
      <c r="L2474" s="19">
        <v>0.94791666666666663</v>
      </c>
      <c r="M2474">
        <v>8</v>
      </c>
      <c r="N2474">
        <v>296.24</v>
      </c>
      <c r="O2474">
        <v>56</v>
      </c>
      <c r="P2474">
        <v>76</v>
      </c>
      <c r="Q2474" t="s">
        <v>99</v>
      </c>
      <c r="R2474">
        <v>30</v>
      </c>
      <c r="S2474" s="19">
        <v>0.82291666666666663</v>
      </c>
      <c r="T2474">
        <v>0</v>
      </c>
      <c r="U2474" s="19">
        <v>0.54166666666666663</v>
      </c>
      <c r="V2474" t="s">
        <v>99</v>
      </c>
      <c r="W2474">
        <v>7.5</v>
      </c>
      <c r="X2474" t="s">
        <v>102</v>
      </c>
      <c r="Y2474" t="b">
        <v>0</v>
      </c>
    </row>
    <row r="2475" spans="1:25" x14ac:dyDescent="0.55000000000000004">
      <c r="A2475" t="s">
        <v>94</v>
      </c>
      <c r="B2475" t="s">
        <v>474</v>
      </c>
      <c r="C2475" t="s">
        <v>308</v>
      </c>
      <c r="D2475" t="s">
        <v>174</v>
      </c>
      <c r="E2475" t="s">
        <v>222</v>
      </c>
      <c r="F2475" t="s">
        <v>99</v>
      </c>
      <c r="G2475">
        <v>21517</v>
      </c>
      <c r="H2475" t="s">
        <v>496</v>
      </c>
      <c r="I2475">
        <v>1</v>
      </c>
      <c r="J2475" t="s">
        <v>115</v>
      </c>
      <c r="K2475" s="19">
        <v>0.625</v>
      </c>
      <c r="L2475" s="19">
        <v>0.875</v>
      </c>
      <c r="M2475">
        <v>6</v>
      </c>
      <c r="N2475">
        <v>289.66000000000003</v>
      </c>
      <c r="O2475">
        <v>30</v>
      </c>
      <c r="P2475">
        <v>76</v>
      </c>
      <c r="Q2475" t="s">
        <v>99</v>
      </c>
      <c r="R2475">
        <v>30</v>
      </c>
      <c r="S2475" s="19">
        <v>0.8125</v>
      </c>
      <c r="T2475">
        <v>0</v>
      </c>
      <c r="U2475" s="19">
        <v>0.54166666666666663</v>
      </c>
      <c r="V2475" t="s">
        <v>99</v>
      </c>
      <c r="W2475">
        <v>5.5</v>
      </c>
      <c r="X2475" t="s">
        <v>102</v>
      </c>
      <c r="Y2475" t="b">
        <v>0</v>
      </c>
    </row>
    <row r="2476" spans="1:25" x14ac:dyDescent="0.55000000000000004">
      <c r="A2476" t="s">
        <v>94</v>
      </c>
      <c r="B2476" t="s">
        <v>474</v>
      </c>
      <c r="C2476" t="s">
        <v>308</v>
      </c>
      <c r="D2476" t="s">
        <v>174</v>
      </c>
      <c r="E2476" t="s">
        <v>222</v>
      </c>
      <c r="F2476" t="s">
        <v>99</v>
      </c>
      <c r="G2476">
        <v>21517</v>
      </c>
      <c r="H2476" t="s">
        <v>496</v>
      </c>
      <c r="I2476">
        <v>1</v>
      </c>
      <c r="J2476" t="s">
        <v>116</v>
      </c>
      <c r="K2476" s="19">
        <v>0.625</v>
      </c>
      <c r="L2476" s="19">
        <v>0.875</v>
      </c>
      <c r="M2476">
        <v>6</v>
      </c>
      <c r="N2476">
        <v>337.93</v>
      </c>
      <c r="O2476">
        <v>30</v>
      </c>
      <c r="P2476">
        <v>76</v>
      </c>
      <c r="Q2476" t="s">
        <v>99</v>
      </c>
      <c r="R2476">
        <v>30</v>
      </c>
      <c r="S2476" s="19">
        <v>0.8125</v>
      </c>
      <c r="T2476">
        <v>0</v>
      </c>
      <c r="U2476" s="19">
        <v>0.54166666666666663</v>
      </c>
      <c r="V2476" t="s">
        <v>99</v>
      </c>
      <c r="W2476">
        <v>5.5</v>
      </c>
      <c r="X2476" t="s">
        <v>102</v>
      </c>
      <c r="Y2476" t="b">
        <v>0</v>
      </c>
    </row>
    <row r="2477" spans="1:25" x14ac:dyDescent="0.55000000000000004">
      <c r="A2477" t="s">
        <v>94</v>
      </c>
      <c r="B2477" t="s">
        <v>474</v>
      </c>
      <c r="C2477" t="s">
        <v>308</v>
      </c>
      <c r="D2477" t="s">
        <v>174</v>
      </c>
      <c r="E2477" t="s">
        <v>222</v>
      </c>
      <c r="F2477" t="s">
        <v>99</v>
      </c>
      <c r="G2477">
        <v>21517</v>
      </c>
      <c r="H2477" t="s">
        <v>496</v>
      </c>
      <c r="I2477">
        <v>1</v>
      </c>
      <c r="J2477" t="s">
        <v>103</v>
      </c>
      <c r="K2477" s="19">
        <v>0.625</v>
      </c>
      <c r="L2477" s="19">
        <v>0.875</v>
      </c>
      <c r="M2477">
        <v>6</v>
      </c>
      <c r="N2477">
        <v>217.24</v>
      </c>
      <c r="O2477">
        <v>30</v>
      </c>
      <c r="P2477">
        <v>76</v>
      </c>
      <c r="Q2477" t="s">
        <v>99</v>
      </c>
      <c r="R2477">
        <v>30</v>
      </c>
      <c r="S2477" s="19">
        <v>0.8125</v>
      </c>
      <c r="T2477">
        <v>0</v>
      </c>
      <c r="U2477" s="19">
        <v>0.54166666666666663</v>
      </c>
      <c r="V2477" t="s">
        <v>99</v>
      </c>
      <c r="W2477">
        <v>5.5</v>
      </c>
      <c r="X2477" t="s">
        <v>102</v>
      </c>
      <c r="Y2477" t="b">
        <v>0</v>
      </c>
    </row>
    <row r="2478" spans="1:25" x14ac:dyDescent="0.55000000000000004">
      <c r="A2478" t="s">
        <v>94</v>
      </c>
      <c r="B2478" t="s">
        <v>474</v>
      </c>
      <c r="C2478" t="s">
        <v>308</v>
      </c>
      <c r="D2478" t="s">
        <v>174</v>
      </c>
      <c r="E2478" t="s">
        <v>222</v>
      </c>
      <c r="F2478" t="s">
        <v>99</v>
      </c>
      <c r="G2478">
        <v>21517</v>
      </c>
      <c r="H2478" t="s">
        <v>496</v>
      </c>
      <c r="I2478">
        <v>1</v>
      </c>
      <c r="J2478" t="s">
        <v>105</v>
      </c>
      <c r="K2478" s="19">
        <v>0.625</v>
      </c>
      <c r="L2478" s="19">
        <v>0.875</v>
      </c>
      <c r="M2478">
        <v>6</v>
      </c>
      <c r="N2478">
        <v>217.24</v>
      </c>
      <c r="O2478">
        <v>30</v>
      </c>
      <c r="P2478">
        <v>76</v>
      </c>
      <c r="Q2478" t="s">
        <v>99</v>
      </c>
      <c r="R2478">
        <v>30</v>
      </c>
      <c r="S2478" s="19">
        <v>0.8125</v>
      </c>
      <c r="T2478">
        <v>0</v>
      </c>
      <c r="U2478" s="19">
        <v>0.54166666666666663</v>
      </c>
      <c r="V2478" t="s">
        <v>99</v>
      </c>
      <c r="W2478">
        <v>5.5</v>
      </c>
      <c r="X2478" t="s">
        <v>102</v>
      </c>
      <c r="Y2478" t="b">
        <v>0</v>
      </c>
    </row>
    <row r="2479" spans="1:25" x14ac:dyDescent="0.55000000000000004">
      <c r="A2479" t="s">
        <v>94</v>
      </c>
      <c r="B2479" t="s">
        <v>474</v>
      </c>
      <c r="C2479" t="s">
        <v>308</v>
      </c>
      <c r="D2479" t="s">
        <v>174</v>
      </c>
      <c r="E2479" t="s">
        <v>222</v>
      </c>
      <c r="F2479" t="s">
        <v>99</v>
      </c>
      <c r="G2479">
        <v>21517</v>
      </c>
      <c r="H2479" t="s">
        <v>496</v>
      </c>
      <c r="I2479">
        <v>2</v>
      </c>
      <c r="J2479" t="s">
        <v>103</v>
      </c>
      <c r="K2479" s="19">
        <v>0.625</v>
      </c>
      <c r="L2479" s="19">
        <v>0.875</v>
      </c>
      <c r="M2479">
        <v>6</v>
      </c>
      <c r="N2479">
        <v>217.24</v>
      </c>
      <c r="O2479">
        <v>30</v>
      </c>
      <c r="P2479">
        <v>76</v>
      </c>
      <c r="Q2479" t="s">
        <v>99</v>
      </c>
      <c r="R2479">
        <v>30</v>
      </c>
      <c r="S2479" s="19">
        <v>0.8125</v>
      </c>
      <c r="T2479">
        <v>0</v>
      </c>
      <c r="U2479" s="19">
        <v>0.54166666666666663</v>
      </c>
      <c r="V2479" t="s">
        <v>99</v>
      </c>
      <c r="W2479">
        <v>5.5</v>
      </c>
      <c r="X2479" t="s">
        <v>102</v>
      </c>
      <c r="Y2479" t="b">
        <v>0</v>
      </c>
    </row>
    <row r="2480" spans="1:25" x14ac:dyDescent="0.55000000000000004">
      <c r="A2480" t="s">
        <v>94</v>
      </c>
      <c r="B2480" t="s">
        <v>474</v>
      </c>
      <c r="C2480" t="s">
        <v>308</v>
      </c>
      <c r="D2480" t="s">
        <v>174</v>
      </c>
      <c r="E2480" t="s">
        <v>222</v>
      </c>
      <c r="F2480" t="s">
        <v>99</v>
      </c>
      <c r="G2480">
        <v>21517</v>
      </c>
      <c r="H2480" t="s">
        <v>496</v>
      </c>
      <c r="I2480">
        <v>2</v>
      </c>
      <c r="J2480" t="s">
        <v>105</v>
      </c>
      <c r="K2480" s="19">
        <v>0.625</v>
      </c>
      <c r="L2480" s="19">
        <v>0.875</v>
      </c>
      <c r="M2480">
        <v>6</v>
      </c>
      <c r="N2480">
        <v>217.24</v>
      </c>
      <c r="O2480">
        <v>30</v>
      </c>
      <c r="P2480">
        <v>76</v>
      </c>
      <c r="Q2480" t="s">
        <v>99</v>
      </c>
      <c r="R2480">
        <v>30</v>
      </c>
      <c r="S2480" s="19">
        <v>0.8125</v>
      </c>
      <c r="T2480">
        <v>0</v>
      </c>
      <c r="U2480" s="19">
        <v>0.54166666666666663</v>
      </c>
      <c r="V2480" t="s">
        <v>99</v>
      </c>
      <c r="W2480">
        <v>5.5</v>
      </c>
      <c r="X2480" t="s">
        <v>102</v>
      </c>
      <c r="Y2480" t="b">
        <v>0</v>
      </c>
    </row>
    <row r="2481" spans="1:25" x14ac:dyDescent="0.55000000000000004">
      <c r="A2481" t="s">
        <v>94</v>
      </c>
      <c r="B2481" t="s">
        <v>474</v>
      </c>
      <c r="C2481" t="s">
        <v>308</v>
      </c>
      <c r="D2481" t="s">
        <v>174</v>
      </c>
      <c r="E2481" t="s">
        <v>222</v>
      </c>
      <c r="F2481" t="s">
        <v>99</v>
      </c>
      <c r="G2481">
        <v>23132</v>
      </c>
      <c r="H2481" t="s">
        <v>478</v>
      </c>
      <c r="I2481">
        <v>1</v>
      </c>
      <c r="J2481" t="s">
        <v>101</v>
      </c>
      <c r="K2481" s="19">
        <v>0.60416666666666663</v>
      </c>
      <c r="L2481" s="19">
        <v>0.95833333333333337</v>
      </c>
      <c r="M2481">
        <v>8.5</v>
      </c>
      <c r="N2481">
        <v>315.99</v>
      </c>
      <c r="O2481">
        <v>76</v>
      </c>
      <c r="P2481">
        <v>76</v>
      </c>
      <c r="Q2481" t="s">
        <v>99</v>
      </c>
      <c r="R2481">
        <v>30</v>
      </c>
      <c r="S2481" s="19">
        <v>0.8125</v>
      </c>
      <c r="T2481">
        <v>0</v>
      </c>
      <c r="U2481" s="19">
        <v>0.54166666666666663</v>
      </c>
      <c r="V2481" t="s">
        <v>99</v>
      </c>
      <c r="W2481">
        <v>8</v>
      </c>
      <c r="X2481" t="s">
        <v>102</v>
      </c>
      <c r="Y2481" t="b">
        <v>0</v>
      </c>
    </row>
    <row r="2482" spans="1:25" x14ac:dyDescent="0.55000000000000004">
      <c r="A2482" t="s">
        <v>94</v>
      </c>
      <c r="B2482" t="s">
        <v>474</v>
      </c>
      <c r="C2482" t="s">
        <v>308</v>
      </c>
      <c r="D2482" t="s">
        <v>174</v>
      </c>
      <c r="E2482" t="s">
        <v>222</v>
      </c>
      <c r="F2482" t="s">
        <v>99</v>
      </c>
      <c r="G2482">
        <v>23132</v>
      </c>
      <c r="H2482" t="s">
        <v>478</v>
      </c>
      <c r="I2482">
        <v>2</v>
      </c>
      <c r="J2482" t="s">
        <v>101</v>
      </c>
      <c r="K2482" s="19">
        <v>0.60416666666666663</v>
      </c>
      <c r="L2482" s="19">
        <v>0.875</v>
      </c>
      <c r="M2482">
        <v>6.5</v>
      </c>
      <c r="N2482">
        <v>236.99</v>
      </c>
      <c r="O2482">
        <v>76</v>
      </c>
      <c r="P2482">
        <v>76</v>
      </c>
      <c r="Q2482" t="s">
        <v>99</v>
      </c>
      <c r="R2482">
        <v>30</v>
      </c>
      <c r="S2482" s="19">
        <v>0.8125</v>
      </c>
      <c r="T2482">
        <v>0</v>
      </c>
      <c r="U2482" s="19">
        <v>0.54166666666666663</v>
      </c>
      <c r="V2482" t="s">
        <v>99</v>
      </c>
      <c r="W2482">
        <v>6</v>
      </c>
      <c r="X2482" t="s">
        <v>102</v>
      </c>
      <c r="Y2482" t="b">
        <v>0</v>
      </c>
    </row>
    <row r="2483" spans="1:25" x14ac:dyDescent="0.55000000000000004">
      <c r="A2483" t="s">
        <v>94</v>
      </c>
      <c r="B2483" t="s">
        <v>474</v>
      </c>
      <c r="C2483" t="s">
        <v>308</v>
      </c>
      <c r="D2483" t="s">
        <v>174</v>
      </c>
      <c r="E2483" t="s">
        <v>222</v>
      </c>
      <c r="F2483" t="s">
        <v>99</v>
      </c>
      <c r="G2483">
        <v>23132</v>
      </c>
      <c r="H2483" t="s">
        <v>478</v>
      </c>
      <c r="I2483">
        <v>2</v>
      </c>
      <c r="J2483" t="s">
        <v>103</v>
      </c>
      <c r="K2483" s="19">
        <v>0.60416666666666663</v>
      </c>
      <c r="L2483" s="19">
        <v>0.95833333333333337</v>
      </c>
      <c r="M2483">
        <v>8.5</v>
      </c>
      <c r="N2483">
        <v>315.99</v>
      </c>
      <c r="O2483">
        <v>76</v>
      </c>
      <c r="P2483">
        <v>76</v>
      </c>
      <c r="Q2483" t="s">
        <v>99</v>
      </c>
      <c r="R2483">
        <v>30</v>
      </c>
      <c r="S2483" s="19">
        <v>0.8125</v>
      </c>
      <c r="T2483">
        <v>0</v>
      </c>
      <c r="U2483" s="19">
        <v>0.54166666666666663</v>
      </c>
      <c r="V2483" t="s">
        <v>99</v>
      </c>
      <c r="W2483">
        <v>8</v>
      </c>
      <c r="X2483" t="s">
        <v>102</v>
      </c>
      <c r="Y2483" t="b">
        <v>0</v>
      </c>
    </row>
    <row r="2484" spans="1:25" x14ac:dyDescent="0.55000000000000004">
      <c r="A2484" t="s">
        <v>94</v>
      </c>
      <c r="B2484" t="s">
        <v>474</v>
      </c>
      <c r="C2484" t="s">
        <v>308</v>
      </c>
      <c r="D2484" t="s">
        <v>174</v>
      </c>
      <c r="E2484" t="s">
        <v>222</v>
      </c>
      <c r="F2484" t="s">
        <v>99</v>
      </c>
      <c r="G2484">
        <v>23132</v>
      </c>
      <c r="H2484" t="s">
        <v>478</v>
      </c>
      <c r="I2484">
        <v>2</v>
      </c>
      <c r="J2484" t="s">
        <v>104</v>
      </c>
      <c r="K2484" s="19">
        <v>0.60416666666666663</v>
      </c>
      <c r="L2484" s="19">
        <v>0.875</v>
      </c>
      <c r="M2484">
        <v>6.5</v>
      </c>
      <c r="N2484">
        <v>236.99</v>
      </c>
      <c r="O2484">
        <v>76</v>
      </c>
      <c r="P2484">
        <v>76</v>
      </c>
      <c r="Q2484" t="s">
        <v>99</v>
      </c>
      <c r="R2484">
        <v>30</v>
      </c>
      <c r="S2484" s="19">
        <v>0.8125</v>
      </c>
      <c r="T2484">
        <v>0</v>
      </c>
      <c r="U2484" s="19">
        <v>0.54166666666666663</v>
      </c>
      <c r="V2484" t="s">
        <v>99</v>
      </c>
      <c r="W2484">
        <v>6</v>
      </c>
      <c r="X2484" t="s">
        <v>102</v>
      </c>
      <c r="Y2484" t="b">
        <v>0</v>
      </c>
    </row>
    <row r="2485" spans="1:25" x14ac:dyDescent="0.55000000000000004">
      <c r="A2485" t="s">
        <v>94</v>
      </c>
      <c r="B2485" t="s">
        <v>474</v>
      </c>
      <c r="C2485" t="s">
        <v>308</v>
      </c>
      <c r="D2485" t="s">
        <v>174</v>
      </c>
      <c r="E2485" t="s">
        <v>222</v>
      </c>
      <c r="F2485" t="s">
        <v>99</v>
      </c>
      <c r="G2485">
        <v>23132</v>
      </c>
      <c r="H2485" t="s">
        <v>478</v>
      </c>
      <c r="I2485">
        <v>2</v>
      </c>
      <c r="J2485" t="s">
        <v>105</v>
      </c>
      <c r="K2485" s="19">
        <v>0.60416666666666663</v>
      </c>
      <c r="L2485" s="19">
        <v>0.95833333333333337</v>
      </c>
      <c r="M2485">
        <v>8.5</v>
      </c>
      <c r="N2485">
        <v>315.99</v>
      </c>
      <c r="O2485">
        <v>76</v>
      </c>
      <c r="P2485">
        <v>76</v>
      </c>
      <c r="Q2485" t="s">
        <v>99</v>
      </c>
      <c r="R2485">
        <v>30</v>
      </c>
      <c r="S2485" s="19">
        <v>0.8125</v>
      </c>
      <c r="T2485">
        <v>0</v>
      </c>
      <c r="U2485" s="19">
        <v>0.54166666666666663</v>
      </c>
      <c r="V2485" t="s">
        <v>99</v>
      </c>
      <c r="W2485">
        <v>8</v>
      </c>
      <c r="X2485" t="s">
        <v>102</v>
      </c>
      <c r="Y2485" t="b">
        <v>0</v>
      </c>
    </row>
    <row r="2486" spans="1:25" x14ac:dyDescent="0.55000000000000004">
      <c r="A2486" t="s">
        <v>94</v>
      </c>
      <c r="B2486" t="s">
        <v>474</v>
      </c>
      <c r="C2486" t="s">
        <v>308</v>
      </c>
      <c r="D2486" t="s">
        <v>174</v>
      </c>
      <c r="E2486" t="s">
        <v>222</v>
      </c>
      <c r="F2486" t="s">
        <v>99</v>
      </c>
      <c r="G2486">
        <v>23133</v>
      </c>
      <c r="H2486" t="s">
        <v>479</v>
      </c>
      <c r="I2486">
        <v>1</v>
      </c>
      <c r="J2486" t="s">
        <v>101</v>
      </c>
      <c r="K2486" s="19">
        <v>0.60416666666666663</v>
      </c>
      <c r="L2486" s="19">
        <v>0.95833333333333337</v>
      </c>
      <c r="M2486">
        <v>8.5</v>
      </c>
      <c r="N2486">
        <v>315.99</v>
      </c>
      <c r="O2486">
        <v>76</v>
      </c>
      <c r="P2486">
        <v>76</v>
      </c>
      <c r="Q2486" t="s">
        <v>99</v>
      </c>
      <c r="R2486">
        <v>30</v>
      </c>
      <c r="S2486" s="19">
        <v>0.8125</v>
      </c>
      <c r="T2486">
        <v>0</v>
      </c>
      <c r="U2486" s="19">
        <v>0.54166666666666663</v>
      </c>
      <c r="V2486" t="s">
        <v>99</v>
      </c>
      <c r="W2486">
        <v>8</v>
      </c>
      <c r="X2486" t="s">
        <v>102</v>
      </c>
      <c r="Y2486" t="b">
        <v>0</v>
      </c>
    </row>
    <row r="2487" spans="1:25" x14ac:dyDescent="0.55000000000000004">
      <c r="A2487" t="s">
        <v>94</v>
      </c>
      <c r="B2487" t="s">
        <v>474</v>
      </c>
      <c r="C2487" t="s">
        <v>308</v>
      </c>
      <c r="D2487" t="s">
        <v>174</v>
      </c>
      <c r="E2487" t="s">
        <v>222</v>
      </c>
      <c r="F2487" t="s">
        <v>99</v>
      </c>
      <c r="G2487">
        <v>23133</v>
      </c>
      <c r="H2487" t="s">
        <v>479</v>
      </c>
      <c r="I2487">
        <v>1</v>
      </c>
      <c r="J2487" t="s">
        <v>115</v>
      </c>
      <c r="K2487" s="19">
        <v>0.60416666666666663</v>
      </c>
      <c r="L2487" s="19">
        <v>0.875</v>
      </c>
      <c r="M2487">
        <v>6.5</v>
      </c>
      <c r="N2487">
        <v>315.99</v>
      </c>
      <c r="O2487">
        <v>76</v>
      </c>
      <c r="P2487">
        <v>76</v>
      </c>
      <c r="Q2487" t="s">
        <v>99</v>
      </c>
      <c r="R2487">
        <v>30</v>
      </c>
      <c r="S2487" s="19">
        <v>0.8125</v>
      </c>
      <c r="T2487">
        <v>0</v>
      </c>
      <c r="U2487" s="19">
        <v>0.54166666666666663</v>
      </c>
      <c r="V2487" t="s">
        <v>99</v>
      </c>
      <c r="W2487">
        <v>6</v>
      </c>
      <c r="X2487" t="s">
        <v>102</v>
      </c>
      <c r="Y2487" t="b">
        <v>0</v>
      </c>
    </row>
    <row r="2488" spans="1:25" x14ac:dyDescent="0.55000000000000004">
      <c r="A2488" t="s">
        <v>94</v>
      </c>
      <c r="B2488" t="s">
        <v>474</v>
      </c>
      <c r="C2488" t="s">
        <v>308</v>
      </c>
      <c r="D2488" t="s">
        <v>174</v>
      </c>
      <c r="E2488" t="s">
        <v>222</v>
      </c>
      <c r="F2488" t="s">
        <v>99</v>
      </c>
      <c r="G2488">
        <v>23133</v>
      </c>
      <c r="H2488" t="s">
        <v>479</v>
      </c>
      <c r="I2488">
        <v>1</v>
      </c>
      <c r="J2488" t="s">
        <v>116</v>
      </c>
      <c r="K2488" s="19">
        <v>0.60416666666666663</v>
      </c>
      <c r="L2488" s="19">
        <v>0.875</v>
      </c>
      <c r="M2488">
        <v>6.5</v>
      </c>
      <c r="N2488">
        <v>368.65</v>
      </c>
      <c r="O2488">
        <v>76</v>
      </c>
      <c r="P2488">
        <v>76</v>
      </c>
      <c r="Q2488" t="s">
        <v>99</v>
      </c>
      <c r="R2488">
        <v>30</v>
      </c>
      <c r="S2488" s="19">
        <v>0.8125</v>
      </c>
      <c r="T2488">
        <v>0</v>
      </c>
      <c r="U2488" s="19">
        <v>0.54166666666666663</v>
      </c>
      <c r="V2488" t="s">
        <v>99</v>
      </c>
      <c r="W2488">
        <v>6</v>
      </c>
      <c r="X2488" t="s">
        <v>102</v>
      </c>
      <c r="Y2488" t="b">
        <v>0</v>
      </c>
    </row>
    <row r="2489" spans="1:25" x14ac:dyDescent="0.55000000000000004">
      <c r="A2489" t="s">
        <v>94</v>
      </c>
      <c r="B2489" t="s">
        <v>474</v>
      </c>
      <c r="C2489" t="s">
        <v>308</v>
      </c>
      <c r="D2489" t="s">
        <v>174</v>
      </c>
      <c r="E2489" t="s">
        <v>222</v>
      </c>
      <c r="F2489" t="s">
        <v>99</v>
      </c>
      <c r="G2489">
        <v>23133</v>
      </c>
      <c r="H2489" t="s">
        <v>479</v>
      </c>
      <c r="I2489">
        <v>2</v>
      </c>
      <c r="J2489" t="s">
        <v>101</v>
      </c>
      <c r="K2489" s="19">
        <v>0.60416666666666663</v>
      </c>
      <c r="L2489" s="19">
        <v>0.95833333333333337</v>
      </c>
      <c r="M2489">
        <v>8.5</v>
      </c>
      <c r="N2489">
        <v>315.99</v>
      </c>
      <c r="O2489">
        <v>76</v>
      </c>
      <c r="P2489">
        <v>76</v>
      </c>
      <c r="Q2489" t="s">
        <v>99</v>
      </c>
      <c r="R2489">
        <v>30</v>
      </c>
      <c r="S2489" s="19">
        <v>0.8125</v>
      </c>
      <c r="T2489">
        <v>0</v>
      </c>
      <c r="U2489" s="19">
        <v>0.54166666666666663</v>
      </c>
      <c r="V2489" t="s">
        <v>99</v>
      </c>
      <c r="W2489">
        <v>8</v>
      </c>
      <c r="X2489" t="s">
        <v>102</v>
      </c>
      <c r="Y2489" t="b">
        <v>0</v>
      </c>
    </row>
    <row r="2490" spans="1:25" x14ac:dyDescent="0.55000000000000004">
      <c r="A2490" t="s">
        <v>94</v>
      </c>
      <c r="B2490" t="s">
        <v>474</v>
      </c>
      <c r="C2490" t="s">
        <v>308</v>
      </c>
      <c r="D2490" t="s">
        <v>174</v>
      </c>
      <c r="E2490" t="s">
        <v>222</v>
      </c>
      <c r="F2490" t="s">
        <v>99</v>
      </c>
      <c r="G2490">
        <v>23867</v>
      </c>
      <c r="H2490" t="s">
        <v>480</v>
      </c>
      <c r="I2490">
        <v>1</v>
      </c>
      <c r="J2490" t="s">
        <v>107</v>
      </c>
      <c r="K2490" s="19">
        <v>0.60416666666666663</v>
      </c>
      <c r="L2490" s="19">
        <v>0.875</v>
      </c>
      <c r="M2490">
        <v>6.5</v>
      </c>
      <c r="N2490">
        <v>236.99</v>
      </c>
      <c r="O2490">
        <v>76</v>
      </c>
      <c r="P2490">
        <v>76</v>
      </c>
      <c r="Q2490" t="s">
        <v>99</v>
      </c>
      <c r="R2490">
        <v>30</v>
      </c>
      <c r="S2490" s="19">
        <v>0.8125</v>
      </c>
      <c r="T2490">
        <v>0</v>
      </c>
      <c r="U2490" s="19">
        <v>0.54166666666666663</v>
      </c>
      <c r="V2490" t="s">
        <v>99</v>
      </c>
      <c r="W2490">
        <v>6</v>
      </c>
      <c r="X2490" t="s">
        <v>102</v>
      </c>
      <c r="Y2490" t="b">
        <v>0</v>
      </c>
    </row>
    <row r="2491" spans="1:25" x14ac:dyDescent="0.55000000000000004">
      <c r="A2491" t="s">
        <v>94</v>
      </c>
      <c r="B2491" t="s">
        <v>474</v>
      </c>
      <c r="C2491" t="s">
        <v>308</v>
      </c>
      <c r="D2491" t="s">
        <v>174</v>
      </c>
      <c r="E2491" t="s">
        <v>222</v>
      </c>
      <c r="F2491" t="s">
        <v>99</v>
      </c>
      <c r="G2491">
        <v>23867</v>
      </c>
      <c r="H2491" t="s">
        <v>480</v>
      </c>
      <c r="I2491">
        <v>1</v>
      </c>
      <c r="J2491" t="s">
        <v>103</v>
      </c>
      <c r="K2491" s="19">
        <v>0.60416666666666663</v>
      </c>
      <c r="L2491" s="19">
        <v>0.95833333333333337</v>
      </c>
      <c r="M2491">
        <v>8.5</v>
      </c>
      <c r="N2491">
        <v>315.99</v>
      </c>
      <c r="O2491">
        <v>76</v>
      </c>
      <c r="P2491">
        <v>76</v>
      </c>
      <c r="Q2491" t="s">
        <v>99</v>
      </c>
      <c r="R2491">
        <v>30</v>
      </c>
      <c r="S2491" s="19">
        <v>0.8125</v>
      </c>
      <c r="T2491">
        <v>0</v>
      </c>
      <c r="U2491" s="19">
        <v>0.54166666666666663</v>
      </c>
      <c r="V2491" t="s">
        <v>99</v>
      </c>
      <c r="W2491">
        <v>8</v>
      </c>
      <c r="X2491" t="s">
        <v>102</v>
      </c>
      <c r="Y2491" t="b">
        <v>0</v>
      </c>
    </row>
    <row r="2492" spans="1:25" x14ac:dyDescent="0.55000000000000004">
      <c r="A2492" t="s">
        <v>94</v>
      </c>
      <c r="B2492" t="s">
        <v>474</v>
      </c>
      <c r="C2492" t="s">
        <v>308</v>
      </c>
      <c r="D2492" t="s">
        <v>174</v>
      </c>
      <c r="E2492" t="s">
        <v>222</v>
      </c>
      <c r="F2492" t="s">
        <v>99</v>
      </c>
      <c r="G2492">
        <v>23867</v>
      </c>
      <c r="H2492" t="s">
        <v>480</v>
      </c>
      <c r="I2492">
        <v>2</v>
      </c>
      <c r="J2492" t="s">
        <v>107</v>
      </c>
      <c r="K2492" s="19">
        <v>0.60416666666666663</v>
      </c>
      <c r="L2492" s="19">
        <v>0.95833333333333337</v>
      </c>
      <c r="M2492">
        <v>8.5</v>
      </c>
      <c r="N2492">
        <v>315.99</v>
      </c>
      <c r="O2492">
        <v>76</v>
      </c>
      <c r="P2492">
        <v>76</v>
      </c>
      <c r="Q2492" t="s">
        <v>99</v>
      </c>
      <c r="R2492">
        <v>30</v>
      </c>
      <c r="S2492" s="19">
        <v>0.8125</v>
      </c>
      <c r="T2492">
        <v>0</v>
      </c>
      <c r="U2492" s="19">
        <v>0.54166666666666663</v>
      </c>
      <c r="V2492" t="s">
        <v>99</v>
      </c>
      <c r="W2492">
        <v>8</v>
      </c>
      <c r="X2492" t="s">
        <v>102</v>
      </c>
      <c r="Y2492" t="b">
        <v>0</v>
      </c>
    </row>
    <row r="2493" spans="1:25" x14ac:dyDescent="0.55000000000000004">
      <c r="A2493" t="s">
        <v>94</v>
      </c>
      <c r="B2493" t="s">
        <v>474</v>
      </c>
      <c r="C2493" t="s">
        <v>308</v>
      </c>
      <c r="D2493" t="s">
        <v>174</v>
      </c>
      <c r="E2493" t="s">
        <v>222</v>
      </c>
      <c r="F2493" t="s">
        <v>99</v>
      </c>
      <c r="G2493">
        <v>23867</v>
      </c>
      <c r="H2493" t="s">
        <v>480</v>
      </c>
      <c r="I2493">
        <v>2</v>
      </c>
      <c r="J2493" t="s">
        <v>115</v>
      </c>
      <c r="K2493" s="19">
        <v>0.60416666666666663</v>
      </c>
      <c r="L2493" s="19">
        <v>0.95833333333333337</v>
      </c>
      <c r="M2493">
        <v>8.5</v>
      </c>
      <c r="N2493">
        <v>702.2</v>
      </c>
      <c r="O2493">
        <v>76</v>
      </c>
      <c r="P2493">
        <v>76</v>
      </c>
      <c r="Q2493" t="s">
        <v>99</v>
      </c>
      <c r="R2493">
        <v>30</v>
      </c>
      <c r="S2493" s="19">
        <v>0.8125</v>
      </c>
      <c r="T2493">
        <v>0</v>
      </c>
      <c r="U2493" s="19">
        <v>0.54166666666666663</v>
      </c>
      <c r="V2493" t="s">
        <v>99</v>
      </c>
      <c r="W2493">
        <v>8</v>
      </c>
      <c r="X2493" t="s">
        <v>102</v>
      </c>
      <c r="Y2493" t="b">
        <v>0</v>
      </c>
    </row>
    <row r="2494" spans="1:25" x14ac:dyDescent="0.55000000000000004">
      <c r="A2494" t="s">
        <v>94</v>
      </c>
      <c r="B2494" t="s">
        <v>474</v>
      </c>
      <c r="C2494" t="s">
        <v>308</v>
      </c>
      <c r="D2494" t="s">
        <v>174</v>
      </c>
      <c r="E2494" t="s">
        <v>222</v>
      </c>
      <c r="F2494" t="s">
        <v>99</v>
      </c>
      <c r="G2494">
        <v>23867</v>
      </c>
      <c r="H2494" t="s">
        <v>480</v>
      </c>
      <c r="I2494">
        <v>2</v>
      </c>
      <c r="J2494" t="s">
        <v>116</v>
      </c>
      <c r="K2494" s="19">
        <v>0.60416666666666663</v>
      </c>
      <c r="L2494" s="19">
        <v>0.95833333333333337</v>
      </c>
      <c r="M2494">
        <v>8.5</v>
      </c>
      <c r="N2494">
        <v>491.54</v>
      </c>
      <c r="O2494">
        <v>76</v>
      </c>
      <c r="P2494">
        <v>76</v>
      </c>
      <c r="Q2494" t="s">
        <v>99</v>
      </c>
      <c r="R2494">
        <v>30</v>
      </c>
      <c r="S2494" s="19">
        <v>0.8125</v>
      </c>
      <c r="T2494">
        <v>0</v>
      </c>
      <c r="U2494" s="19">
        <v>0.54166666666666663</v>
      </c>
      <c r="V2494" t="s">
        <v>99</v>
      </c>
      <c r="W2494">
        <v>8</v>
      </c>
      <c r="X2494" t="s">
        <v>102</v>
      </c>
      <c r="Y2494" t="b">
        <v>0</v>
      </c>
    </row>
    <row r="2495" spans="1:25" x14ac:dyDescent="0.55000000000000004">
      <c r="A2495" t="s">
        <v>94</v>
      </c>
      <c r="B2495" t="s">
        <v>474</v>
      </c>
      <c r="C2495" t="s">
        <v>308</v>
      </c>
      <c r="D2495" t="s">
        <v>174</v>
      </c>
      <c r="E2495" t="s">
        <v>222</v>
      </c>
      <c r="F2495" t="s">
        <v>99</v>
      </c>
      <c r="G2495">
        <v>23867</v>
      </c>
      <c r="H2495" t="s">
        <v>480</v>
      </c>
      <c r="I2495">
        <v>2</v>
      </c>
      <c r="J2495" t="s">
        <v>105</v>
      </c>
      <c r="K2495" s="19">
        <v>0.60416666666666663</v>
      </c>
      <c r="L2495" s="19">
        <v>0.875</v>
      </c>
      <c r="M2495">
        <v>6.5</v>
      </c>
      <c r="N2495">
        <v>236.99</v>
      </c>
      <c r="O2495">
        <v>76</v>
      </c>
      <c r="P2495">
        <v>76</v>
      </c>
      <c r="Q2495" t="s">
        <v>99</v>
      </c>
      <c r="R2495">
        <v>30</v>
      </c>
      <c r="S2495" s="19">
        <v>0.8125</v>
      </c>
      <c r="T2495">
        <v>0</v>
      </c>
      <c r="U2495" s="19">
        <v>0.54166666666666663</v>
      </c>
      <c r="V2495" t="s">
        <v>99</v>
      </c>
      <c r="W2495">
        <v>6</v>
      </c>
      <c r="X2495" t="s">
        <v>102</v>
      </c>
      <c r="Y2495" t="b">
        <v>0</v>
      </c>
    </row>
    <row r="2496" spans="1:25" x14ac:dyDescent="0.55000000000000004">
      <c r="A2496" t="s">
        <v>94</v>
      </c>
      <c r="B2496" t="s">
        <v>474</v>
      </c>
      <c r="C2496" t="s">
        <v>308</v>
      </c>
      <c r="D2496" t="s">
        <v>174</v>
      </c>
      <c r="E2496" t="s">
        <v>222</v>
      </c>
      <c r="F2496" t="s">
        <v>99</v>
      </c>
      <c r="G2496">
        <v>23868</v>
      </c>
      <c r="H2496" t="s">
        <v>481</v>
      </c>
      <c r="I2496">
        <v>1</v>
      </c>
      <c r="J2496" t="s">
        <v>107</v>
      </c>
      <c r="K2496" s="19">
        <v>0.60416666666666663</v>
      </c>
      <c r="L2496" s="19">
        <v>0.95833333333333337</v>
      </c>
      <c r="M2496">
        <v>8.5</v>
      </c>
      <c r="N2496">
        <v>315.99</v>
      </c>
      <c r="O2496">
        <v>76</v>
      </c>
      <c r="P2496">
        <v>76</v>
      </c>
      <c r="Q2496" t="s">
        <v>99</v>
      </c>
      <c r="R2496">
        <v>30</v>
      </c>
      <c r="S2496" s="19">
        <v>0.8125</v>
      </c>
      <c r="T2496">
        <v>0</v>
      </c>
      <c r="U2496" s="19">
        <v>0.54166666666666663</v>
      </c>
      <c r="V2496" t="s">
        <v>99</v>
      </c>
      <c r="W2496">
        <v>8</v>
      </c>
      <c r="X2496" t="s">
        <v>102</v>
      </c>
      <c r="Y2496" t="b">
        <v>0</v>
      </c>
    </row>
    <row r="2497" spans="1:25" x14ac:dyDescent="0.55000000000000004">
      <c r="A2497" t="s">
        <v>94</v>
      </c>
      <c r="B2497" t="s">
        <v>474</v>
      </c>
      <c r="C2497" t="s">
        <v>308</v>
      </c>
      <c r="D2497" t="s">
        <v>174</v>
      </c>
      <c r="E2497" t="s">
        <v>222</v>
      </c>
      <c r="F2497" t="s">
        <v>99</v>
      </c>
      <c r="G2497">
        <v>23868</v>
      </c>
      <c r="H2497" t="s">
        <v>481</v>
      </c>
      <c r="I2497">
        <v>1</v>
      </c>
      <c r="J2497" t="s">
        <v>115</v>
      </c>
      <c r="K2497" s="19">
        <v>0.60416666666666663</v>
      </c>
      <c r="L2497" s="19">
        <v>0.95833333333333337</v>
      </c>
      <c r="M2497">
        <v>8.5</v>
      </c>
      <c r="N2497">
        <v>421.32</v>
      </c>
      <c r="O2497">
        <v>76</v>
      </c>
      <c r="P2497">
        <v>76</v>
      </c>
      <c r="Q2497" t="s">
        <v>99</v>
      </c>
      <c r="R2497">
        <v>30</v>
      </c>
      <c r="S2497" s="19">
        <v>0.8125</v>
      </c>
      <c r="T2497">
        <v>0</v>
      </c>
      <c r="U2497" s="19">
        <v>0.54166666666666663</v>
      </c>
      <c r="V2497" t="s">
        <v>99</v>
      </c>
      <c r="W2497">
        <v>8</v>
      </c>
      <c r="X2497" t="s">
        <v>102</v>
      </c>
      <c r="Y2497" t="b">
        <v>0</v>
      </c>
    </row>
    <row r="2498" spans="1:25" x14ac:dyDescent="0.55000000000000004">
      <c r="A2498" t="s">
        <v>94</v>
      </c>
      <c r="B2498" t="s">
        <v>474</v>
      </c>
      <c r="C2498" t="s">
        <v>308</v>
      </c>
      <c r="D2498" t="s">
        <v>174</v>
      </c>
      <c r="E2498" t="s">
        <v>222</v>
      </c>
      <c r="F2498" t="s">
        <v>99</v>
      </c>
      <c r="G2498">
        <v>23868</v>
      </c>
      <c r="H2498" t="s">
        <v>481</v>
      </c>
      <c r="I2498">
        <v>1</v>
      </c>
      <c r="J2498" t="s">
        <v>116</v>
      </c>
      <c r="K2498" s="19">
        <v>0.60416666666666663</v>
      </c>
      <c r="L2498" s="19">
        <v>0.95833333333333337</v>
      </c>
      <c r="M2498">
        <v>8.5</v>
      </c>
      <c r="N2498">
        <v>491.54</v>
      </c>
      <c r="O2498">
        <v>76</v>
      </c>
      <c r="P2498">
        <v>76</v>
      </c>
      <c r="Q2498" t="s">
        <v>99</v>
      </c>
      <c r="R2498">
        <v>30</v>
      </c>
      <c r="S2498" s="19">
        <v>0.8125</v>
      </c>
      <c r="T2498">
        <v>0</v>
      </c>
      <c r="U2498" s="19">
        <v>0.54166666666666663</v>
      </c>
      <c r="V2498" t="s">
        <v>99</v>
      </c>
      <c r="W2498">
        <v>8</v>
      </c>
      <c r="X2498" t="s">
        <v>102</v>
      </c>
      <c r="Y2498" t="b">
        <v>0</v>
      </c>
    </row>
    <row r="2499" spans="1:25" x14ac:dyDescent="0.55000000000000004">
      <c r="A2499" t="s">
        <v>94</v>
      </c>
      <c r="B2499" t="s">
        <v>474</v>
      </c>
      <c r="C2499" t="s">
        <v>308</v>
      </c>
      <c r="D2499" t="s">
        <v>174</v>
      </c>
      <c r="E2499" t="s">
        <v>222</v>
      </c>
      <c r="F2499" t="s">
        <v>99</v>
      </c>
      <c r="G2499">
        <v>23868</v>
      </c>
      <c r="H2499" t="s">
        <v>481</v>
      </c>
      <c r="I2499">
        <v>2</v>
      </c>
      <c r="J2499" t="s">
        <v>115</v>
      </c>
      <c r="K2499" s="19">
        <v>0.60416666666666663</v>
      </c>
      <c r="L2499" s="19">
        <v>0.875</v>
      </c>
      <c r="M2499">
        <v>6.5</v>
      </c>
      <c r="N2499">
        <v>526.65</v>
      </c>
      <c r="O2499">
        <v>76</v>
      </c>
      <c r="P2499">
        <v>76</v>
      </c>
      <c r="Q2499" t="s">
        <v>99</v>
      </c>
      <c r="R2499">
        <v>30</v>
      </c>
      <c r="S2499" s="19">
        <v>0.8125</v>
      </c>
      <c r="T2499">
        <v>0</v>
      </c>
      <c r="U2499" s="19">
        <v>0.54166666666666663</v>
      </c>
      <c r="V2499" t="s">
        <v>99</v>
      </c>
      <c r="W2499">
        <v>6</v>
      </c>
      <c r="X2499" t="s">
        <v>102</v>
      </c>
      <c r="Y2499" t="b">
        <v>0</v>
      </c>
    </row>
    <row r="2500" spans="1:25" x14ac:dyDescent="0.55000000000000004">
      <c r="A2500" t="s">
        <v>94</v>
      </c>
      <c r="B2500" t="s">
        <v>474</v>
      </c>
      <c r="C2500" t="s">
        <v>308</v>
      </c>
      <c r="D2500" t="s">
        <v>174</v>
      </c>
      <c r="E2500" t="s">
        <v>222</v>
      </c>
      <c r="F2500" t="s">
        <v>99</v>
      </c>
      <c r="G2500">
        <v>23868</v>
      </c>
      <c r="H2500" t="s">
        <v>481</v>
      </c>
      <c r="I2500">
        <v>2</v>
      </c>
      <c r="J2500" t="s">
        <v>116</v>
      </c>
      <c r="K2500" s="19">
        <v>0.60416666666666663</v>
      </c>
      <c r="L2500" s="19">
        <v>0.875</v>
      </c>
      <c r="M2500">
        <v>6.5</v>
      </c>
      <c r="N2500">
        <v>368.65</v>
      </c>
      <c r="O2500">
        <v>76</v>
      </c>
      <c r="P2500">
        <v>76</v>
      </c>
      <c r="Q2500" t="s">
        <v>99</v>
      </c>
      <c r="R2500">
        <v>30</v>
      </c>
      <c r="S2500" s="19">
        <v>0.8125</v>
      </c>
      <c r="T2500">
        <v>0</v>
      </c>
      <c r="U2500" s="19">
        <v>0.54166666666666663</v>
      </c>
      <c r="V2500" t="s">
        <v>99</v>
      </c>
      <c r="W2500">
        <v>6</v>
      </c>
      <c r="X2500" t="s">
        <v>102</v>
      </c>
      <c r="Y2500" t="b">
        <v>0</v>
      </c>
    </row>
    <row r="2501" spans="1:25" x14ac:dyDescent="0.55000000000000004">
      <c r="A2501" t="s">
        <v>94</v>
      </c>
      <c r="B2501" t="s">
        <v>474</v>
      </c>
      <c r="C2501" t="s">
        <v>308</v>
      </c>
      <c r="D2501" t="s">
        <v>174</v>
      </c>
      <c r="E2501" t="s">
        <v>222</v>
      </c>
      <c r="F2501" t="s">
        <v>99</v>
      </c>
      <c r="G2501">
        <v>24056</v>
      </c>
      <c r="H2501" t="s">
        <v>493</v>
      </c>
      <c r="I2501">
        <v>2</v>
      </c>
      <c r="J2501" t="s">
        <v>101</v>
      </c>
      <c r="K2501" s="19">
        <v>0.60416666666666663</v>
      </c>
      <c r="L2501" s="19">
        <v>0.875</v>
      </c>
      <c r="M2501">
        <v>6.5</v>
      </c>
      <c r="N2501">
        <v>225.11</v>
      </c>
      <c r="O2501">
        <v>76</v>
      </c>
      <c r="P2501">
        <v>76</v>
      </c>
      <c r="Q2501" t="s">
        <v>99</v>
      </c>
      <c r="R2501">
        <v>30</v>
      </c>
      <c r="S2501" s="19">
        <v>0.8125</v>
      </c>
      <c r="T2501">
        <v>0</v>
      </c>
      <c r="U2501" s="19">
        <v>0.54166666666666663</v>
      </c>
      <c r="V2501" t="s">
        <v>99</v>
      </c>
      <c r="W2501">
        <v>6</v>
      </c>
      <c r="X2501" t="s">
        <v>102</v>
      </c>
      <c r="Y2501" t="b">
        <v>0</v>
      </c>
    </row>
    <row r="2502" spans="1:25" x14ac:dyDescent="0.55000000000000004">
      <c r="A2502" t="s">
        <v>94</v>
      </c>
      <c r="B2502" t="s">
        <v>474</v>
      </c>
      <c r="C2502" t="s">
        <v>308</v>
      </c>
      <c r="D2502" t="s">
        <v>174</v>
      </c>
      <c r="E2502" t="s">
        <v>222</v>
      </c>
      <c r="F2502" t="s">
        <v>99</v>
      </c>
      <c r="G2502">
        <v>24056</v>
      </c>
      <c r="H2502" t="s">
        <v>493</v>
      </c>
      <c r="I2502">
        <v>2</v>
      </c>
      <c r="J2502" t="s">
        <v>104</v>
      </c>
      <c r="K2502" s="19">
        <v>0.60416666666666663</v>
      </c>
      <c r="L2502" s="19">
        <v>0.875</v>
      </c>
      <c r="M2502">
        <v>6.5</v>
      </c>
      <c r="N2502">
        <v>225.11</v>
      </c>
      <c r="O2502">
        <v>76</v>
      </c>
      <c r="P2502">
        <v>76</v>
      </c>
      <c r="Q2502" t="s">
        <v>99</v>
      </c>
      <c r="R2502">
        <v>30</v>
      </c>
      <c r="S2502" s="19">
        <v>0.8125</v>
      </c>
      <c r="T2502">
        <v>0</v>
      </c>
      <c r="U2502" s="19">
        <v>0.54166666666666663</v>
      </c>
      <c r="V2502" t="s">
        <v>99</v>
      </c>
      <c r="W2502">
        <v>6</v>
      </c>
      <c r="X2502" t="s">
        <v>102</v>
      </c>
      <c r="Y2502" t="b">
        <v>0</v>
      </c>
    </row>
    <row r="2503" spans="1:25" x14ac:dyDescent="0.55000000000000004">
      <c r="A2503" t="s">
        <v>94</v>
      </c>
      <c r="B2503" t="s">
        <v>474</v>
      </c>
      <c r="C2503" t="s">
        <v>308</v>
      </c>
      <c r="D2503" t="s">
        <v>174</v>
      </c>
      <c r="E2503" t="s">
        <v>222</v>
      </c>
      <c r="F2503" t="s">
        <v>99</v>
      </c>
      <c r="G2503">
        <v>24648</v>
      </c>
      <c r="H2503" t="s">
        <v>435</v>
      </c>
      <c r="I2503">
        <v>2</v>
      </c>
      <c r="J2503" t="s">
        <v>107</v>
      </c>
      <c r="K2503" s="19">
        <v>0.61458333333333337</v>
      </c>
      <c r="L2503" s="19">
        <v>0.94791666666666663</v>
      </c>
      <c r="M2503">
        <v>8</v>
      </c>
      <c r="N2503">
        <v>299.7</v>
      </c>
      <c r="O2503">
        <v>76</v>
      </c>
      <c r="P2503">
        <v>76</v>
      </c>
      <c r="Q2503" t="s">
        <v>99</v>
      </c>
      <c r="R2503">
        <v>30</v>
      </c>
      <c r="S2503" s="19">
        <v>0.82291666666666663</v>
      </c>
      <c r="T2503">
        <v>0</v>
      </c>
      <c r="U2503" s="19">
        <v>0.54166666666666663</v>
      </c>
      <c r="V2503" t="s">
        <v>99</v>
      </c>
      <c r="W2503">
        <v>7.5</v>
      </c>
      <c r="X2503" t="s">
        <v>102</v>
      </c>
      <c r="Y2503" t="b">
        <v>0</v>
      </c>
    </row>
    <row r="2504" spans="1:25" x14ac:dyDescent="0.55000000000000004">
      <c r="A2504" t="s">
        <v>94</v>
      </c>
      <c r="B2504" t="s">
        <v>474</v>
      </c>
      <c r="C2504" t="s">
        <v>308</v>
      </c>
      <c r="D2504" t="s">
        <v>174</v>
      </c>
      <c r="E2504" t="s">
        <v>222</v>
      </c>
      <c r="F2504" t="s">
        <v>99</v>
      </c>
      <c r="G2504">
        <v>24648</v>
      </c>
      <c r="H2504" t="s">
        <v>435</v>
      </c>
      <c r="I2504">
        <v>2</v>
      </c>
      <c r="J2504" t="s">
        <v>101</v>
      </c>
      <c r="K2504" s="19">
        <v>0.61458333333333337</v>
      </c>
      <c r="L2504" s="19">
        <v>0.94791666666666663</v>
      </c>
      <c r="M2504">
        <v>8</v>
      </c>
      <c r="N2504">
        <v>299.7</v>
      </c>
      <c r="O2504">
        <v>76</v>
      </c>
      <c r="P2504">
        <v>76</v>
      </c>
      <c r="Q2504" t="s">
        <v>99</v>
      </c>
      <c r="R2504">
        <v>30</v>
      </c>
      <c r="S2504" s="19">
        <v>0.82291666666666663</v>
      </c>
      <c r="T2504">
        <v>0</v>
      </c>
      <c r="U2504" s="19">
        <v>0.54166666666666663</v>
      </c>
      <c r="V2504" t="s">
        <v>99</v>
      </c>
      <c r="W2504">
        <v>7.5</v>
      </c>
      <c r="X2504" t="s">
        <v>102</v>
      </c>
      <c r="Y2504" t="b">
        <v>0</v>
      </c>
    </row>
    <row r="2505" spans="1:25" x14ac:dyDescent="0.55000000000000004">
      <c r="A2505" t="s">
        <v>94</v>
      </c>
      <c r="B2505" t="s">
        <v>474</v>
      </c>
      <c r="C2505" t="s">
        <v>308</v>
      </c>
      <c r="D2505" t="s">
        <v>174</v>
      </c>
      <c r="E2505" t="s">
        <v>222</v>
      </c>
      <c r="F2505" t="s">
        <v>99</v>
      </c>
      <c r="G2505">
        <v>24648</v>
      </c>
      <c r="H2505" t="s">
        <v>435</v>
      </c>
      <c r="I2505">
        <v>2</v>
      </c>
      <c r="J2505" t="s">
        <v>115</v>
      </c>
      <c r="K2505" s="19">
        <v>0.61458333333333337</v>
      </c>
      <c r="L2505" s="19">
        <v>0.94791666666666663</v>
      </c>
      <c r="M2505">
        <v>8</v>
      </c>
      <c r="N2505">
        <v>666</v>
      </c>
      <c r="O2505">
        <v>76</v>
      </c>
      <c r="P2505">
        <v>76</v>
      </c>
      <c r="Q2505" t="s">
        <v>99</v>
      </c>
      <c r="R2505">
        <v>30</v>
      </c>
      <c r="S2505" s="19">
        <v>0.82291666666666663</v>
      </c>
      <c r="T2505">
        <v>0</v>
      </c>
      <c r="U2505" s="19">
        <v>0.54166666666666663</v>
      </c>
      <c r="V2505" t="s">
        <v>99</v>
      </c>
      <c r="W2505">
        <v>7.5</v>
      </c>
      <c r="X2505" t="s">
        <v>102</v>
      </c>
      <c r="Y2505" t="b">
        <v>0</v>
      </c>
    </row>
    <row r="2506" spans="1:25" x14ac:dyDescent="0.55000000000000004">
      <c r="A2506" t="s">
        <v>94</v>
      </c>
      <c r="B2506" t="s">
        <v>474</v>
      </c>
      <c r="C2506" t="s">
        <v>308</v>
      </c>
      <c r="D2506" t="s">
        <v>174</v>
      </c>
      <c r="E2506" t="s">
        <v>222</v>
      </c>
      <c r="F2506" t="s">
        <v>99</v>
      </c>
      <c r="G2506">
        <v>24648</v>
      </c>
      <c r="H2506" t="s">
        <v>435</v>
      </c>
      <c r="I2506">
        <v>2</v>
      </c>
      <c r="J2506" t="s">
        <v>116</v>
      </c>
      <c r="K2506" s="19">
        <v>0.61458333333333337</v>
      </c>
      <c r="L2506" s="19">
        <v>0.94791666666666663</v>
      </c>
      <c r="M2506">
        <v>8</v>
      </c>
      <c r="N2506">
        <v>466.2</v>
      </c>
      <c r="O2506">
        <v>76</v>
      </c>
      <c r="P2506">
        <v>76</v>
      </c>
      <c r="Q2506" t="s">
        <v>99</v>
      </c>
      <c r="R2506">
        <v>30</v>
      </c>
      <c r="S2506" s="19">
        <v>0.82291666666666663</v>
      </c>
      <c r="T2506">
        <v>0</v>
      </c>
      <c r="U2506" s="19">
        <v>0.54166666666666663</v>
      </c>
      <c r="V2506" t="s">
        <v>99</v>
      </c>
      <c r="W2506">
        <v>7.5</v>
      </c>
      <c r="X2506" t="s">
        <v>102</v>
      </c>
      <c r="Y2506" t="b">
        <v>0</v>
      </c>
    </row>
    <row r="2507" spans="1:25" x14ac:dyDescent="0.55000000000000004">
      <c r="A2507" t="s">
        <v>94</v>
      </c>
      <c r="B2507" t="s">
        <v>474</v>
      </c>
      <c r="C2507" t="s">
        <v>308</v>
      </c>
      <c r="D2507" t="s">
        <v>174</v>
      </c>
      <c r="E2507" t="s">
        <v>222</v>
      </c>
      <c r="F2507" t="s">
        <v>99</v>
      </c>
      <c r="G2507">
        <v>24648</v>
      </c>
      <c r="H2507" t="s">
        <v>435</v>
      </c>
      <c r="I2507">
        <v>2</v>
      </c>
      <c r="J2507" t="s">
        <v>104</v>
      </c>
      <c r="K2507" s="19">
        <v>0.61458333333333337</v>
      </c>
      <c r="L2507" s="19">
        <v>0.94791666666666663</v>
      </c>
      <c r="M2507">
        <v>8</v>
      </c>
      <c r="N2507">
        <v>299.7</v>
      </c>
      <c r="O2507">
        <v>76</v>
      </c>
      <c r="P2507">
        <v>76</v>
      </c>
      <c r="Q2507" t="s">
        <v>99</v>
      </c>
      <c r="R2507">
        <v>30</v>
      </c>
      <c r="S2507" s="19">
        <v>0.82291666666666663</v>
      </c>
      <c r="T2507">
        <v>0</v>
      </c>
      <c r="U2507" s="19">
        <v>0.54166666666666663</v>
      </c>
      <c r="V2507" t="s">
        <v>99</v>
      </c>
      <c r="W2507">
        <v>7.5</v>
      </c>
      <c r="X2507" t="s">
        <v>102</v>
      </c>
      <c r="Y2507" t="b">
        <v>0</v>
      </c>
    </row>
    <row r="2508" spans="1:25" x14ac:dyDescent="0.55000000000000004">
      <c r="A2508" t="s">
        <v>94</v>
      </c>
      <c r="B2508" t="s">
        <v>474</v>
      </c>
      <c r="C2508" t="s">
        <v>308</v>
      </c>
      <c r="D2508" t="s">
        <v>174</v>
      </c>
      <c r="E2508" t="s">
        <v>222</v>
      </c>
      <c r="F2508" t="s">
        <v>99</v>
      </c>
      <c r="G2508">
        <v>24816</v>
      </c>
      <c r="H2508" t="s">
        <v>483</v>
      </c>
      <c r="I2508">
        <v>2</v>
      </c>
      <c r="J2508" t="s">
        <v>103</v>
      </c>
      <c r="K2508" s="19">
        <v>0.60416666666666663</v>
      </c>
      <c r="L2508" s="19">
        <v>0.95833333333333337</v>
      </c>
      <c r="M2508">
        <v>8.5</v>
      </c>
      <c r="N2508">
        <v>319.68</v>
      </c>
      <c r="O2508">
        <v>76</v>
      </c>
      <c r="P2508">
        <v>76</v>
      </c>
      <c r="Q2508" t="s">
        <v>99</v>
      </c>
      <c r="R2508">
        <v>30</v>
      </c>
      <c r="S2508" s="19">
        <v>0.8125</v>
      </c>
      <c r="T2508">
        <v>0</v>
      </c>
      <c r="U2508" s="19">
        <v>0.54166666666666663</v>
      </c>
      <c r="V2508" t="s">
        <v>99</v>
      </c>
      <c r="W2508">
        <v>8</v>
      </c>
      <c r="X2508" t="s">
        <v>102</v>
      </c>
      <c r="Y2508" t="b">
        <v>0</v>
      </c>
    </row>
    <row r="2509" spans="1:25" x14ac:dyDescent="0.55000000000000004">
      <c r="A2509" t="s">
        <v>94</v>
      </c>
      <c r="B2509" t="s">
        <v>474</v>
      </c>
      <c r="C2509" t="s">
        <v>308</v>
      </c>
      <c r="D2509" t="s">
        <v>174</v>
      </c>
      <c r="E2509" t="s">
        <v>222</v>
      </c>
      <c r="F2509" t="s">
        <v>99</v>
      </c>
      <c r="G2509">
        <v>24816</v>
      </c>
      <c r="H2509" t="s">
        <v>483</v>
      </c>
      <c r="I2509">
        <v>2</v>
      </c>
      <c r="J2509" t="s">
        <v>104</v>
      </c>
      <c r="K2509" s="19">
        <v>0.60416666666666663</v>
      </c>
      <c r="L2509" s="19">
        <v>0.95833333333333337</v>
      </c>
      <c r="M2509">
        <v>8.5</v>
      </c>
      <c r="N2509">
        <v>319.68</v>
      </c>
      <c r="O2509">
        <v>76</v>
      </c>
      <c r="P2509">
        <v>76</v>
      </c>
      <c r="Q2509" t="s">
        <v>99</v>
      </c>
      <c r="R2509">
        <v>30</v>
      </c>
      <c r="S2509" s="19">
        <v>0.8125</v>
      </c>
      <c r="T2509">
        <v>0</v>
      </c>
      <c r="U2509" s="19">
        <v>0.54166666666666663</v>
      </c>
      <c r="V2509" t="s">
        <v>99</v>
      </c>
      <c r="W2509">
        <v>8</v>
      </c>
      <c r="X2509" t="s">
        <v>102</v>
      </c>
      <c r="Y2509" t="b">
        <v>0</v>
      </c>
    </row>
    <row r="2510" spans="1:25" x14ac:dyDescent="0.55000000000000004">
      <c r="A2510" t="s">
        <v>94</v>
      </c>
      <c r="B2510" t="s">
        <v>474</v>
      </c>
      <c r="C2510" t="s">
        <v>308</v>
      </c>
      <c r="D2510" t="s">
        <v>174</v>
      </c>
      <c r="E2510" t="s">
        <v>222</v>
      </c>
      <c r="F2510" t="s">
        <v>99</v>
      </c>
      <c r="G2510">
        <v>24816</v>
      </c>
      <c r="H2510" t="s">
        <v>483</v>
      </c>
      <c r="I2510">
        <v>2</v>
      </c>
      <c r="J2510" t="s">
        <v>105</v>
      </c>
      <c r="K2510" s="19">
        <v>0.60416666666666663</v>
      </c>
      <c r="L2510" s="19">
        <v>0.95833333333333337</v>
      </c>
      <c r="M2510">
        <v>8.5</v>
      </c>
      <c r="N2510">
        <v>319.68</v>
      </c>
      <c r="O2510">
        <v>76</v>
      </c>
      <c r="P2510">
        <v>76</v>
      </c>
      <c r="Q2510" t="s">
        <v>99</v>
      </c>
      <c r="R2510">
        <v>30</v>
      </c>
      <c r="S2510" s="19">
        <v>0.8125</v>
      </c>
      <c r="T2510">
        <v>0</v>
      </c>
      <c r="U2510" s="19">
        <v>0.54166666666666663</v>
      </c>
      <c r="V2510" t="s">
        <v>99</v>
      </c>
      <c r="W2510">
        <v>8</v>
      </c>
      <c r="X2510" t="s">
        <v>102</v>
      </c>
      <c r="Y2510" t="b">
        <v>0</v>
      </c>
    </row>
    <row r="2511" spans="1:25" x14ac:dyDescent="0.55000000000000004">
      <c r="A2511" t="s">
        <v>94</v>
      </c>
      <c r="B2511" t="s">
        <v>474</v>
      </c>
      <c r="C2511" t="s">
        <v>308</v>
      </c>
      <c r="D2511" t="s">
        <v>174</v>
      </c>
      <c r="E2511" t="s">
        <v>222</v>
      </c>
      <c r="F2511" t="s">
        <v>99</v>
      </c>
      <c r="G2511">
        <v>24821</v>
      </c>
      <c r="H2511" t="s">
        <v>484</v>
      </c>
      <c r="I2511">
        <v>1</v>
      </c>
      <c r="J2511" t="s">
        <v>104</v>
      </c>
      <c r="K2511" s="19">
        <v>0.60416666666666663</v>
      </c>
      <c r="L2511" s="19">
        <v>0.875</v>
      </c>
      <c r="M2511">
        <v>6.5</v>
      </c>
      <c r="N2511">
        <v>236.99</v>
      </c>
      <c r="O2511">
        <v>76</v>
      </c>
      <c r="P2511">
        <v>76</v>
      </c>
      <c r="Q2511" t="s">
        <v>99</v>
      </c>
      <c r="R2511">
        <v>30</v>
      </c>
      <c r="S2511" s="19">
        <v>0.8125</v>
      </c>
      <c r="T2511">
        <v>0</v>
      </c>
      <c r="U2511" s="19">
        <v>0.54166666666666663</v>
      </c>
      <c r="V2511" t="s">
        <v>99</v>
      </c>
      <c r="W2511">
        <v>6</v>
      </c>
      <c r="X2511" t="s">
        <v>102</v>
      </c>
      <c r="Y2511" t="b">
        <v>0</v>
      </c>
    </row>
    <row r="2512" spans="1:25" x14ac:dyDescent="0.55000000000000004">
      <c r="A2512" t="s">
        <v>94</v>
      </c>
      <c r="B2512" t="s">
        <v>474</v>
      </c>
      <c r="C2512" t="s">
        <v>308</v>
      </c>
      <c r="D2512" t="s">
        <v>174</v>
      </c>
      <c r="E2512" t="s">
        <v>222</v>
      </c>
      <c r="F2512" t="s">
        <v>99</v>
      </c>
      <c r="G2512">
        <v>24821</v>
      </c>
      <c r="H2512" t="s">
        <v>484</v>
      </c>
      <c r="I2512">
        <v>1</v>
      </c>
      <c r="J2512" t="s">
        <v>105</v>
      </c>
      <c r="K2512" s="19">
        <v>0.60416666666666663</v>
      </c>
      <c r="L2512" s="19">
        <v>0.875</v>
      </c>
      <c r="M2512">
        <v>6.5</v>
      </c>
      <c r="N2512">
        <v>267.70999999999998</v>
      </c>
      <c r="O2512">
        <v>76</v>
      </c>
      <c r="P2512">
        <v>76</v>
      </c>
      <c r="Q2512" t="s">
        <v>99</v>
      </c>
      <c r="R2512">
        <v>30</v>
      </c>
      <c r="S2512" s="19">
        <v>0.8125</v>
      </c>
      <c r="T2512">
        <v>0</v>
      </c>
      <c r="U2512" s="19">
        <v>0.54166666666666663</v>
      </c>
      <c r="V2512" t="s">
        <v>99</v>
      </c>
      <c r="W2512">
        <v>6</v>
      </c>
      <c r="X2512" t="s">
        <v>102</v>
      </c>
      <c r="Y2512" t="b">
        <v>0</v>
      </c>
    </row>
    <row r="2513" spans="1:25" x14ac:dyDescent="0.55000000000000004">
      <c r="A2513" t="s">
        <v>94</v>
      </c>
      <c r="B2513" t="s">
        <v>474</v>
      </c>
      <c r="C2513" t="s">
        <v>308</v>
      </c>
      <c r="D2513" t="s">
        <v>174</v>
      </c>
      <c r="E2513" t="s">
        <v>222</v>
      </c>
      <c r="F2513" t="s">
        <v>99</v>
      </c>
      <c r="G2513">
        <v>24821</v>
      </c>
      <c r="H2513" t="s">
        <v>484</v>
      </c>
      <c r="I2513">
        <v>2</v>
      </c>
      <c r="J2513" t="s">
        <v>107</v>
      </c>
      <c r="K2513" s="19">
        <v>0.60416666666666663</v>
      </c>
      <c r="L2513" s="19">
        <v>0.95833333333333337</v>
      </c>
      <c r="M2513">
        <v>8.5</v>
      </c>
      <c r="N2513">
        <v>315.99</v>
      </c>
      <c r="O2513">
        <v>76</v>
      </c>
      <c r="P2513">
        <v>76</v>
      </c>
      <c r="Q2513" t="s">
        <v>99</v>
      </c>
      <c r="R2513">
        <v>30</v>
      </c>
      <c r="S2513" s="19">
        <v>0.8125</v>
      </c>
      <c r="T2513">
        <v>0</v>
      </c>
      <c r="U2513" s="19">
        <v>0.54166666666666663</v>
      </c>
      <c r="V2513" t="s">
        <v>99</v>
      </c>
      <c r="W2513">
        <v>8</v>
      </c>
      <c r="X2513" t="s">
        <v>102</v>
      </c>
      <c r="Y2513" t="b">
        <v>0</v>
      </c>
    </row>
    <row r="2514" spans="1:25" x14ac:dyDescent="0.55000000000000004">
      <c r="A2514" t="s">
        <v>94</v>
      </c>
      <c r="B2514" t="s">
        <v>474</v>
      </c>
      <c r="C2514" t="s">
        <v>308</v>
      </c>
      <c r="D2514" t="s">
        <v>174</v>
      </c>
      <c r="E2514" t="s">
        <v>222</v>
      </c>
      <c r="F2514" t="s">
        <v>99</v>
      </c>
      <c r="G2514">
        <v>24999</v>
      </c>
      <c r="H2514" t="s">
        <v>486</v>
      </c>
      <c r="I2514">
        <v>2</v>
      </c>
      <c r="J2514" t="s">
        <v>101</v>
      </c>
      <c r="K2514" s="19">
        <v>0.60416666666666663</v>
      </c>
      <c r="L2514" s="19">
        <v>0.95833333333333337</v>
      </c>
      <c r="M2514">
        <v>8.5</v>
      </c>
      <c r="N2514">
        <v>319.68</v>
      </c>
      <c r="O2514">
        <v>76</v>
      </c>
      <c r="P2514">
        <v>76</v>
      </c>
      <c r="Q2514" t="s">
        <v>99</v>
      </c>
      <c r="R2514">
        <v>30</v>
      </c>
      <c r="S2514" s="19">
        <v>0.8125</v>
      </c>
      <c r="T2514">
        <v>0</v>
      </c>
      <c r="U2514" s="19">
        <v>0.54166666666666663</v>
      </c>
      <c r="V2514" t="s">
        <v>99</v>
      </c>
      <c r="W2514">
        <v>8</v>
      </c>
      <c r="X2514" t="s">
        <v>102</v>
      </c>
      <c r="Y2514" t="b">
        <v>0</v>
      </c>
    </row>
    <row r="2515" spans="1:25" x14ac:dyDescent="0.55000000000000004">
      <c r="A2515" t="s">
        <v>94</v>
      </c>
      <c r="B2515" t="s">
        <v>474</v>
      </c>
      <c r="C2515" t="s">
        <v>308</v>
      </c>
      <c r="D2515" t="s">
        <v>174</v>
      </c>
      <c r="E2515" t="s">
        <v>222</v>
      </c>
      <c r="F2515" t="s">
        <v>99</v>
      </c>
      <c r="G2515">
        <v>24999</v>
      </c>
      <c r="H2515" t="s">
        <v>486</v>
      </c>
      <c r="I2515">
        <v>2</v>
      </c>
      <c r="J2515" t="s">
        <v>115</v>
      </c>
      <c r="K2515" s="19">
        <v>0.60416666666666663</v>
      </c>
      <c r="L2515" s="19">
        <v>0.875</v>
      </c>
      <c r="M2515">
        <v>6.5</v>
      </c>
      <c r="N2515">
        <v>532.79999999999995</v>
      </c>
      <c r="O2515">
        <v>76</v>
      </c>
      <c r="P2515">
        <v>76</v>
      </c>
      <c r="Q2515" t="s">
        <v>99</v>
      </c>
      <c r="R2515">
        <v>30</v>
      </c>
      <c r="S2515" s="19">
        <v>0.8125</v>
      </c>
      <c r="T2515">
        <v>0</v>
      </c>
      <c r="U2515" s="19">
        <v>0.54166666666666663</v>
      </c>
      <c r="V2515" t="s">
        <v>99</v>
      </c>
      <c r="W2515">
        <v>6</v>
      </c>
      <c r="X2515" t="s">
        <v>102</v>
      </c>
      <c r="Y2515" t="b">
        <v>0</v>
      </c>
    </row>
    <row r="2516" spans="1:25" x14ac:dyDescent="0.55000000000000004">
      <c r="A2516" t="s">
        <v>94</v>
      </c>
      <c r="B2516" t="s">
        <v>474</v>
      </c>
      <c r="C2516" t="s">
        <v>308</v>
      </c>
      <c r="D2516" t="s">
        <v>174</v>
      </c>
      <c r="E2516" t="s">
        <v>222</v>
      </c>
      <c r="F2516" t="s">
        <v>99</v>
      </c>
      <c r="G2516">
        <v>24999</v>
      </c>
      <c r="H2516" t="s">
        <v>486</v>
      </c>
      <c r="I2516">
        <v>2</v>
      </c>
      <c r="J2516" t="s">
        <v>116</v>
      </c>
      <c r="K2516" s="19">
        <v>0.60416666666666663</v>
      </c>
      <c r="L2516" s="19">
        <v>0.875</v>
      </c>
      <c r="M2516">
        <v>6.5</v>
      </c>
      <c r="N2516">
        <v>372.96</v>
      </c>
      <c r="O2516">
        <v>76</v>
      </c>
      <c r="P2516">
        <v>76</v>
      </c>
      <c r="Q2516" t="s">
        <v>99</v>
      </c>
      <c r="R2516">
        <v>30</v>
      </c>
      <c r="S2516" s="19">
        <v>0.8125</v>
      </c>
      <c r="T2516">
        <v>0</v>
      </c>
      <c r="U2516" s="19">
        <v>0.54166666666666663</v>
      </c>
      <c r="V2516" t="s">
        <v>99</v>
      </c>
      <c r="W2516">
        <v>6</v>
      </c>
      <c r="X2516" t="s">
        <v>102</v>
      </c>
      <c r="Y2516" t="b">
        <v>0</v>
      </c>
    </row>
    <row r="2517" spans="1:25" x14ac:dyDescent="0.55000000000000004">
      <c r="A2517" t="s">
        <v>94</v>
      </c>
      <c r="B2517" t="s">
        <v>474</v>
      </c>
      <c r="C2517" t="s">
        <v>308</v>
      </c>
      <c r="D2517" t="s">
        <v>174</v>
      </c>
      <c r="E2517" t="s">
        <v>222</v>
      </c>
      <c r="F2517" t="s">
        <v>99</v>
      </c>
      <c r="G2517">
        <v>24999</v>
      </c>
      <c r="H2517" t="s">
        <v>486</v>
      </c>
      <c r="I2517">
        <v>2</v>
      </c>
      <c r="J2517" t="s">
        <v>103</v>
      </c>
      <c r="K2517" s="19">
        <v>0.60416666666666663</v>
      </c>
      <c r="L2517" s="19">
        <v>0.95833333333333337</v>
      </c>
      <c r="M2517">
        <v>8.5</v>
      </c>
      <c r="N2517">
        <v>319.68</v>
      </c>
      <c r="O2517">
        <v>76</v>
      </c>
      <c r="P2517">
        <v>76</v>
      </c>
      <c r="Q2517" t="s">
        <v>99</v>
      </c>
      <c r="R2517">
        <v>30</v>
      </c>
      <c r="S2517" s="19">
        <v>0.8125</v>
      </c>
      <c r="T2517">
        <v>0</v>
      </c>
      <c r="U2517" s="19">
        <v>0.54166666666666663</v>
      </c>
      <c r="V2517" t="s">
        <v>99</v>
      </c>
      <c r="W2517">
        <v>8</v>
      </c>
      <c r="X2517" t="s">
        <v>102</v>
      </c>
      <c r="Y2517" t="b">
        <v>0</v>
      </c>
    </row>
    <row r="2518" spans="1:25" x14ac:dyDescent="0.55000000000000004">
      <c r="A2518" t="s">
        <v>94</v>
      </c>
      <c r="B2518" t="s">
        <v>474</v>
      </c>
      <c r="C2518" t="s">
        <v>308</v>
      </c>
      <c r="D2518" t="s">
        <v>174</v>
      </c>
      <c r="E2518" t="s">
        <v>222</v>
      </c>
      <c r="F2518" t="s">
        <v>99</v>
      </c>
      <c r="G2518">
        <v>24999</v>
      </c>
      <c r="H2518" t="s">
        <v>486</v>
      </c>
      <c r="I2518">
        <v>2</v>
      </c>
      <c r="J2518" t="s">
        <v>104</v>
      </c>
      <c r="K2518" s="19">
        <v>0.60416666666666663</v>
      </c>
      <c r="L2518" s="19">
        <v>0.95833333333333337</v>
      </c>
      <c r="M2518">
        <v>8.5</v>
      </c>
      <c r="N2518">
        <v>319.68</v>
      </c>
      <c r="O2518">
        <v>76</v>
      </c>
      <c r="P2518">
        <v>76</v>
      </c>
      <c r="Q2518" t="s">
        <v>99</v>
      </c>
      <c r="R2518">
        <v>30</v>
      </c>
      <c r="S2518" s="19">
        <v>0.8125</v>
      </c>
      <c r="T2518">
        <v>0</v>
      </c>
      <c r="U2518" s="19">
        <v>0.54166666666666663</v>
      </c>
      <c r="V2518" t="s">
        <v>99</v>
      </c>
      <c r="W2518">
        <v>8</v>
      </c>
      <c r="X2518" t="s">
        <v>102</v>
      </c>
      <c r="Y2518" t="b">
        <v>0</v>
      </c>
    </row>
    <row r="2519" spans="1:25" x14ac:dyDescent="0.55000000000000004">
      <c r="A2519" t="s">
        <v>94</v>
      </c>
      <c r="B2519" t="s">
        <v>474</v>
      </c>
      <c r="C2519" t="s">
        <v>308</v>
      </c>
      <c r="D2519" t="s">
        <v>174</v>
      </c>
      <c r="E2519" t="s">
        <v>222</v>
      </c>
      <c r="F2519" t="s">
        <v>99</v>
      </c>
      <c r="G2519">
        <v>24999</v>
      </c>
      <c r="H2519" t="s">
        <v>486</v>
      </c>
      <c r="I2519">
        <v>2</v>
      </c>
      <c r="J2519" t="s">
        <v>105</v>
      </c>
      <c r="K2519" s="19">
        <v>0.60416666666666663</v>
      </c>
      <c r="L2519" s="19">
        <v>0.95833333333333337</v>
      </c>
      <c r="M2519">
        <v>8.5</v>
      </c>
      <c r="N2519">
        <v>319.68</v>
      </c>
      <c r="O2519">
        <v>76</v>
      </c>
      <c r="P2519">
        <v>76</v>
      </c>
      <c r="Q2519" t="s">
        <v>99</v>
      </c>
      <c r="R2519">
        <v>30</v>
      </c>
      <c r="S2519" s="19">
        <v>0.8125</v>
      </c>
      <c r="T2519">
        <v>0</v>
      </c>
      <c r="U2519" s="19">
        <v>0.54166666666666663</v>
      </c>
      <c r="V2519" t="s">
        <v>99</v>
      </c>
      <c r="W2519">
        <v>8</v>
      </c>
      <c r="X2519" t="s">
        <v>102</v>
      </c>
      <c r="Y2519" t="b">
        <v>0</v>
      </c>
    </row>
    <row r="2520" spans="1:25" x14ac:dyDescent="0.55000000000000004">
      <c r="A2520" t="s">
        <v>94</v>
      </c>
      <c r="B2520" t="s">
        <v>474</v>
      </c>
      <c r="C2520" t="s">
        <v>308</v>
      </c>
      <c r="D2520" t="s">
        <v>174</v>
      </c>
      <c r="E2520" t="s">
        <v>222</v>
      </c>
      <c r="F2520" t="s">
        <v>99</v>
      </c>
      <c r="G2520">
        <v>25247</v>
      </c>
      <c r="H2520" t="s">
        <v>487</v>
      </c>
      <c r="I2520">
        <v>1</v>
      </c>
      <c r="J2520" t="s">
        <v>101</v>
      </c>
      <c r="K2520" s="19">
        <v>0.60416666666666663</v>
      </c>
      <c r="L2520" s="19">
        <v>0.875</v>
      </c>
      <c r="M2520">
        <v>6.5</v>
      </c>
      <c r="N2520">
        <v>236.99</v>
      </c>
      <c r="O2520">
        <v>64</v>
      </c>
      <c r="P2520">
        <v>76</v>
      </c>
      <c r="Q2520" t="s">
        <v>99</v>
      </c>
      <c r="R2520">
        <v>30</v>
      </c>
      <c r="S2520" s="19">
        <v>0.8125</v>
      </c>
      <c r="T2520">
        <v>0</v>
      </c>
      <c r="U2520" s="19">
        <v>0.54166666666666663</v>
      </c>
      <c r="V2520" t="s">
        <v>99</v>
      </c>
      <c r="W2520">
        <v>6</v>
      </c>
      <c r="X2520" t="s">
        <v>102</v>
      </c>
      <c r="Y2520" t="b">
        <v>0</v>
      </c>
    </row>
    <row r="2521" spans="1:25" x14ac:dyDescent="0.55000000000000004">
      <c r="A2521" t="s">
        <v>94</v>
      </c>
      <c r="B2521" t="s">
        <v>474</v>
      </c>
      <c r="C2521" t="s">
        <v>308</v>
      </c>
      <c r="D2521" t="s">
        <v>174</v>
      </c>
      <c r="E2521" t="s">
        <v>222</v>
      </c>
      <c r="F2521" t="s">
        <v>99</v>
      </c>
      <c r="G2521">
        <v>25247</v>
      </c>
      <c r="H2521" t="s">
        <v>487</v>
      </c>
      <c r="I2521">
        <v>1</v>
      </c>
      <c r="J2521" t="s">
        <v>115</v>
      </c>
      <c r="K2521" s="19">
        <v>0.60416666666666663</v>
      </c>
      <c r="L2521" s="19">
        <v>0.95833333333333337</v>
      </c>
      <c r="M2521">
        <v>8.5</v>
      </c>
      <c r="N2521">
        <v>421.32</v>
      </c>
      <c r="O2521">
        <v>64</v>
      </c>
      <c r="P2521">
        <v>76</v>
      </c>
      <c r="Q2521" t="s">
        <v>99</v>
      </c>
      <c r="R2521">
        <v>30</v>
      </c>
      <c r="S2521" s="19">
        <v>0.8125</v>
      </c>
      <c r="T2521">
        <v>0</v>
      </c>
      <c r="U2521" s="19">
        <v>0.54166666666666663</v>
      </c>
      <c r="V2521" t="s">
        <v>99</v>
      </c>
      <c r="W2521">
        <v>8</v>
      </c>
      <c r="X2521" t="s">
        <v>102</v>
      </c>
      <c r="Y2521" t="b">
        <v>0</v>
      </c>
    </row>
    <row r="2522" spans="1:25" x14ac:dyDescent="0.55000000000000004">
      <c r="A2522" t="s">
        <v>94</v>
      </c>
      <c r="B2522" t="s">
        <v>474</v>
      </c>
      <c r="C2522" t="s">
        <v>308</v>
      </c>
      <c r="D2522" t="s">
        <v>174</v>
      </c>
      <c r="E2522" t="s">
        <v>222</v>
      </c>
      <c r="F2522" t="s">
        <v>99</v>
      </c>
      <c r="G2522">
        <v>25247</v>
      </c>
      <c r="H2522" t="s">
        <v>487</v>
      </c>
      <c r="I2522">
        <v>1</v>
      </c>
      <c r="J2522" t="s">
        <v>116</v>
      </c>
      <c r="K2522" s="19">
        <v>0.60416666666666663</v>
      </c>
      <c r="L2522" s="19">
        <v>0.95833333333333337</v>
      </c>
      <c r="M2522">
        <v>8.5</v>
      </c>
      <c r="N2522">
        <v>491.54</v>
      </c>
      <c r="O2522">
        <v>64</v>
      </c>
      <c r="P2522">
        <v>76</v>
      </c>
      <c r="Q2522" t="s">
        <v>99</v>
      </c>
      <c r="R2522">
        <v>30</v>
      </c>
      <c r="S2522" s="19">
        <v>0.8125</v>
      </c>
      <c r="T2522">
        <v>0</v>
      </c>
      <c r="U2522" s="19">
        <v>0.54166666666666663</v>
      </c>
      <c r="V2522" t="s">
        <v>99</v>
      </c>
      <c r="W2522">
        <v>8</v>
      </c>
      <c r="X2522" t="s">
        <v>102</v>
      </c>
      <c r="Y2522" t="b">
        <v>0</v>
      </c>
    </row>
    <row r="2523" spans="1:25" x14ac:dyDescent="0.55000000000000004">
      <c r="A2523" t="s">
        <v>94</v>
      </c>
      <c r="B2523" t="s">
        <v>474</v>
      </c>
      <c r="C2523" t="s">
        <v>308</v>
      </c>
      <c r="D2523" t="s">
        <v>174</v>
      </c>
      <c r="E2523" t="s">
        <v>222</v>
      </c>
      <c r="F2523" t="s">
        <v>99</v>
      </c>
      <c r="G2523">
        <v>25247</v>
      </c>
      <c r="H2523" t="s">
        <v>487</v>
      </c>
      <c r="I2523">
        <v>1</v>
      </c>
      <c r="J2523" t="s">
        <v>104</v>
      </c>
      <c r="K2523" s="19">
        <v>0.60416666666666663</v>
      </c>
      <c r="L2523" s="19">
        <v>0.875</v>
      </c>
      <c r="M2523">
        <v>6.5</v>
      </c>
      <c r="N2523">
        <v>236.99</v>
      </c>
      <c r="O2523">
        <v>64</v>
      </c>
      <c r="P2523">
        <v>76</v>
      </c>
      <c r="Q2523" t="s">
        <v>99</v>
      </c>
      <c r="R2523">
        <v>30</v>
      </c>
      <c r="S2523" s="19">
        <v>0.8125</v>
      </c>
      <c r="T2523">
        <v>0</v>
      </c>
      <c r="U2523" s="19">
        <v>0.54166666666666663</v>
      </c>
      <c r="V2523" t="s">
        <v>99</v>
      </c>
      <c r="W2523">
        <v>6</v>
      </c>
      <c r="X2523" t="s">
        <v>102</v>
      </c>
      <c r="Y2523" t="b">
        <v>0</v>
      </c>
    </row>
    <row r="2524" spans="1:25" x14ac:dyDescent="0.55000000000000004">
      <c r="A2524" t="s">
        <v>94</v>
      </c>
      <c r="B2524" t="s">
        <v>474</v>
      </c>
      <c r="C2524" t="s">
        <v>308</v>
      </c>
      <c r="D2524" t="s">
        <v>174</v>
      </c>
      <c r="E2524" t="s">
        <v>222</v>
      </c>
      <c r="F2524" t="s">
        <v>99</v>
      </c>
      <c r="G2524">
        <v>25247</v>
      </c>
      <c r="H2524" t="s">
        <v>487</v>
      </c>
      <c r="I2524">
        <v>1</v>
      </c>
      <c r="J2524" t="s">
        <v>105</v>
      </c>
      <c r="K2524" s="19">
        <v>0.60416666666666663</v>
      </c>
      <c r="L2524" s="19">
        <v>0.95833333333333337</v>
      </c>
      <c r="M2524">
        <v>8.5</v>
      </c>
      <c r="N2524">
        <v>315.99</v>
      </c>
      <c r="O2524">
        <v>64</v>
      </c>
      <c r="P2524">
        <v>76</v>
      </c>
      <c r="Q2524" t="s">
        <v>99</v>
      </c>
      <c r="R2524">
        <v>30</v>
      </c>
      <c r="S2524" s="19">
        <v>0.8125</v>
      </c>
      <c r="T2524">
        <v>0</v>
      </c>
      <c r="U2524" s="19">
        <v>0.54166666666666663</v>
      </c>
      <c r="V2524" t="s">
        <v>99</v>
      </c>
      <c r="W2524">
        <v>8</v>
      </c>
      <c r="X2524" t="s">
        <v>102</v>
      </c>
      <c r="Y2524" t="b">
        <v>0</v>
      </c>
    </row>
    <row r="2525" spans="1:25" x14ac:dyDescent="0.55000000000000004">
      <c r="A2525" t="s">
        <v>94</v>
      </c>
      <c r="B2525" t="s">
        <v>474</v>
      </c>
      <c r="C2525" t="s">
        <v>308</v>
      </c>
      <c r="D2525" t="s">
        <v>174</v>
      </c>
      <c r="E2525" t="s">
        <v>222</v>
      </c>
      <c r="F2525" t="s">
        <v>99</v>
      </c>
      <c r="G2525">
        <v>25537</v>
      </c>
      <c r="H2525" t="s">
        <v>489</v>
      </c>
      <c r="I2525">
        <v>1</v>
      </c>
      <c r="J2525" t="s">
        <v>107</v>
      </c>
      <c r="K2525" s="19">
        <v>0.61458333333333337</v>
      </c>
      <c r="L2525" s="19">
        <v>0.94791666666666663</v>
      </c>
      <c r="M2525">
        <v>8</v>
      </c>
      <c r="N2525">
        <v>296.24</v>
      </c>
      <c r="O2525">
        <v>40</v>
      </c>
      <c r="P2525">
        <v>76</v>
      </c>
      <c r="Q2525" t="s">
        <v>99</v>
      </c>
      <c r="R2525">
        <v>30</v>
      </c>
      <c r="S2525" s="19">
        <v>0.82291666666666663</v>
      </c>
      <c r="T2525">
        <v>0</v>
      </c>
      <c r="U2525" s="19">
        <v>0.54166666666666663</v>
      </c>
      <c r="V2525" t="s">
        <v>99</v>
      </c>
      <c r="W2525">
        <v>7.5</v>
      </c>
      <c r="X2525" t="s">
        <v>102</v>
      </c>
      <c r="Y2525" t="b">
        <v>0</v>
      </c>
    </row>
    <row r="2526" spans="1:25" x14ac:dyDescent="0.55000000000000004">
      <c r="A2526" t="s">
        <v>94</v>
      </c>
      <c r="B2526" t="s">
        <v>474</v>
      </c>
      <c r="C2526" t="s">
        <v>308</v>
      </c>
      <c r="D2526" t="s">
        <v>174</v>
      </c>
      <c r="E2526" t="s">
        <v>222</v>
      </c>
      <c r="F2526" t="s">
        <v>99</v>
      </c>
      <c r="G2526">
        <v>25537</v>
      </c>
      <c r="H2526" t="s">
        <v>489</v>
      </c>
      <c r="I2526">
        <v>1</v>
      </c>
      <c r="J2526" t="s">
        <v>101</v>
      </c>
      <c r="K2526" s="19">
        <v>0.625</v>
      </c>
      <c r="L2526" s="19">
        <v>0.875</v>
      </c>
      <c r="M2526">
        <v>6</v>
      </c>
      <c r="N2526">
        <v>217.24</v>
      </c>
      <c r="O2526">
        <v>40</v>
      </c>
      <c r="P2526">
        <v>76</v>
      </c>
      <c r="Q2526" t="s">
        <v>99</v>
      </c>
      <c r="R2526">
        <v>30</v>
      </c>
      <c r="S2526" s="19">
        <v>0.8125</v>
      </c>
      <c r="T2526">
        <v>0</v>
      </c>
      <c r="U2526" s="19">
        <v>0.54166666666666663</v>
      </c>
      <c r="V2526" t="s">
        <v>99</v>
      </c>
      <c r="W2526">
        <v>5.5</v>
      </c>
      <c r="X2526" t="s">
        <v>102</v>
      </c>
      <c r="Y2526" t="b">
        <v>0</v>
      </c>
    </row>
    <row r="2527" spans="1:25" x14ac:dyDescent="0.55000000000000004">
      <c r="A2527" t="s">
        <v>94</v>
      </c>
      <c r="B2527" t="s">
        <v>474</v>
      </c>
      <c r="C2527" t="s">
        <v>308</v>
      </c>
      <c r="D2527" t="s">
        <v>174</v>
      </c>
      <c r="E2527" t="s">
        <v>222</v>
      </c>
      <c r="F2527" t="s">
        <v>99</v>
      </c>
      <c r="G2527">
        <v>25537</v>
      </c>
      <c r="H2527" t="s">
        <v>489</v>
      </c>
      <c r="I2527">
        <v>1</v>
      </c>
      <c r="J2527" t="s">
        <v>104</v>
      </c>
      <c r="K2527" s="19">
        <v>0.61458333333333337</v>
      </c>
      <c r="L2527" s="19">
        <v>0.94791666666666663</v>
      </c>
      <c r="M2527">
        <v>8</v>
      </c>
      <c r="N2527">
        <v>296.24</v>
      </c>
      <c r="O2527">
        <v>40</v>
      </c>
      <c r="P2527">
        <v>76</v>
      </c>
      <c r="Q2527" t="s">
        <v>99</v>
      </c>
      <c r="R2527">
        <v>30</v>
      </c>
      <c r="S2527" s="19">
        <v>0.82291666666666663</v>
      </c>
      <c r="T2527">
        <v>0</v>
      </c>
      <c r="U2527" s="19">
        <v>0.54166666666666663</v>
      </c>
      <c r="V2527" t="s">
        <v>99</v>
      </c>
      <c r="W2527">
        <v>7.5</v>
      </c>
      <c r="X2527" t="s">
        <v>102</v>
      </c>
      <c r="Y2527" t="b">
        <v>0</v>
      </c>
    </row>
    <row r="2528" spans="1:25" x14ac:dyDescent="0.55000000000000004">
      <c r="A2528" t="s">
        <v>94</v>
      </c>
      <c r="B2528" t="s">
        <v>474</v>
      </c>
      <c r="C2528" t="s">
        <v>308</v>
      </c>
      <c r="D2528" t="s">
        <v>174</v>
      </c>
      <c r="E2528" t="s">
        <v>222</v>
      </c>
      <c r="F2528" t="s">
        <v>99</v>
      </c>
      <c r="G2528">
        <v>25537</v>
      </c>
      <c r="H2528" t="s">
        <v>489</v>
      </c>
      <c r="I2528">
        <v>1</v>
      </c>
      <c r="J2528" t="s">
        <v>105</v>
      </c>
      <c r="K2528" s="19">
        <v>0.61458333333333337</v>
      </c>
      <c r="L2528" s="19">
        <v>0.94791666666666663</v>
      </c>
      <c r="M2528">
        <v>8</v>
      </c>
      <c r="N2528">
        <v>296.24</v>
      </c>
      <c r="O2528">
        <v>40</v>
      </c>
      <c r="P2528">
        <v>76</v>
      </c>
      <c r="Q2528" t="s">
        <v>99</v>
      </c>
      <c r="R2528">
        <v>30</v>
      </c>
      <c r="S2528" s="19">
        <v>0.82291666666666663</v>
      </c>
      <c r="T2528">
        <v>0</v>
      </c>
      <c r="U2528" s="19">
        <v>0.54166666666666663</v>
      </c>
      <c r="V2528" t="s">
        <v>99</v>
      </c>
      <c r="W2528">
        <v>7.5</v>
      </c>
      <c r="X2528" t="s">
        <v>102</v>
      </c>
      <c r="Y2528" t="b">
        <v>0</v>
      </c>
    </row>
    <row r="2529" spans="1:25" x14ac:dyDescent="0.55000000000000004">
      <c r="A2529" t="s">
        <v>94</v>
      </c>
      <c r="B2529" t="s">
        <v>474</v>
      </c>
      <c r="C2529" t="s">
        <v>308</v>
      </c>
      <c r="D2529" t="s">
        <v>174</v>
      </c>
      <c r="E2529" t="s">
        <v>241</v>
      </c>
      <c r="F2529" t="s">
        <v>99</v>
      </c>
      <c r="G2529">
        <v>18421</v>
      </c>
      <c r="H2529" t="s">
        <v>440</v>
      </c>
      <c r="I2529">
        <v>1</v>
      </c>
      <c r="J2529" t="s">
        <v>107</v>
      </c>
      <c r="K2529" s="19">
        <v>0.54166666666666663</v>
      </c>
      <c r="L2529" s="19">
        <v>0.6875</v>
      </c>
      <c r="M2529">
        <v>3.5</v>
      </c>
      <c r="N2529">
        <v>234.81</v>
      </c>
      <c r="O2529">
        <v>76</v>
      </c>
      <c r="P2529">
        <v>76</v>
      </c>
      <c r="Q2529" t="s">
        <v>99</v>
      </c>
      <c r="R2529">
        <v>0</v>
      </c>
      <c r="S2529" s="19">
        <v>0</v>
      </c>
      <c r="U2529" s="19">
        <v>0.41666666666666669</v>
      </c>
      <c r="V2529" t="s">
        <v>99</v>
      </c>
      <c r="W2529">
        <v>3.5</v>
      </c>
      <c r="X2529" t="s">
        <v>102</v>
      </c>
      <c r="Y2529" t="b">
        <v>0</v>
      </c>
    </row>
    <row r="2530" spans="1:25" x14ac:dyDescent="0.55000000000000004">
      <c r="A2530" t="s">
        <v>94</v>
      </c>
      <c r="B2530" t="s">
        <v>474</v>
      </c>
      <c r="C2530" t="s">
        <v>308</v>
      </c>
      <c r="D2530" t="s">
        <v>174</v>
      </c>
      <c r="E2530" t="s">
        <v>241</v>
      </c>
      <c r="F2530" t="s">
        <v>99</v>
      </c>
      <c r="G2530">
        <v>18421</v>
      </c>
      <c r="H2530" t="s">
        <v>440</v>
      </c>
      <c r="I2530">
        <v>1</v>
      </c>
      <c r="J2530" t="s">
        <v>101</v>
      </c>
      <c r="K2530" s="19">
        <v>0.54166666666666663</v>
      </c>
      <c r="L2530" s="19">
        <v>0.70833333333333337</v>
      </c>
      <c r="M2530">
        <v>4</v>
      </c>
      <c r="N2530">
        <v>268.36</v>
      </c>
      <c r="O2530">
        <v>76</v>
      </c>
      <c r="P2530">
        <v>76</v>
      </c>
      <c r="Q2530" t="s">
        <v>99</v>
      </c>
      <c r="R2530">
        <v>0</v>
      </c>
      <c r="S2530" s="19">
        <v>0</v>
      </c>
      <c r="T2530">
        <v>0</v>
      </c>
      <c r="U2530" s="19">
        <v>0.54166666666666663</v>
      </c>
      <c r="V2530" t="s">
        <v>99</v>
      </c>
      <c r="W2530">
        <v>4</v>
      </c>
      <c r="X2530" t="s">
        <v>102</v>
      </c>
      <c r="Y2530" t="b">
        <v>0</v>
      </c>
    </row>
    <row r="2531" spans="1:25" x14ac:dyDescent="0.55000000000000004">
      <c r="A2531" t="s">
        <v>94</v>
      </c>
      <c r="B2531" t="s">
        <v>474</v>
      </c>
      <c r="C2531" t="s">
        <v>308</v>
      </c>
      <c r="D2531" t="s">
        <v>174</v>
      </c>
      <c r="E2531" t="s">
        <v>241</v>
      </c>
      <c r="F2531" t="s">
        <v>99</v>
      </c>
      <c r="G2531">
        <v>18421</v>
      </c>
      <c r="H2531" t="s">
        <v>440</v>
      </c>
      <c r="I2531">
        <v>1</v>
      </c>
      <c r="J2531" t="s">
        <v>103</v>
      </c>
      <c r="K2531" s="19">
        <v>0.54166666666666663</v>
      </c>
      <c r="L2531" s="19">
        <v>0.6875</v>
      </c>
      <c r="M2531">
        <v>3.5</v>
      </c>
      <c r="N2531">
        <v>234.81</v>
      </c>
      <c r="O2531">
        <v>76</v>
      </c>
      <c r="P2531">
        <v>76</v>
      </c>
      <c r="Q2531" t="s">
        <v>99</v>
      </c>
      <c r="R2531">
        <v>0</v>
      </c>
      <c r="S2531" s="19">
        <v>0</v>
      </c>
      <c r="T2531">
        <v>0</v>
      </c>
      <c r="U2531" s="19">
        <v>0</v>
      </c>
      <c r="V2531" t="s">
        <v>99</v>
      </c>
      <c r="W2531">
        <v>3.5</v>
      </c>
      <c r="X2531" t="s">
        <v>102</v>
      </c>
      <c r="Y2531" t="b">
        <v>0</v>
      </c>
    </row>
    <row r="2532" spans="1:25" x14ac:dyDescent="0.55000000000000004">
      <c r="A2532" t="s">
        <v>94</v>
      </c>
      <c r="B2532" t="s">
        <v>474</v>
      </c>
      <c r="C2532" t="s">
        <v>308</v>
      </c>
      <c r="D2532" t="s">
        <v>174</v>
      </c>
      <c r="E2532" t="s">
        <v>241</v>
      </c>
      <c r="F2532" t="s">
        <v>99</v>
      </c>
      <c r="G2532">
        <v>18421</v>
      </c>
      <c r="H2532" t="s">
        <v>440</v>
      </c>
      <c r="I2532">
        <v>1</v>
      </c>
      <c r="J2532" t="s">
        <v>104</v>
      </c>
      <c r="K2532" s="19">
        <v>0.54166666666666663</v>
      </c>
      <c r="L2532" s="19">
        <v>0.6875</v>
      </c>
      <c r="M2532">
        <v>3.5</v>
      </c>
      <c r="N2532">
        <v>234.81</v>
      </c>
      <c r="O2532">
        <v>76</v>
      </c>
      <c r="P2532">
        <v>76</v>
      </c>
      <c r="Q2532" t="s">
        <v>99</v>
      </c>
      <c r="R2532">
        <v>0</v>
      </c>
      <c r="S2532" s="19">
        <v>0.60416666666666663</v>
      </c>
      <c r="T2532">
        <v>0</v>
      </c>
      <c r="U2532" s="19">
        <v>0</v>
      </c>
      <c r="V2532" t="s">
        <v>99</v>
      </c>
      <c r="W2532">
        <v>3.5</v>
      </c>
      <c r="X2532" t="s">
        <v>102</v>
      </c>
      <c r="Y2532" t="b">
        <v>0</v>
      </c>
    </row>
    <row r="2533" spans="1:25" x14ac:dyDescent="0.55000000000000004">
      <c r="A2533" t="s">
        <v>94</v>
      </c>
      <c r="B2533" t="s">
        <v>474</v>
      </c>
      <c r="C2533" t="s">
        <v>308</v>
      </c>
      <c r="D2533" t="s">
        <v>174</v>
      </c>
      <c r="E2533" t="s">
        <v>241</v>
      </c>
      <c r="F2533" t="s">
        <v>99</v>
      </c>
      <c r="G2533">
        <v>18421</v>
      </c>
      <c r="H2533" t="s">
        <v>440</v>
      </c>
      <c r="I2533">
        <v>1</v>
      </c>
      <c r="J2533" t="s">
        <v>105</v>
      </c>
      <c r="K2533" s="19">
        <v>0.54166666666666663</v>
      </c>
      <c r="L2533" s="19">
        <v>0.6875</v>
      </c>
      <c r="M2533">
        <v>3.5</v>
      </c>
      <c r="N2533">
        <v>234.81</v>
      </c>
      <c r="O2533">
        <v>76</v>
      </c>
      <c r="P2533">
        <v>76</v>
      </c>
      <c r="Q2533" t="s">
        <v>99</v>
      </c>
      <c r="R2533">
        <v>0</v>
      </c>
      <c r="S2533" s="19">
        <v>0</v>
      </c>
      <c r="T2533">
        <v>0</v>
      </c>
      <c r="U2533" s="19">
        <v>0</v>
      </c>
      <c r="V2533" t="s">
        <v>99</v>
      </c>
      <c r="W2533">
        <v>3.5</v>
      </c>
      <c r="X2533" t="s">
        <v>102</v>
      </c>
      <c r="Y2533" t="b">
        <v>0</v>
      </c>
    </row>
    <row r="2534" spans="1:25" x14ac:dyDescent="0.55000000000000004">
      <c r="A2534" t="s">
        <v>94</v>
      </c>
      <c r="B2534" t="s">
        <v>474</v>
      </c>
      <c r="C2534" t="s">
        <v>308</v>
      </c>
      <c r="D2534" t="s">
        <v>174</v>
      </c>
      <c r="E2534" t="s">
        <v>241</v>
      </c>
      <c r="F2534" t="s">
        <v>99</v>
      </c>
      <c r="G2534">
        <v>18421</v>
      </c>
      <c r="H2534" t="s">
        <v>440</v>
      </c>
      <c r="I2534">
        <v>2</v>
      </c>
      <c r="J2534" t="s">
        <v>107</v>
      </c>
      <c r="K2534" s="19">
        <v>0.54166666666666663</v>
      </c>
      <c r="L2534" s="19">
        <v>0.6875</v>
      </c>
      <c r="M2534">
        <v>3.5</v>
      </c>
      <c r="N2534">
        <v>234.81</v>
      </c>
      <c r="O2534">
        <v>76</v>
      </c>
      <c r="P2534">
        <v>76</v>
      </c>
      <c r="Q2534" t="s">
        <v>99</v>
      </c>
      <c r="R2534">
        <v>0</v>
      </c>
      <c r="S2534" s="19">
        <v>0.60416666666666663</v>
      </c>
      <c r="U2534" s="19">
        <v>0.41666666666666669</v>
      </c>
      <c r="V2534" t="s">
        <v>99</v>
      </c>
      <c r="W2534">
        <v>3.5</v>
      </c>
      <c r="X2534" t="s">
        <v>102</v>
      </c>
      <c r="Y2534" t="b">
        <v>0</v>
      </c>
    </row>
    <row r="2535" spans="1:25" x14ac:dyDescent="0.55000000000000004">
      <c r="A2535" t="s">
        <v>94</v>
      </c>
      <c r="B2535" t="s">
        <v>474</v>
      </c>
      <c r="C2535" t="s">
        <v>308</v>
      </c>
      <c r="D2535" t="s">
        <v>174</v>
      </c>
      <c r="E2535" t="s">
        <v>241</v>
      </c>
      <c r="F2535" t="s">
        <v>99</v>
      </c>
      <c r="G2535">
        <v>18421</v>
      </c>
      <c r="H2535" t="s">
        <v>440</v>
      </c>
      <c r="I2535">
        <v>2</v>
      </c>
      <c r="J2535" t="s">
        <v>101</v>
      </c>
      <c r="K2535" s="19">
        <v>0.54166666666666663</v>
      </c>
      <c r="L2535" s="19">
        <v>0.70833333333333337</v>
      </c>
      <c r="M2535">
        <v>4</v>
      </c>
      <c r="N2535">
        <v>268.36</v>
      </c>
      <c r="O2535">
        <v>76</v>
      </c>
      <c r="P2535">
        <v>76</v>
      </c>
      <c r="Q2535" t="s">
        <v>99</v>
      </c>
      <c r="R2535">
        <v>0</v>
      </c>
      <c r="S2535" s="19">
        <v>0</v>
      </c>
      <c r="T2535">
        <v>0</v>
      </c>
      <c r="U2535" s="19">
        <v>0.54166666666666663</v>
      </c>
      <c r="V2535" t="s">
        <v>99</v>
      </c>
      <c r="W2535">
        <v>4</v>
      </c>
      <c r="X2535" t="s">
        <v>102</v>
      </c>
      <c r="Y2535" t="b">
        <v>0</v>
      </c>
    </row>
    <row r="2536" spans="1:25" x14ac:dyDescent="0.55000000000000004">
      <c r="A2536" t="s">
        <v>94</v>
      </c>
      <c r="B2536" t="s">
        <v>474</v>
      </c>
      <c r="C2536" t="s">
        <v>308</v>
      </c>
      <c r="D2536" t="s">
        <v>174</v>
      </c>
      <c r="E2536" t="s">
        <v>241</v>
      </c>
      <c r="F2536" t="s">
        <v>99</v>
      </c>
      <c r="G2536">
        <v>18421</v>
      </c>
      <c r="H2536" t="s">
        <v>440</v>
      </c>
      <c r="I2536">
        <v>2</v>
      </c>
      <c r="J2536" t="s">
        <v>103</v>
      </c>
      <c r="K2536" s="19">
        <v>0.54166666666666663</v>
      </c>
      <c r="L2536" s="19">
        <v>0.6875</v>
      </c>
      <c r="M2536">
        <v>3.5</v>
      </c>
      <c r="N2536">
        <v>234.81</v>
      </c>
      <c r="O2536">
        <v>76</v>
      </c>
      <c r="P2536">
        <v>76</v>
      </c>
      <c r="Q2536" t="s">
        <v>99</v>
      </c>
      <c r="R2536">
        <v>0</v>
      </c>
      <c r="S2536" s="19">
        <v>0.60416666666666663</v>
      </c>
      <c r="T2536">
        <v>0</v>
      </c>
      <c r="U2536" s="19">
        <v>0</v>
      </c>
      <c r="V2536" t="s">
        <v>99</v>
      </c>
      <c r="W2536">
        <v>3.5</v>
      </c>
      <c r="X2536" t="s">
        <v>102</v>
      </c>
      <c r="Y2536" t="b">
        <v>0</v>
      </c>
    </row>
    <row r="2537" spans="1:25" x14ac:dyDescent="0.55000000000000004">
      <c r="A2537" t="s">
        <v>94</v>
      </c>
      <c r="B2537" t="s">
        <v>474</v>
      </c>
      <c r="C2537" t="s">
        <v>308</v>
      </c>
      <c r="D2537" t="s">
        <v>174</v>
      </c>
      <c r="E2537" t="s">
        <v>241</v>
      </c>
      <c r="F2537" t="s">
        <v>99</v>
      </c>
      <c r="G2537">
        <v>18421</v>
      </c>
      <c r="H2537" t="s">
        <v>440</v>
      </c>
      <c r="I2537">
        <v>2</v>
      </c>
      <c r="J2537" t="s">
        <v>104</v>
      </c>
      <c r="K2537" s="19">
        <v>0.54166666666666663</v>
      </c>
      <c r="L2537" s="19">
        <v>0.6875</v>
      </c>
      <c r="M2537">
        <v>3.5</v>
      </c>
      <c r="N2537">
        <v>234.81</v>
      </c>
      <c r="O2537">
        <v>76</v>
      </c>
      <c r="P2537">
        <v>76</v>
      </c>
      <c r="Q2537" t="s">
        <v>99</v>
      </c>
      <c r="R2537">
        <v>0</v>
      </c>
      <c r="S2537" s="19">
        <v>0.60416666666666663</v>
      </c>
      <c r="T2537">
        <v>0</v>
      </c>
      <c r="U2537" s="19">
        <v>0</v>
      </c>
      <c r="V2537" t="s">
        <v>99</v>
      </c>
      <c r="W2537">
        <v>3.5</v>
      </c>
      <c r="X2537" t="s">
        <v>102</v>
      </c>
      <c r="Y2537" t="b">
        <v>0</v>
      </c>
    </row>
    <row r="2538" spans="1:25" x14ac:dyDescent="0.55000000000000004">
      <c r="A2538" t="s">
        <v>94</v>
      </c>
      <c r="B2538" t="s">
        <v>474</v>
      </c>
      <c r="C2538" t="s">
        <v>308</v>
      </c>
      <c r="D2538" t="s">
        <v>174</v>
      </c>
      <c r="E2538" t="s">
        <v>241</v>
      </c>
      <c r="F2538" t="s">
        <v>99</v>
      </c>
      <c r="G2538">
        <v>18421</v>
      </c>
      <c r="H2538" t="s">
        <v>440</v>
      </c>
      <c r="I2538">
        <v>2</v>
      </c>
      <c r="J2538" t="s">
        <v>105</v>
      </c>
      <c r="K2538" s="19">
        <v>0.54166666666666663</v>
      </c>
      <c r="L2538" s="19">
        <v>0.6875</v>
      </c>
      <c r="M2538">
        <v>3.5</v>
      </c>
      <c r="N2538">
        <v>234.81</v>
      </c>
      <c r="O2538">
        <v>76</v>
      </c>
      <c r="P2538">
        <v>76</v>
      </c>
      <c r="Q2538" t="s">
        <v>99</v>
      </c>
      <c r="R2538">
        <v>0</v>
      </c>
      <c r="S2538" s="19">
        <v>0.60416666666666663</v>
      </c>
      <c r="T2538">
        <v>0</v>
      </c>
      <c r="U2538" s="19">
        <v>0</v>
      </c>
      <c r="V2538" t="s">
        <v>99</v>
      </c>
      <c r="W2538">
        <v>3.5</v>
      </c>
      <c r="X2538" t="s">
        <v>102</v>
      </c>
      <c r="Y2538" t="b">
        <v>0</v>
      </c>
    </row>
    <row r="2539" spans="1:25" x14ac:dyDescent="0.55000000000000004">
      <c r="A2539" t="s">
        <v>94</v>
      </c>
      <c r="B2539" t="s">
        <v>474</v>
      </c>
      <c r="C2539" t="s">
        <v>308</v>
      </c>
      <c r="D2539" t="s">
        <v>174</v>
      </c>
      <c r="E2539" t="s">
        <v>243</v>
      </c>
      <c r="F2539" t="s">
        <v>99</v>
      </c>
      <c r="G2539">
        <v>18662</v>
      </c>
      <c r="H2539" t="s">
        <v>497</v>
      </c>
      <c r="I2539">
        <v>1</v>
      </c>
      <c r="J2539" t="s">
        <v>107</v>
      </c>
      <c r="K2539" s="19">
        <v>0.33333333333333331</v>
      </c>
      <c r="L2539" s="19">
        <v>0.70833333333333337</v>
      </c>
      <c r="M2539">
        <v>9</v>
      </c>
      <c r="N2539">
        <v>474.98</v>
      </c>
      <c r="O2539">
        <v>76</v>
      </c>
      <c r="P2539">
        <v>76</v>
      </c>
      <c r="Q2539" t="s">
        <v>99</v>
      </c>
      <c r="R2539">
        <v>30</v>
      </c>
      <c r="S2539" s="19">
        <v>0.5</v>
      </c>
      <c r="T2539">
        <v>0</v>
      </c>
      <c r="U2539" s="19">
        <v>0</v>
      </c>
      <c r="V2539" t="s">
        <v>99</v>
      </c>
      <c r="W2539">
        <v>8.5</v>
      </c>
      <c r="X2539" t="s">
        <v>102</v>
      </c>
      <c r="Y2539" t="b">
        <v>0</v>
      </c>
    </row>
    <row r="2540" spans="1:25" x14ac:dyDescent="0.55000000000000004">
      <c r="A2540" t="s">
        <v>94</v>
      </c>
      <c r="B2540" t="s">
        <v>474</v>
      </c>
      <c r="C2540" t="s">
        <v>308</v>
      </c>
      <c r="D2540" t="s">
        <v>174</v>
      </c>
      <c r="E2540" t="s">
        <v>243</v>
      </c>
      <c r="F2540" t="s">
        <v>99</v>
      </c>
      <c r="G2540">
        <v>18662</v>
      </c>
      <c r="H2540" t="s">
        <v>497</v>
      </c>
      <c r="I2540">
        <v>1</v>
      </c>
      <c r="J2540" t="s">
        <v>115</v>
      </c>
      <c r="K2540" s="19">
        <v>0.27083333333333331</v>
      </c>
      <c r="L2540" s="19">
        <v>0.625</v>
      </c>
      <c r="M2540">
        <v>8.5</v>
      </c>
      <c r="N2540">
        <v>712.47</v>
      </c>
      <c r="O2540">
        <v>76</v>
      </c>
      <c r="P2540">
        <v>76</v>
      </c>
      <c r="Q2540" t="s">
        <v>99</v>
      </c>
      <c r="R2540">
        <v>0</v>
      </c>
      <c r="S2540" s="19">
        <v>0.54166666666666663</v>
      </c>
      <c r="T2540">
        <v>0</v>
      </c>
      <c r="U2540" s="19">
        <v>0</v>
      </c>
      <c r="V2540" t="s">
        <v>99</v>
      </c>
      <c r="W2540">
        <v>8.5</v>
      </c>
      <c r="X2540" t="s">
        <v>102</v>
      </c>
      <c r="Y2540" t="b">
        <v>0</v>
      </c>
    </row>
    <row r="2541" spans="1:25" x14ac:dyDescent="0.55000000000000004">
      <c r="A2541" t="s">
        <v>94</v>
      </c>
      <c r="B2541" t="s">
        <v>474</v>
      </c>
      <c r="C2541" t="s">
        <v>308</v>
      </c>
      <c r="D2541" t="s">
        <v>174</v>
      </c>
      <c r="E2541" t="s">
        <v>243</v>
      </c>
      <c r="F2541" t="s">
        <v>99</v>
      </c>
      <c r="G2541">
        <v>18662</v>
      </c>
      <c r="H2541" t="s">
        <v>497</v>
      </c>
      <c r="I2541">
        <v>1</v>
      </c>
      <c r="J2541" t="s">
        <v>116</v>
      </c>
      <c r="K2541" s="19">
        <v>0.27083333333333331</v>
      </c>
      <c r="L2541" s="19">
        <v>0.625</v>
      </c>
      <c r="M2541">
        <v>8.5</v>
      </c>
      <c r="N2541">
        <v>831.22</v>
      </c>
      <c r="O2541">
        <v>76</v>
      </c>
      <c r="P2541">
        <v>76</v>
      </c>
      <c r="Q2541" t="s">
        <v>99</v>
      </c>
      <c r="R2541">
        <v>0</v>
      </c>
      <c r="S2541" s="19">
        <v>0.54166666666666663</v>
      </c>
      <c r="T2541">
        <v>0</v>
      </c>
      <c r="U2541" s="19">
        <v>0</v>
      </c>
      <c r="V2541" t="s">
        <v>99</v>
      </c>
      <c r="W2541">
        <v>8.5</v>
      </c>
      <c r="X2541" t="s">
        <v>102</v>
      </c>
      <c r="Y2541" t="b">
        <v>0</v>
      </c>
    </row>
    <row r="2542" spans="1:25" x14ac:dyDescent="0.55000000000000004">
      <c r="A2542" t="s">
        <v>94</v>
      </c>
      <c r="B2542" t="s">
        <v>474</v>
      </c>
      <c r="C2542" t="s">
        <v>308</v>
      </c>
      <c r="D2542" t="s">
        <v>174</v>
      </c>
      <c r="E2542" t="s">
        <v>243</v>
      </c>
      <c r="F2542" t="s">
        <v>99</v>
      </c>
      <c r="G2542">
        <v>18662</v>
      </c>
      <c r="H2542" t="s">
        <v>497</v>
      </c>
      <c r="I2542">
        <v>1</v>
      </c>
      <c r="J2542" t="s">
        <v>103</v>
      </c>
      <c r="K2542" s="19">
        <v>0.33333333333333331</v>
      </c>
      <c r="L2542" s="19">
        <v>0.70833333333333337</v>
      </c>
      <c r="M2542">
        <v>9</v>
      </c>
      <c r="N2542">
        <v>474.98</v>
      </c>
      <c r="O2542">
        <v>76</v>
      </c>
      <c r="P2542">
        <v>76</v>
      </c>
      <c r="Q2542" t="s">
        <v>99</v>
      </c>
      <c r="R2542">
        <v>30</v>
      </c>
      <c r="S2542" s="19">
        <v>0.5</v>
      </c>
      <c r="T2542">
        <v>0</v>
      </c>
      <c r="U2542" s="19">
        <v>0</v>
      </c>
      <c r="V2542" t="s">
        <v>99</v>
      </c>
      <c r="W2542">
        <v>8.5</v>
      </c>
      <c r="X2542" t="s">
        <v>102</v>
      </c>
      <c r="Y2542" t="b">
        <v>0</v>
      </c>
    </row>
    <row r="2543" spans="1:25" x14ac:dyDescent="0.55000000000000004">
      <c r="A2543" t="s">
        <v>94</v>
      </c>
      <c r="B2543" t="s">
        <v>474</v>
      </c>
      <c r="C2543" t="s">
        <v>308</v>
      </c>
      <c r="D2543" t="s">
        <v>174</v>
      </c>
      <c r="E2543" t="s">
        <v>243</v>
      </c>
      <c r="F2543" t="s">
        <v>99</v>
      </c>
      <c r="G2543">
        <v>18662</v>
      </c>
      <c r="H2543" t="s">
        <v>497</v>
      </c>
      <c r="I2543">
        <v>2</v>
      </c>
      <c r="J2543" t="s">
        <v>107</v>
      </c>
      <c r="K2543" s="19">
        <v>0.33333333333333331</v>
      </c>
      <c r="L2543" s="19">
        <v>0.6875</v>
      </c>
      <c r="M2543">
        <v>8.5</v>
      </c>
      <c r="N2543">
        <v>447.04</v>
      </c>
      <c r="O2543">
        <v>76</v>
      </c>
      <c r="P2543">
        <v>76</v>
      </c>
      <c r="Q2543" t="s">
        <v>99</v>
      </c>
      <c r="R2543">
        <v>30</v>
      </c>
      <c r="S2543" s="19">
        <v>0.5</v>
      </c>
      <c r="T2543">
        <v>0</v>
      </c>
      <c r="U2543" s="19">
        <v>0</v>
      </c>
      <c r="V2543" t="s">
        <v>99</v>
      </c>
      <c r="W2543">
        <v>8</v>
      </c>
      <c r="X2543" t="s">
        <v>102</v>
      </c>
      <c r="Y2543" t="b">
        <v>0</v>
      </c>
    </row>
    <row r="2544" spans="1:25" x14ac:dyDescent="0.55000000000000004">
      <c r="A2544" t="s">
        <v>94</v>
      </c>
      <c r="B2544" t="s">
        <v>474</v>
      </c>
      <c r="C2544" t="s">
        <v>308</v>
      </c>
      <c r="D2544" t="s">
        <v>174</v>
      </c>
      <c r="E2544" t="s">
        <v>243</v>
      </c>
      <c r="F2544" t="s">
        <v>99</v>
      </c>
      <c r="G2544">
        <v>18662</v>
      </c>
      <c r="H2544" t="s">
        <v>497</v>
      </c>
      <c r="I2544">
        <v>2</v>
      </c>
      <c r="J2544" t="s">
        <v>101</v>
      </c>
      <c r="K2544" s="19">
        <v>0.33333333333333331</v>
      </c>
      <c r="L2544" s="19">
        <v>0.70833333333333337</v>
      </c>
      <c r="M2544">
        <v>9</v>
      </c>
      <c r="N2544">
        <v>474.98</v>
      </c>
      <c r="O2544">
        <v>76</v>
      </c>
      <c r="P2544">
        <v>76</v>
      </c>
      <c r="Q2544" t="s">
        <v>99</v>
      </c>
      <c r="R2544">
        <v>30</v>
      </c>
      <c r="S2544" s="19">
        <v>0.5</v>
      </c>
      <c r="T2544">
        <v>0</v>
      </c>
      <c r="U2544" s="19">
        <v>0</v>
      </c>
      <c r="V2544" t="s">
        <v>99</v>
      </c>
      <c r="W2544">
        <v>8.5</v>
      </c>
      <c r="X2544" t="s">
        <v>102</v>
      </c>
      <c r="Y2544" t="b">
        <v>0</v>
      </c>
    </row>
    <row r="2545" spans="1:25" x14ac:dyDescent="0.55000000000000004">
      <c r="A2545" t="s">
        <v>94</v>
      </c>
      <c r="B2545" t="s">
        <v>474</v>
      </c>
      <c r="C2545" t="s">
        <v>308</v>
      </c>
      <c r="D2545" t="s">
        <v>174</v>
      </c>
      <c r="E2545" t="s">
        <v>243</v>
      </c>
      <c r="F2545" t="s">
        <v>99</v>
      </c>
      <c r="G2545">
        <v>18662</v>
      </c>
      <c r="H2545" t="s">
        <v>497</v>
      </c>
      <c r="I2545">
        <v>2</v>
      </c>
      <c r="J2545" t="s">
        <v>115</v>
      </c>
      <c r="K2545" s="19">
        <v>0.27083333333333331</v>
      </c>
      <c r="L2545" s="19">
        <v>0.625</v>
      </c>
      <c r="M2545">
        <v>8.5</v>
      </c>
      <c r="N2545">
        <v>712.47</v>
      </c>
      <c r="O2545">
        <v>76</v>
      </c>
      <c r="P2545">
        <v>76</v>
      </c>
      <c r="Q2545" t="s">
        <v>99</v>
      </c>
      <c r="R2545">
        <v>0</v>
      </c>
      <c r="S2545" s="19">
        <v>0.54166666666666663</v>
      </c>
      <c r="T2545">
        <v>0</v>
      </c>
      <c r="U2545" s="19">
        <v>0</v>
      </c>
      <c r="V2545" t="s">
        <v>99</v>
      </c>
      <c r="W2545">
        <v>8.5</v>
      </c>
      <c r="X2545" t="s">
        <v>102</v>
      </c>
      <c r="Y2545" t="b">
        <v>0</v>
      </c>
    </row>
    <row r="2546" spans="1:25" x14ac:dyDescent="0.55000000000000004">
      <c r="A2546" t="s">
        <v>94</v>
      </c>
      <c r="B2546" t="s">
        <v>474</v>
      </c>
      <c r="C2546" t="s">
        <v>308</v>
      </c>
      <c r="D2546" t="s">
        <v>174</v>
      </c>
      <c r="E2546" t="s">
        <v>243</v>
      </c>
      <c r="F2546" t="s">
        <v>99</v>
      </c>
      <c r="G2546">
        <v>18662</v>
      </c>
      <c r="H2546" t="s">
        <v>497</v>
      </c>
      <c r="I2546">
        <v>2</v>
      </c>
      <c r="J2546" t="s">
        <v>103</v>
      </c>
      <c r="K2546" s="19">
        <v>0.33333333333333331</v>
      </c>
      <c r="L2546" s="19">
        <v>0.70833333333333337</v>
      </c>
      <c r="M2546">
        <v>9</v>
      </c>
      <c r="N2546">
        <v>474.98</v>
      </c>
      <c r="O2546">
        <v>76</v>
      </c>
      <c r="P2546">
        <v>76</v>
      </c>
      <c r="Q2546" t="s">
        <v>99</v>
      </c>
      <c r="R2546">
        <v>30</v>
      </c>
      <c r="S2546" s="19">
        <v>0.5</v>
      </c>
      <c r="T2546">
        <v>0</v>
      </c>
      <c r="U2546" s="19">
        <v>0</v>
      </c>
      <c r="V2546" t="s">
        <v>99</v>
      </c>
      <c r="W2546">
        <v>8.5</v>
      </c>
      <c r="X2546" t="s">
        <v>102</v>
      </c>
      <c r="Y2546" t="b">
        <v>0</v>
      </c>
    </row>
    <row r="2547" spans="1:25" x14ac:dyDescent="0.55000000000000004">
      <c r="A2547" t="s">
        <v>94</v>
      </c>
      <c r="B2547" t="s">
        <v>474</v>
      </c>
      <c r="C2547" t="s">
        <v>308</v>
      </c>
      <c r="D2547" t="s">
        <v>174</v>
      </c>
      <c r="E2547" t="s">
        <v>243</v>
      </c>
      <c r="F2547" t="s">
        <v>99</v>
      </c>
      <c r="G2547">
        <v>18662</v>
      </c>
      <c r="H2547" t="s">
        <v>497</v>
      </c>
      <c r="I2547">
        <v>2</v>
      </c>
      <c r="J2547" t="s">
        <v>105</v>
      </c>
      <c r="K2547" s="19">
        <v>0.33333333333333331</v>
      </c>
      <c r="L2547" s="19">
        <v>0.70833333333333337</v>
      </c>
      <c r="M2547">
        <v>9</v>
      </c>
      <c r="N2547">
        <v>474.98</v>
      </c>
      <c r="O2547">
        <v>76</v>
      </c>
      <c r="P2547">
        <v>76</v>
      </c>
      <c r="Q2547" t="s">
        <v>99</v>
      </c>
      <c r="R2547">
        <v>30</v>
      </c>
      <c r="S2547" s="19">
        <v>0.5</v>
      </c>
      <c r="T2547">
        <v>0</v>
      </c>
      <c r="U2547" s="19">
        <v>0</v>
      </c>
      <c r="V2547" t="s">
        <v>99</v>
      </c>
      <c r="W2547">
        <v>8.5</v>
      </c>
      <c r="X2547" t="s">
        <v>102</v>
      </c>
      <c r="Y2547" t="b">
        <v>0</v>
      </c>
    </row>
    <row r="2548" spans="1:25" x14ac:dyDescent="0.55000000000000004">
      <c r="A2548" t="s">
        <v>94</v>
      </c>
      <c r="B2548" t="s">
        <v>474</v>
      </c>
      <c r="C2548" t="s">
        <v>308</v>
      </c>
      <c r="D2548" t="s">
        <v>174</v>
      </c>
      <c r="E2548" t="s">
        <v>245</v>
      </c>
      <c r="F2548" t="s">
        <v>99</v>
      </c>
      <c r="H2548" t="s">
        <v>99</v>
      </c>
      <c r="I2548">
        <v>1</v>
      </c>
      <c r="J2548" t="s">
        <v>101</v>
      </c>
      <c r="K2548" s="19">
        <v>0.27083333333333331</v>
      </c>
      <c r="L2548" s="19">
        <v>0.625</v>
      </c>
      <c r="M2548">
        <v>8.5</v>
      </c>
      <c r="N2548">
        <v>301.2</v>
      </c>
      <c r="O2548">
        <v>0</v>
      </c>
      <c r="P2548">
        <v>0</v>
      </c>
      <c r="Q2548" t="s">
        <v>99</v>
      </c>
      <c r="R2548">
        <v>30</v>
      </c>
      <c r="S2548" s="19">
        <v>0.47916666666666669</v>
      </c>
      <c r="T2548">
        <v>0</v>
      </c>
      <c r="U2548" s="19">
        <v>0</v>
      </c>
      <c r="V2548" t="s">
        <v>99</v>
      </c>
      <c r="W2548">
        <v>8</v>
      </c>
      <c r="X2548" t="s">
        <v>102</v>
      </c>
      <c r="Y2548" t="b">
        <v>0</v>
      </c>
    </row>
    <row r="2549" spans="1:25" x14ac:dyDescent="0.55000000000000004">
      <c r="A2549" t="s">
        <v>94</v>
      </c>
      <c r="B2549" t="s">
        <v>474</v>
      </c>
      <c r="C2549" t="s">
        <v>308</v>
      </c>
      <c r="D2549" t="s">
        <v>174</v>
      </c>
      <c r="E2549" t="s">
        <v>245</v>
      </c>
      <c r="F2549" t="s">
        <v>99</v>
      </c>
      <c r="H2549" t="s">
        <v>99</v>
      </c>
      <c r="I2549">
        <v>1</v>
      </c>
      <c r="J2549" t="s">
        <v>103</v>
      </c>
      <c r="K2549" s="19">
        <v>0.27083333333333331</v>
      </c>
      <c r="L2549" s="19">
        <v>0.625</v>
      </c>
      <c r="M2549">
        <v>8.5</v>
      </c>
      <c r="N2549">
        <v>301.2</v>
      </c>
      <c r="O2549">
        <v>0</v>
      </c>
      <c r="P2549">
        <v>0</v>
      </c>
      <c r="Q2549" t="s">
        <v>99</v>
      </c>
      <c r="R2549">
        <v>30</v>
      </c>
      <c r="S2549" s="19">
        <v>0.47916666666666669</v>
      </c>
      <c r="T2549">
        <v>0</v>
      </c>
      <c r="U2549" s="19">
        <v>0</v>
      </c>
      <c r="V2549" t="s">
        <v>99</v>
      </c>
      <c r="W2549">
        <v>8</v>
      </c>
      <c r="X2549" t="s">
        <v>102</v>
      </c>
      <c r="Y2549" t="b">
        <v>0</v>
      </c>
    </row>
    <row r="2550" spans="1:25" x14ac:dyDescent="0.55000000000000004">
      <c r="A2550" t="s">
        <v>94</v>
      </c>
      <c r="B2550" t="s">
        <v>474</v>
      </c>
      <c r="C2550" t="s">
        <v>308</v>
      </c>
      <c r="D2550" t="s">
        <v>174</v>
      </c>
      <c r="E2550" t="s">
        <v>245</v>
      </c>
      <c r="F2550" t="s">
        <v>99</v>
      </c>
      <c r="H2550" t="s">
        <v>99</v>
      </c>
      <c r="I2550">
        <v>1</v>
      </c>
      <c r="J2550" t="s">
        <v>104</v>
      </c>
      <c r="K2550" s="19">
        <v>0.27083333333333331</v>
      </c>
      <c r="L2550" s="19">
        <v>0.625</v>
      </c>
      <c r="M2550">
        <v>8.5</v>
      </c>
      <c r="N2550">
        <v>301.2</v>
      </c>
      <c r="O2550">
        <v>0</v>
      </c>
      <c r="P2550">
        <v>0</v>
      </c>
      <c r="Q2550" t="s">
        <v>99</v>
      </c>
      <c r="R2550">
        <v>30</v>
      </c>
      <c r="S2550" s="19">
        <v>0.47916666666666669</v>
      </c>
      <c r="T2550">
        <v>0</v>
      </c>
      <c r="U2550" s="19">
        <v>0</v>
      </c>
      <c r="V2550" t="s">
        <v>99</v>
      </c>
      <c r="W2550">
        <v>8</v>
      </c>
      <c r="X2550" t="s">
        <v>102</v>
      </c>
      <c r="Y2550" t="b">
        <v>0</v>
      </c>
    </row>
    <row r="2551" spans="1:25" x14ac:dyDescent="0.55000000000000004">
      <c r="A2551" t="s">
        <v>94</v>
      </c>
      <c r="B2551" t="s">
        <v>474</v>
      </c>
      <c r="C2551" t="s">
        <v>308</v>
      </c>
      <c r="D2551" t="s">
        <v>174</v>
      </c>
      <c r="E2551" t="s">
        <v>245</v>
      </c>
      <c r="F2551" t="s">
        <v>99</v>
      </c>
      <c r="H2551" t="s">
        <v>99</v>
      </c>
      <c r="I2551">
        <v>2</v>
      </c>
      <c r="J2551" t="s">
        <v>101</v>
      </c>
      <c r="K2551" s="19">
        <v>0.27083333333333331</v>
      </c>
      <c r="L2551" s="19">
        <v>0.625</v>
      </c>
      <c r="M2551">
        <v>8.5</v>
      </c>
      <c r="N2551">
        <v>301.2</v>
      </c>
      <c r="O2551">
        <v>0</v>
      </c>
      <c r="P2551">
        <v>0</v>
      </c>
      <c r="Q2551" t="s">
        <v>99</v>
      </c>
      <c r="R2551">
        <v>30</v>
      </c>
      <c r="S2551" s="19">
        <v>0.47916666666666669</v>
      </c>
      <c r="T2551">
        <v>0</v>
      </c>
      <c r="U2551" s="19">
        <v>0</v>
      </c>
      <c r="V2551" t="s">
        <v>99</v>
      </c>
      <c r="W2551">
        <v>8</v>
      </c>
      <c r="X2551" t="s">
        <v>102</v>
      </c>
      <c r="Y2551" t="b">
        <v>0</v>
      </c>
    </row>
    <row r="2552" spans="1:25" x14ac:dyDescent="0.55000000000000004">
      <c r="A2552" t="s">
        <v>94</v>
      </c>
      <c r="B2552" t="s">
        <v>474</v>
      </c>
      <c r="C2552" t="s">
        <v>308</v>
      </c>
      <c r="D2552" t="s">
        <v>174</v>
      </c>
      <c r="E2552" t="s">
        <v>245</v>
      </c>
      <c r="F2552" t="s">
        <v>99</v>
      </c>
      <c r="H2552" t="s">
        <v>99</v>
      </c>
      <c r="I2552">
        <v>2</v>
      </c>
      <c r="J2552" t="s">
        <v>103</v>
      </c>
      <c r="K2552" s="19">
        <v>0.27083333333333331</v>
      </c>
      <c r="L2552" s="19">
        <v>0.625</v>
      </c>
      <c r="M2552">
        <v>8.5</v>
      </c>
      <c r="N2552">
        <v>301.2</v>
      </c>
      <c r="O2552">
        <v>0</v>
      </c>
      <c r="P2552">
        <v>0</v>
      </c>
      <c r="Q2552" t="s">
        <v>99</v>
      </c>
      <c r="R2552">
        <v>30</v>
      </c>
      <c r="S2552" s="19">
        <v>0.47916666666666669</v>
      </c>
      <c r="T2552">
        <v>0</v>
      </c>
      <c r="U2552" s="19">
        <v>0</v>
      </c>
      <c r="V2552" t="s">
        <v>99</v>
      </c>
      <c r="W2552">
        <v>8</v>
      </c>
      <c r="X2552" t="s">
        <v>102</v>
      </c>
      <c r="Y2552" t="b">
        <v>0</v>
      </c>
    </row>
    <row r="2553" spans="1:25" x14ac:dyDescent="0.55000000000000004">
      <c r="A2553" t="s">
        <v>94</v>
      </c>
      <c r="B2553" t="s">
        <v>474</v>
      </c>
      <c r="C2553" t="s">
        <v>308</v>
      </c>
      <c r="D2553" t="s">
        <v>174</v>
      </c>
      <c r="E2553" t="s">
        <v>245</v>
      </c>
      <c r="F2553" t="s">
        <v>99</v>
      </c>
      <c r="H2553" t="s">
        <v>99</v>
      </c>
      <c r="I2553">
        <v>2</v>
      </c>
      <c r="J2553" t="s">
        <v>104</v>
      </c>
      <c r="K2553" s="19">
        <v>0.27083333333333331</v>
      </c>
      <c r="L2553" s="19">
        <v>0.625</v>
      </c>
      <c r="M2553">
        <v>8.5</v>
      </c>
      <c r="N2553">
        <v>301.2</v>
      </c>
      <c r="O2553">
        <v>0</v>
      </c>
      <c r="P2553">
        <v>0</v>
      </c>
      <c r="Q2553" t="s">
        <v>99</v>
      </c>
      <c r="R2553">
        <v>30</v>
      </c>
      <c r="S2553" s="19">
        <v>0.47916666666666669</v>
      </c>
      <c r="T2553">
        <v>0</v>
      </c>
      <c r="U2553" s="19">
        <v>0</v>
      </c>
      <c r="V2553" t="s">
        <v>99</v>
      </c>
      <c r="W2553">
        <v>8</v>
      </c>
      <c r="X2553" t="s">
        <v>102</v>
      </c>
      <c r="Y2553" t="b">
        <v>0</v>
      </c>
    </row>
    <row r="2554" spans="1:25" x14ac:dyDescent="0.55000000000000004">
      <c r="A2554" t="s">
        <v>94</v>
      </c>
      <c r="B2554" t="s">
        <v>474</v>
      </c>
      <c r="C2554" t="s">
        <v>308</v>
      </c>
      <c r="D2554" t="s">
        <v>174</v>
      </c>
      <c r="E2554" t="s">
        <v>245</v>
      </c>
      <c r="F2554" t="s">
        <v>99</v>
      </c>
      <c r="G2554">
        <v>13794</v>
      </c>
      <c r="H2554" t="s">
        <v>498</v>
      </c>
      <c r="I2554">
        <v>1</v>
      </c>
      <c r="J2554" t="s">
        <v>107</v>
      </c>
      <c r="K2554" s="19">
        <v>0.27083333333333331</v>
      </c>
      <c r="L2554" s="19">
        <v>0.625</v>
      </c>
      <c r="M2554">
        <v>8.5</v>
      </c>
      <c r="N2554">
        <v>301.2</v>
      </c>
      <c r="O2554">
        <v>48</v>
      </c>
      <c r="P2554">
        <v>76</v>
      </c>
      <c r="Q2554" t="s">
        <v>99</v>
      </c>
      <c r="R2554">
        <v>30</v>
      </c>
      <c r="S2554" s="19">
        <v>0.47916666666666669</v>
      </c>
      <c r="T2554">
        <v>0</v>
      </c>
      <c r="U2554" s="19">
        <v>0</v>
      </c>
      <c r="V2554" t="s">
        <v>99</v>
      </c>
      <c r="W2554">
        <v>8</v>
      </c>
      <c r="X2554" t="s">
        <v>102</v>
      </c>
      <c r="Y2554" t="b">
        <v>0</v>
      </c>
    </row>
    <row r="2555" spans="1:25" x14ac:dyDescent="0.55000000000000004">
      <c r="A2555" t="s">
        <v>94</v>
      </c>
      <c r="B2555" t="s">
        <v>474</v>
      </c>
      <c r="C2555" t="s">
        <v>308</v>
      </c>
      <c r="D2555" t="s">
        <v>174</v>
      </c>
      <c r="E2555" t="s">
        <v>245</v>
      </c>
      <c r="F2555" t="s">
        <v>99</v>
      </c>
      <c r="G2555">
        <v>13794</v>
      </c>
      <c r="H2555" t="s">
        <v>498</v>
      </c>
      <c r="I2555">
        <v>1</v>
      </c>
      <c r="J2555" t="s">
        <v>115</v>
      </c>
      <c r="K2555" s="19">
        <v>0.27083333333333331</v>
      </c>
      <c r="L2555" s="19">
        <v>0.625</v>
      </c>
      <c r="M2555">
        <v>8.5</v>
      </c>
      <c r="N2555">
        <v>451.8</v>
      </c>
      <c r="O2555">
        <v>48</v>
      </c>
      <c r="P2555">
        <v>76</v>
      </c>
      <c r="Q2555" t="s">
        <v>99</v>
      </c>
      <c r="R2555">
        <v>30</v>
      </c>
      <c r="S2555" s="19">
        <v>0.47916666666666669</v>
      </c>
      <c r="T2555">
        <v>0</v>
      </c>
      <c r="U2555" s="19">
        <v>0</v>
      </c>
      <c r="V2555" t="s">
        <v>99</v>
      </c>
      <c r="W2555">
        <v>8</v>
      </c>
      <c r="X2555" t="s">
        <v>102</v>
      </c>
      <c r="Y2555" t="b">
        <v>0</v>
      </c>
    </row>
    <row r="2556" spans="1:25" x14ac:dyDescent="0.55000000000000004">
      <c r="A2556" t="s">
        <v>94</v>
      </c>
      <c r="B2556" t="s">
        <v>474</v>
      </c>
      <c r="C2556" t="s">
        <v>308</v>
      </c>
      <c r="D2556" t="s">
        <v>174</v>
      </c>
      <c r="E2556" t="s">
        <v>245</v>
      </c>
      <c r="F2556" t="s">
        <v>99</v>
      </c>
      <c r="G2556">
        <v>13794</v>
      </c>
      <c r="H2556" t="s">
        <v>498</v>
      </c>
      <c r="I2556">
        <v>1</v>
      </c>
      <c r="J2556" t="s">
        <v>116</v>
      </c>
      <c r="K2556" s="19">
        <v>0.27083333333333331</v>
      </c>
      <c r="L2556" s="19">
        <v>0.625</v>
      </c>
      <c r="M2556">
        <v>8.5</v>
      </c>
      <c r="N2556">
        <v>527.1</v>
      </c>
      <c r="O2556">
        <v>48</v>
      </c>
      <c r="P2556">
        <v>76</v>
      </c>
      <c r="Q2556" t="s">
        <v>99</v>
      </c>
      <c r="R2556">
        <v>30</v>
      </c>
      <c r="S2556" s="19">
        <v>0.47916666666666669</v>
      </c>
      <c r="T2556">
        <v>0</v>
      </c>
      <c r="U2556" s="19">
        <v>0</v>
      </c>
      <c r="V2556" t="s">
        <v>99</v>
      </c>
      <c r="W2556">
        <v>8</v>
      </c>
      <c r="X2556" t="s">
        <v>102</v>
      </c>
      <c r="Y2556" t="b">
        <v>0</v>
      </c>
    </row>
    <row r="2557" spans="1:25" x14ac:dyDescent="0.55000000000000004">
      <c r="A2557" t="s">
        <v>94</v>
      </c>
      <c r="B2557" t="s">
        <v>474</v>
      </c>
      <c r="C2557" t="s">
        <v>308</v>
      </c>
      <c r="D2557" t="s">
        <v>174</v>
      </c>
      <c r="E2557" t="s">
        <v>245</v>
      </c>
      <c r="F2557" t="s">
        <v>99</v>
      </c>
      <c r="G2557">
        <v>13794</v>
      </c>
      <c r="H2557" t="s">
        <v>498</v>
      </c>
      <c r="I2557">
        <v>2</v>
      </c>
      <c r="J2557" t="s">
        <v>107</v>
      </c>
      <c r="K2557" s="19">
        <v>0.27083333333333331</v>
      </c>
      <c r="L2557" s="19">
        <v>0.625</v>
      </c>
      <c r="M2557">
        <v>8.5</v>
      </c>
      <c r="N2557">
        <v>301.2</v>
      </c>
      <c r="O2557">
        <v>48</v>
      </c>
      <c r="P2557">
        <v>76</v>
      </c>
      <c r="Q2557" t="s">
        <v>99</v>
      </c>
      <c r="R2557">
        <v>30</v>
      </c>
      <c r="S2557" s="19">
        <v>0.47916666666666669</v>
      </c>
      <c r="T2557">
        <v>0</v>
      </c>
      <c r="U2557" s="19">
        <v>0</v>
      </c>
      <c r="V2557" t="s">
        <v>99</v>
      </c>
      <c r="W2557">
        <v>8</v>
      </c>
      <c r="X2557" t="s">
        <v>102</v>
      </c>
      <c r="Y2557" t="b">
        <v>0</v>
      </c>
    </row>
    <row r="2558" spans="1:25" x14ac:dyDescent="0.55000000000000004">
      <c r="A2558" t="s">
        <v>94</v>
      </c>
      <c r="B2558" t="s">
        <v>474</v>
      </c>
      <c r="C2558" t="s">
        <v>308</v>
      </c>
      <c r="D2558" t="s">
        <v>174</v>
      </c>
      <c r="E2558" t="s">
        <v>245</v>
      </c>
      <c r="F2558" t="s">
        <v>99</v>
      </c>
      <c r="G2558">
        <v>13794</v>
      </c>
      <c r="H2558" t="s">
        <v>498</v>
      </c>
      <c r="I2558">
        <v>2</v>
      </c>
      <c r="J2558" t="s">
        <v>115</v>
      </c>
      <c r="K2558" s="19">
        <v>0.27083333333333331</v>
      </c>
      <c r="L2558" s="19">
        <v>0.625</v>
      </c>
      <c r="M2558">
        <v>8.5</v>
      </c>
      <c r="N2558">
        <v>451.8</v>
      </c>
      <c r="O2558">
        <v>48</v>
      </c>
      <c r="P2558">
        <v>76</v>
      </c>
      <c r="Q2558" t="s">
        <v>99</v>
      </c>
      <c r="R2558">
        <v>30</v>
      </c>
      <c r="S2558" s="19">
        <v>0.47916666666666669</v>
      </c>
      <c r="T2558">
        <v>0</v>
      </c>
      <c r="U2558" s="19">
        <v>0</v>
      </c>
      <c r="V2558" t="s">
        <v>99</v>
      </c>
      <c r="W2558">
        <v>8</v>
      </c>
      <c r="X2558" t="s">
        <v>102</v>
      </c>
      <c r="Y2558" t="b">
        <v>0</v>
      </c>
    </row>
    <row r="2559" spans="1:25" x14ac:dyDescent="0.55000000000000004">
      <c r="A2559" t="s">
        <v>94</v>
      </c>
      <c r="B2559" t="s">
        <v>474</v>
      </c>
      <c r="C2559" t="s">
        <v>308</v>
      </c>
      <c r="D2559" t="s">
        <v>174</v>
      </c>
      <c r="E2559" t="s">
        <v>245</v>
      </c>
      <c r="F2559" t="s">
        <v>99</v>
      </c>
      <c r="G2559">
        <v>13794</v>
      </c>
      <c r="H2559" t="s">
        <v>498</v>
      </c>
      <c r="I2559">
        <v>2</v>
      </c>
      <c r="J2559" t="s">
        <v>116</v>
      </c>
      <c r="K2559" s="19">
        <v>0.27083333333333331</v>
      </c>
      <c r="L2559" s="19">
        <v>0.625</v>
      </c>
      <c r="M2559">
        <v>8.5</v>
      </c>
      <c r="N2559">
        <v>527.1</v>
      </c>
      <c r="O2559">
        <v>48</v>
      </c>
      <c r="P2559">
        <v>76</v>
      </c>
      <c r="Q2559" t="s">
        <v>99</v>
      </c>
      <c r="R2559">
        <v>30</v>
      </c>
      <c r="S2559" s="19">
        <v>0.47916666666666669</v>
      </c>
      <c r="T2559">
        <v>0</v>
      </c>
      <c r="U2559" s="19">
        <v>0</v>
      </c>
      <c r="V2559" t="s">
        <v>99</v>
      </c>
      <c r="W2559">
        <v>8</v>
      </c>
      <c r="X2559" t="s">
        <v>102</v>
      </c>
      <c r="Y2559" t="b">
        <v>0</v>
      </c>
    </row>
    <row r="2560" spans="1:25" x14ac:dyDescent="0.55000000000000004">
      <c r="A2560" t="s">
        <v>94</v>
      </c>
      <c r="B2560" t="s">
        <v>474</v>
      </c>
      <c r="C2560" t="s">
        <v>308</v>
      </c>
      <c r="D2560" t="s">
        <v>174</v>
      </c>
      <c r="E2560" t="s">
        <v>245</v>
      </c>
      <c r="F2560" t="s">
        <v>99</v>
      </c>
      <c r="G2560">
        <v>14044</v>
      </c>
      <c r="H2560" t="s">
        <v>499</v>
      </c>
      <c r="I2560">
        <v>1</v>
      </c>
      <c r="J2560" t="s">
        <v>105</v>
      </c>
      <c r="K2560" s="19">
        <v>0.27083333333333331</v>
      </c>
      <c r="L2560" s="19">
        <v>0.625</v>
      </c>
      <c r="M2560">
        <v>8.5</v>
      </c>
      <c r="N2560">
        <v>301.2</v>
      </c>
      <c r="O2560">
        <v>15</v>
      </c>
      <c r="P2560">
        <v>76</v>
      </c>
      <c r="Q2560" t="s">
        <v>99</v>
      </c>
      <c r="R2560">
        <v>30</v>
      </c>
      <c r="S2560" s="19">
        <v>0.47916666666666669</v>
      </c>
      <c r="T2560">
        <v>0</v>
      </c>
      <c r="U2560" s="19">
        <v>0</v>
      </c>
      <c r="V2560" t="s">
        <v>99</v>
      </c>
      <c r="W2560">
        <v>8</v>
      </c>
      <c r="X2560" t="s">
        <v>102</v>
      </c>
      <c r="Y2560" t="b">
        <v>0</v>
      </c>
    </row>
    <row r="2561" spans="1:25" x14ac:dyDescent="0.55000000000000004">
      <c r="A2561" t="s">
        <v>94</v>
      </c>
      <c r="B2561" t="s">
        <v>474</v>
      </c>
      <c r="C2561" t="s">
        <v>308</v>
      </c>
      <c r="D2561" t="s">
        <v>174</v>
      </c>
      <c r="E2561" t="s">
        <v>245</v>
      </c>
      <c r="F2561" t="s">
        <v>99</v>
      </c>
      <c r="G2561">
        <v>14044</v>
      </c>
      <c r="H2561" t="s">
        <v>499</v>
      </c>
      <c r="I2561">
        <v>2</v>
      </c>
      <c r="J2561" t="s">
        <v>105</v>
      </c>
      <c r="K2561" s="19">
        <v>0.27083333333333331</v>
      </c>
      <c r="L2561" s="19">
        <v>0.625</v>
      </c>
      <c r="M2561">
        <v>8.5</v>
      </c>
      <c r="N2561">
        <v>301.2</v>
      </c>
      <c r="O2561">
        <v>15</v>
      </c>
      <c r="P2561">
        <v>76</v>
      </c>
      <c r="Q2561" t="s">
        <v>99</v>
      </c>
      <c r="R2561">
        <v>30</v>
      </c>
      <c r="S2561" s="19">
        <v>0.47916666666666669</v>
      </c>
      <c r="T2561">
        <v>0</v>
      </c>
      <c r="U2561" s="19">
        <v>0</v>
      </c>
      <c r="V2561" t="s">
        <v>99</v>
      </c>
      <c r="W2561">
        <v>8</v>
      </c>
      <c r="X2561" t="s">
        <v>102</v>
      </c>
      <c r="Y2561" t="b">
        <v>0</v>
      </c>
    </row>
    <row r="2562" spans="1:25" x14ac:dyDescent="0.55000000000000004">
      <c r="A2562" t="s">
        <v>94</v>
      </c>
      <c r="B2562" t="s">
        <v>474</v>
      </c>
      <c r="C2562" t="s">
        <v>308</v>
      </c>
      <c r="D2562" t="s">
        <v>174</v>
      </c>
      <c r="E2562" t="s">
        <v>258</v>
      </c>
      <c r="F2562" t="s">
        <v>99</v>
      </c>
      <c r="H2562" t="s">
        <v>99</v>
      </c>
      <c r="I2562">
        <v>1</v>
      </c>
      <c r="J2562" t="s">
        <v>107</v>
      </c>
      <c r="K2562" s="19">
        <v>0.625</v>
      </c>
      <c r="L2562" s="19">
        <v>0.9375</v>
      </c>
      <c r="M2562">
        <v>7.5</v>
      </c>
      <c r="N2562">
        <v>296.49</v>
      </c>
      <c r="O2562">
        <v>0</v>
      </c>
      <c r="P2562">
        <v>0</v>
      </c>
      <c r="Q2562" t="s">
        <v>99</v>
      </c>
      <c r="R2562">
        <v>30</v>
      </c>
      <c r="S2562" s="19">
        <v>0.82291666666666663</v>
      </c>
      <c r="T2562">
        <v>0</v>
      </c>
      <c r="U2562" s="19">
        <v>0</v>
      </c>
      <c r="V2562" t="s">
        <v>99</v>
      </c>
      <c r="W2562">
        <v>7</v>
      </c>
      <c r="X2562" t="s">
        <v>102</v>
      </c>
      <c r="Y2562" t="b">
        <v>0</v>
      </c>
    </row>
    <row r="2563" spans="1:25" x14ac:dyDescent="0.55000000000000004">
      <c r="A2563" t="s">
        <v>94</v>
      </c>
      <c r="B2563" t="s">
        <v>474</v>
      </c>
      <c r="C2563" t="s">
        <v>308</v>
      </c>
      <c r="D2563" t="s">
        <v>174</v>
      </c>
      <c r="E2563" t="s">
        <v>258</v>
      </c>
      <c r="F2563" t="s">
        <v>99</v>
      </c>
      <c r="H2563" t="s">
        <v>99</v>
      </c>
      <c r="I2563">
        <v>1</v>
      </c>
      <c r="J2563" t="s">
        <v>103</v>
      </c>
      <c r="K2563" s="19">
        <v>0.625</v>
      </c>
      <c r="L2563" s="19">
        <v>0.9375</v>
      </c>
      <c r="M2563">
        <v>7.5</v>
      </c>
      <c r="N2563">
        <v>296.49</v>
      </c>
      <c r="O2563">
        <v>0</v>
      </c>
      <c r="P2563">
        <v>0</v>
      </c>
      <c r="Q2563" t="s">
        <v>99</v>
      </c>
      <c r="R2563">
        <v>30</v>
      </c>
      <c r="S2563" s="19">
        <v>0.82291666666666663</v>
      </c>
      <c r="T2563">
        <v>0</v>
      </c>
      <c r="U2563" s="19">
        <v>0</v>
      </c>
      <c r="V2563" t="s">
        <v>99</v>
      </c>
      <c r="W2563">
        <v>7</v>
      </c>
      <c r="X2563" t="s">
        <v>102</v>
      </c>
      <c r="Y2563" t="b">
        <v>0</v>
      </c>
    </row>
    <row r="2564" spans="1:25" x14ac:dyDescent="0.55000000000000004">
      <c r="A2564" t="s">
        <v>94</v>
      </c>
      <c r="B2564" t="s">
        <v>474</v>
      </c>
      <c r="C2564" t="s">
        <v>308</v>
      </c>
      <c r="D2564" t="s">
        <v>174</v>
      </c>
      <c r="E2564" t="s">
        <v>258</v>
      </c>
      <c r="F2564" t="s">
        <v>99</v>
      </c>
      <c r="H2564" t="s">
        <v>99</v>
      </c>
      <c r="I2564">
        <v>2</v>
      </c>
      <c r="J2564" t="s">
        <v>107</v>
      </c>
      <c r="K2564" s="19">
        <v>0.625</v>
      </c>
      <c r="L2564" s="19">
        <v>0.9375</v>
      </c>
      <c r="M2564">
        <v>7.5</v>
      </c>
      <c r="N2564">
        <v>296.49</v>
      </c>
      <c r="O2564">
        <v>0</v>
      </c>
      <c r="P2564">
        <v>0</v>
      </c>
      <c r="Q2564" t="s">
        <v>99</v>
      </c>
      <c r="R2564">
        <v>30</v>
      </c>
      <c r="S2564" s="19">
        <v>0.82291666666666663</v>
      </c>
      <c r="T2564">
        <v>0</v>
      </c>
      <c r="U2564" s="19">
        <v>0</v>
      </c>
      <c r="V2564" t="s">
        <v>99</v>
      </c>
      <c r="W2564">
        <v>7</v>
      </c>
      <c r="X2564" t="s">
        <v>102</v>
      </c>
      <c r="Y2564" t="b">
        <v>0</v>
      </c>
    </row>
    <row r="2565" spans="1:25" x14ac:dyDescent="0.55000000000000004">
      <c r="A2565" t="s">
        <v>94</v>
      </c>
      <c r="B2565" t="s">
        <v>474</v>
      </c>
      <c r="C2565" t="s">
        <v>308</v>
      </c>
      <c r="D2565" t="s">
        <v>174</v>
      </c>
      <c r="E2565" t="s">
        <v>258</v>
      </c>
      <c r="F2565" t="s">
        <v>99</v>
      </c>
      <c r="H2565" t="s">
        <v>99</v>
      </c>
      <c r="I2565">
        <v>2</v>
      </c>
      <c r="J2565" t="s">
        <v>115</v>
      </c>
      <c r="K2565" s="19">
        <v>0.625</v>
      </c>
      <c r="L2565" s="19">
        <v>0.9375</v>
      </c>
      <c r="M2565">
        <v>7.5</v>
      </c>
      <c r="N2565">
        <v>658.88</v>
      </c>
      <c r="O2565">
        <v>0</v>
      </c>
      <c r="P2565">
        <v>0</v>
      </c>
      <c r="Q2565" t="s">
        <v>99</v>
      </c>
      <c r="R2565">
        <v>30</v>
      </c>
      <c r="S2565" s="19">
        <v>0.82291666666666663</v>
      </c>
      <c r="T2565">
        <v>0</v>
      </c>
      <c r="U2565" s="19">
        <v>0</v>
      </c>
      <c r="V2565" t="s">
        <v>99</v>
      </c>
      <c r="W2565">
        <v>7</v>
      </c>
      <c r="X2565" t="s">
        <v>102</v>
      </c>
      <c r="Y2565" t="b">
        <v>0</v>
      </c>
    </row>
    <row r="2566" spans="1:25" x14ac:dyDescent="0.55000000000000004">
      <c r="A2566" t="s">
        <v>94</v>
      </c>
      <c r="B2566" t="s">
        <v>474</v>
      </c>
      <c r="C2566" t="s">
        <v>308</v>
      </c>
      <c r="D2566" t="s">
        <v>174</v>
      </c>
      <c r="E2566" t="s">
        <v>258</v>
      </c>
      <c r="F2566" t="s">
        <v>99</v>
      </c>
      <c r="H2566" t="s">
        <v>99</v>
      </c>
      <c r="I2566">
        <v>2</v>
      </c>
      <c r="J2566" t="s">
        <v>116</v>
      </c>
      <c r="K2566" s="19">
        <v>0.625</v>
      </c>
      <c r="L2566" s="19">
        <v>0.9375</v>
      </c>
      <c r="M2566">
        <v>7.5</v>
      </c>
      <c r="N2566">
        <v>461.21</v>
      </c>
      <c r="O2566">
        <v>0</v>
      </c>
      <c r="P2566">
        <v>0</v>
      </c>
      <c r="Q2566" t="s">
        <v>99</v>
      </c>
      <c r="R2566">
        <v>30</v>
      </c>
      <c r="S2566" s="19">
        <v>0.82291666666666663</v>
      </c>
      <c r="T2566">
        <v>0</v>
      </c>
      <c r="U2566" s="19">
        <v>0</v>
      </c>
      <c r="V2566" t="s">
        <v>99</v>
      </c>
      <c r="W2566">
        <v>7</v>
      </c>
      <c r="X2566" t="s">
        <v>102</v>
      </c>
      <c r="Y2566" t="b">
        <v>0</v>
      </c>
    </row>
    <row r="2567" spans="1:25" x14ac:dyDescent="0.55000000000000004">
      <c r="A2567" t="s">
        <v>94</v>
      </c>
      <c r="B2567" t="s">
        <v>474</v>
      </c>
      <c r="C2567" t="s">
        <v>308</v>
      </c>
      <c r="D2567" t="s">
        <v>174</v>
      </c>
      <c r="E2567" t="s">
        <v>258</v>
      </c>
      <c r="F2567" t="s">
        <v>99</v>
      </c>
      <c r="H2567" t="s">
        <v>99</v>
      </c>
      <c r="I2567">
        <v>2</v>
      </c>
      <c r="J2567" t="s">
        <v>103</v>
      </c>
      <c r="K2567" s="19">
        <v>0.625</v>
      </c>
      <c r="L2567" s="19">
        <v>0.9375</v>
      </c>
      <c r="M2567">
        <v>7.5</v>
      </c>
      <c r="N2567">
        <v>296.49</v>
      </c>
      <c r="O2567">
        <v>0</v>
      </c>
      <c r="P2567">
        <v>0</v>
      </c>
      <c r="Q2567" t="s">
        <v>99</v>
      </c>
      <c r="R2567">
        <v>30</v>
      </c>
      <c r="S2567" s="19">
        <v>0.82291666666666663</v>
      </c>
      <c r="T2567">
        <v>0</v>
      </c>
      <c r="U2567" s="19">
        <v>0</v>
      </c>
      <c r="V2567" t="s">
        <v>99</v>
      </c>
      <c r="W2567">
        <v>7</v>
      </c>
      <c r="X2567" t="s">
        <v>102</v>
      </c>
      <c r="Y2567" t="b">
        <v>0</v>
      </c>
    </row>
    <row r="2568" spans="1:25" x14ac:dyDescent="0.55000000000000004">
      <c r="A2568" t="s">
        <v>94</v>
      </c>
      <c r="B2568" t="s">
        <v>474</v>
      </c>
      <c r="C2568" t="s">
        <v>308</v>
      </c>
      <c r="D2568" t="s">
        <v>174</v>
      </c>
      <c r="E2568" t="s">
        <v>258</v>
      </c>
      <c r="F2568" t="s">
        <v>99</v>
      </c>
      <c r="G2568">
        <v>17262</v>
      </c>
      <c r="H2568" t="s">
        <v>500</v>
      </c>
      <c r="I2568">
        <v>1</v>
      </c>
      <c r="J2568" t="s">
        <v>101</v>
      </c>
      <c r="K2568" s="19">
        <v>0.625</v>
      </c>
      <c r="L2568" s="19">
        <v>0.9375</v>
      </c>
      <c r="M2568">
        <v>7.5</v>
      </c>
      <c r="N2568">
        <v>304.76</v>
      </c>
      <c r="O2568">
        <v>50</v>
      </c>
      <c r="P2568">
        <v>76</v>
      </c>
      <c r="Q2568" t="s">
        <v>99</v>
      </c>
      <c r="R2568">
        <v>30</v>
      </c>
      <c r="S2568" s="19">
        <v>0.82291666666666663</v>
      </c>
      <c r="T2568">
        <v>0</v>
      </c>
      <c r="U2568" s="19">
        <v>0</v>
      </c>
      <c r="V2568" t="s">
        <v>99</v>
      </c>
      <c r="W2568">
        <v>7</v>
      </c>
      <c r="X2568" t="s">
        <v>102</v>
      </c>
      <c r="Y2568" t="b">
        <v>0</v>
      </c>
    </row>
    <row r="2569" spans="1:25" x14ac:dyDescent="0.55000000000000004">
      <c r="A2569" t="s">
        <v>94</v>
      </c>
      <c r="B2569" t="s">
        <v>474</v>
      </c>
      <c r="C2569" t="s">
        <v>308</v>
      </c>
      <c r="D2569" t="s">
        <v>174</v>
      </c>
      <c r="E2569" t="s">
        <v>258</v>
      </c>
      <c r="F2569" t="s">
        <v>99</v>
      </c>
      <c r="G2569">
        <v>17262</v>
      </c>
      <c r="H2569" t="s">
        <v>500</v>
      </c>
      <c r="I2569">
        <v>1</v>
      </c>
      <c r="J2569" t="s">
        <v>115</v>
      </c>
      <c r="K2569" s="19">
        <v>0.625</v>
      </c>
      <c r="L2569" s="19">
        <v>0.9375</v>
      </c>
      <c r="M2569">
        <v>7.5</v>
      </c>
      <c r="N2569">
        <v>406.35</v>
      </c>
      <c r="O2569">
        <v>50</v>
      </c>
      <c r="P2569">
        <v>76</v>
      </c>
      <c r="Q2569" t="s">
        <v>99</v>
      </c>
      <c r="R2569">
        <v>30</v>
      </c>
      <c r="S2569" s="19">
        <v>0.82291666666666663</v>
      </c>
      <c r="T2569">
        <v>0</v>
      </c>
      <c r="U2569" s="19">
        <v>0</v>
      </c>
      <c r="V2569" t="s">
        <v>99</v>
      </c>
      <c r="W2569">
        <v>7</v>
      </c>
      <c r="X2569" t="s">
        <v>102</v>
      </c>
      <c r="Y2569" t="b">
        <v>0</v>
      </c>
    </row>
    <row r="2570" spans="1:25" x14ac:dyDescent="0.55000000000000004">
      <c r="A2570" t="s">
        <v>94</v>
      </c>
      <c r="B2570" t="s">
        <v>474</v>
      </c>
      <c r="C2570" t="s">
        <v>308</v>
      </c>
      <c r="D2570" t="s">
        <v>174</v>
      </c>
      <c r="E2570" t="s">
        <v>258</v>
      </c>
      <c r="F2570" t="s">
        <v>99</v>
      </c>
      <c r="G2570">
        <v>17262</v>
      </c>
      <c r="H2570" t="s">
        <v>500</v>
      </c>
      <c r="I2570">
        <v>1</v>
      </c>
      <c r="J2570" t="s">
        <v>116</v>
      </c>
      <c r="K2570" s="19">
        <v>0.625</v>
      </c>
      <c r="L2570" s="19">
        <v>0.9375</v>
      </c>
      <c r="M2570">
        <v>7.5</v>
      </c>
      <c r="N2570">
        <v>474.08</v>
      </c>
      <c r="O2570">
        <v>50</v>
      </c>
      <c r="P2570">
        <v>76</v>
      </c>
      <c r="Q2570" t="s">
        <v>99</v>
      </c>
      <c r="R2570">
        <v>30</v>
      </c>
      <c r="S2570" s="19">
        <v>0.82291666666666663</v>
      </c>
      <c r="T2570">
        <v>0</v>
      </c>
      <c r="U2570" s="19">
        <v>0</v>
      </c>
      <c r="V2570" t="s">
        <v>99</v>
      </c>
      <c r="W2570">
        <v>7</v>
      </c>
      <c r="X2570" t="s">
        <v>102</v>
      </c>
      <c r="Y2570" t="b">
        <v>0</v>
      </c>
    </row>
    <row r="2571" spans="1:25" x14ac:dyDescent="0.55000000000000004">
      <c r="A2571" t="s">
        <v>94</v>
      </c>
      <c r="B2571" t="s">
        <v>474</v>
      </c>
      <c r="C2571" t="s">
        <v>308</v>
      </c>
      <c r="D2571" t="s">
        <v>174</v>
      </c>
      <c r="E2571" t="s">
        <v>258</v>
      </c>
      <c r="F2571" t="s">
        <v>99</v>
      </c>
      <c r="G2571">
        <v>17262</v>
      </c>
      <c r="H2571" t="s">
        <v>500</v>
      </c>
      <c r="I2571">
        <v>1</v>
      </c>
      <c r="J2571" t="s">
        <v>104</v>
      </c>
      <c r="K2571" s="19">
        <v>0.625</v>
      </c>
      <c r="L2571" s="19">
        <v>0.9375</v>
      </c>
      <c r="M2571">
        <v>7.5</v>
      </c>
      <c r="N2571">
        <v>304.76</v>
      </c>
      <c r="O2571">
        <v>50</v>
      </c>
      <c r="P2571">
        <v>76</v>
      </c>
      <c r="Q2571" t="s">
        <v>99</v>
      </c>
      <c r="R2571">
        <v>30</v>
      </c>
      <c r="S2571" s="19">
        <v>0.82291666666666663</v>
      </c>
      <c r="T2571">
        <v>0</v>
      </c>
      <c r="U2571" s="19">
        <v>0</v>
      </c>
      <c r="V2571" t="s">
        <v>99</v>
      </c>
      <c r="W2571">
        <v>7</v>
      </c>
      <c r="X2571" t="s">
        <v>102</v>
      </c>
      <c r="Y2571" t="b">
        <v>0</v>
      </c>
    </row>
    <row r="2572" spans="1:25" x14ac:dyDescent="0.55000000000000004">
      <c r="A2572" t="s">
        <v>94</v>
      </c>
      <c r="B2572" t="s">
        <v>474</v>
      </c>
      <c r="C2572" t="s">
        <v>308</v>
      </c>
      <c r="D2572" t="s">
        <v>174</v>
      </c>
      <c r="E2572" t="s">
        <v>258</v>
      </c>
      <c r="F2572" t="s">
        <v>99</v>
      </c>
      <c r="G2572">
        <v>17262</v>
      </c>
      <c r="H2572" t="s">
        <v>500</v>
      </c>
      <c r="I2572">
        <v>1</v>
      </c>
      <c r="J2572" t="s">
        <v>105</v>
      </c>
      <c r="K2572" s="19">
        <v>0.625</v>
      </c>
      <c r="L2572" s="19">
        <v>0.9375</v>
      </c>
      <c r="M2572">
        <v>7.5</v>
      </c>
      <c r="N2572">
        <v>304.76</v>
      </c>
      <c r="O2572">
        <v>50</v>
      </c>
      <c r="P2572">
        <v>76</v>
      </c>
      <c r="Q2572" t="s">
        <v>99</v>
      </c>
      <c r="R2572">
        <v>30</v>
      </c>
      <c r="S2572" s="19">
        <v>0.82291666666666663</v>
      </c>
      <c r="T2572">
        <v>0</v>
      </c>
      <c r="U2572" s="19">
        <v>0</v>
      </c>
      <c r="V2572" t="s">
        <v>99</v>
      </c>
      <c r="W2572">
        <v>7</v>
      </c>
      <c r="X2572" t="s">
        <v>102</v>
      </c>
      <c r="Y2572" t="b">
        <v>0</v>
      </c>
    </row>
    <row r="2573" spans="1:25" x14ac:dyDescent="0.55000000000000004">
      <c r="A2573" t="s">
        <v>94</v>
      </c>
      <c r="B2573" t="s">
        <v>474</v>
      </c>
      <c r="C2573" t="s">
        <v>308</v>
      </c>
      <c r="D2573" t="s">
        <v>174</v>
      </c>
      <c r="E2573" t="s">
        <v>258</v>
      </c>
      <c r="F2573" t="s">
        <v>99</v>
      </c>
      <c r="G2573">
        <v>17262</v>
      </c>
      <c r="H2573" t="s">
        <v>500</v>
      </c>
      <c r="I2573">
        <v>2</v>
      </c>
      <c r="J2573" t="s">
        <v>101</v>
      </c>
      <c r="K2573" s="19">
        <v>0.625</v>
      </c>
      <c r="L2573" s="19">
        <v>0.9375</v>
      </c>
      <c r="M2573">
        <v>7.5</v>
      </c>
      <c r="N2573">
        <v>304.76</v>
      </c>
      <c r="O2573">
        <v>50</v>
      </c>
      <c r="P2573">
        <v>76</v>
      </c>
      <c r="Q2573" t="s">
        <v>99</v>
      </c>
      <c r="R2573">
        <v>30</v>
      </c>
      <c r="S2573" s="19">
        <v>0.82291666666666663</v>
      </c>
      <c r="T2573">
        <v>0</v>
      </c>
      <c r="U2573" s="19">
        <v>0</v>
      </c>
      <c r="V2573" t="s">
        <v>99</v>
      </c>
      <c r="W2573">
        <v>7</v>
      </c>
      <c r="X2573" t="s">
        <v>102</v>
      </c>
      <c r="Y2573" t="b">
        <v>0</v>
      </c>
    </row>
    <row r="2574" spans="1:25" x14ac:dyDescent="0.55000000000000004">
      <c r="A2574" t="s">
        <v>94</v>
      </c>
      <c r="B2574" t="s">
        <v>474</v>
      </c>
      <c r="C2574" t="s">
        <v>308</v>
      </c>
      <c r="D2574" t="s">
        <v>174</v>
      </c>
      <c r="E2574" t="s">
        <v>258</v>
      </c>
      <c r="F2574" t="s">
        <v>99</v>
      </c>
      <c r="G2574">
        <v>17262</v>
      </c>
      <c r="H2574" t="s">
        <v>500</v>
      </c>
      <c r="I2574">
        <v>2</v>
      </c>
      <c r="J2574" t="s">
        <v>104</v>
      </c>
      <c r="K2574" s="19">
        <v>0.625</v>
      </c>
      <c r="L2574" s="19">
        <v>0.9375</v>
      </c>
      <c r="M2574">
        <v>7.5</v>
      </c>
      <c r="N2574">
        <v>304.76</v>
      </c>
      <c r="O2574">
        <v>50</v>
      </c>
      <c r="P2574">
        <v>76</v>
      </c>
      <c r="Q2574" t="s">
        <v>99</v>
      </c>
      <c r="R2574">
        <v>30</v>
      </c>
      <c r="S2574" s="19">
        <v>0.82291666666666663</v>
      </c>
      <c r="T2574">
        <v>0</v>
      </c>
      <c r="U2574" s="19">
        <v>0</v>
      </c>
      <c r="V2574" t="s">
        <v>99</v>
      </c>
      <c r="W2574">
        <v>7</v>
      </c>
      <c r="X2574" t="s">
        <v>102</v>
      </c>
      <c r="Y2574" t="b">
        <v>0</v>
      </c>
    </row>
    <row r="2575" spans="1:25" x14ac:dyDescent="0.55000000000000004">
      <c r="A2575" t="s">
        <v>94</v>
      </c>
      <c r="B2575" t="s">
        <v>474</v>
      </c>
      <c r="C2575" t="s">
        <v>308</v>
      </c>
      <c r="D2575" t="s">
        <v>174</v>
      </c>
      <c r="E2575" t="s">
        <v>258</v>
      </c>
      <c r="F2575" t="s">
        <v>99</v>
      </c>
      <c r="G2575">
        <v>17262</v>
      </c>
      <c r="H2575" t="s">
        <v>500</v>
      </c>
      <c r="I2575">
        <v>2</v>
      </c>
      <c r="J2575" t="s">
        <v>105</v>
      </c>
      <c r="K2575" s="19">
        <v>0.625</v>
      </c>
      <c r="L2575" s="19">
        <v>0.9375</v>
      </c>
      <c r="M2575">
        <v>7.5</v>
      </c>
      <c r="N2575">
        <v>304.76</v>
      </c>
      <c r="O2575">
        <v>50</v>
      </c>
      <c r="P2575">
        <v>76</v>
      </c>
      <c r="Q2575" t="s">
        <v>99</v>
      </c>
      <c r="R2575">
        <v>30</v>
      </c>
      <c r="S2575" s="19">
        <v>0.82291666666666663</v>
      </c>
      <c r="T2575">
        <v>0</v>
      </c>
      <c r="U2575" s="19">
        <v>0</v>
      </c>
      <c r="V2575" t="s">
        <v>99</v>
      </c>
      <c r="W2575">
        <v>7</v>
      </c>
      <c r="X2575" t="s">
        <v>102</v>
      </c>
      <c r="Y2575" t="b">
        <v>0</v>
      </c>
    </row>
    <row r="2576" spans="1:25" x14ac:dyDescent="0.55000000000000004">
      <c r="A2576" t="s">
        <v>94</v>
      </c>
      <c r="B2576" t="s">
        <v>474</v>
      </c>
      <c r="C2576" t="s">
        <v>308</v>
      </c>
      <c r="D2576" t="s">
        <v>174</v>
      </c>
      <c r="E2576" t="s">
        <v>265</v>
      </c>
      <c r="F2576" t="s">
        <v>99</v>
      </c>
      <c r="G2576">
        <v>24475</v>
      </c>
      <c r="H2576" t="s">
        <v>501</v>
      </c>
      <c r="I2576">
        <v>2</v>
      </c>
      <c r="J2576" t="s">
        <v>116</v>
      </c>
      <c r="K2576" s="19">
        <v>0.27083333333333331</v>
      </c>
      <c r="L2576" s="19">
        <v>0.625</v>
      </c>
      <c r="M2576">
        <v>8.5</v>
      </c>
      <c r="N2576">
        <v>949.02</v>
      </c>
      <c r="O2576">
        <v>76</v>
      </c>
      <c r="P2576">
        <v>76</v>
      </c>
      <c r="Q2576" t="s">
        <v>99</v>
      </c>
      <c r="R2576">
        <v>0</v>
      </c>
      <c r="S2576" s="19">
        <v>0.47916666666666669</v>
      </c>
      <c r="T2576">
        <v>0</v>
      </c>
      <c r="U2576" s="19">
        <v>0</v>
      </c>
      <c r="V2576" t="s">
        <v>99</v>
      </c>
      <c r="W2576">
        <v>8.5</v>
      </c>
      <c r="X2576" t="s">
        <v>102</v>
      </c>
      <c r="Y2576" t="b">
        <v>0</v>
      </c>
    </row>
    <row r="2577" spans="1:25" x14ac:dyDescent="0.55000000000000004">
      <c r="A2577" t="s">
        <v>94</v>
      </c>
      <c r="B2577" t="s">
        <v>474</v>
      </c>
      <c r="C2577" t="s">
        <v>308</v>
      </c>
      <c r="D2577" t="s">
        <v>174</v>
      </c>
      <c r="E2577" t="s">
        <v>267</v>
      </c>
      <c r="F2577" t="s">
        <v>99</v>
      </c>
      <c r="G2577">
        <v>24475</v>
      </c>
      <c r="H2577" t="s">
        <v>501</v>
      </c>
      <c r="I2577">
        <v>2</v>
      </c>
      <c r="J2577" t="s">
        <v>101</v>
      </c>
      <c r="K2577" s="19">
        <v>0.60416666666666663</v>
      </c>
      <c r="L2577" s="19">
        <v>0.95833333333333337</v>
      </c>
      <c r="M2577">
        <v>8.5</v>
      </c>
      <c r="N2577">
        <v>894.91</v>
      </c>
      <c r="O2577">
        <v>76</v>
      </c>
      <c r="P2577">
        <v>76</v>
      </c>
      <c r="Q2577" t="s">
        <v>99</v>
      </c>
      <c r="R2577">
        <v>0</v>
      </c>
      <c r="S2577" s="19">
        <v>0.82291666666666663</v>
      </c>
      <c r="T2577">
        <v>0</v>
      </c>
      <c r="U2577" s="19">
        <v>0</v>
      </c>
      <c r="V2577" t="s">
        <v>99</v>
      </c>
      <c r="W2577">
        <v>8.5</v>
      </c>
      <c r="X2577" t="s">
        <v>102</v>
      </c>
      <c r="Y2577" t="b">
        <v>0</v>
      </c>
    </row>
    <row r="2578" spans="1:25" x14ac:dyDescent="0.55000000000000004">
      <c r="A2578" t="s">
        <v>94</v>
      </c>
      <c r="B2578" t="s">
        <v>474</v>
      </c>
      <c r="C2578" t="s">
        <v>308</v>
      </c>
      <c r="D2578" t="s">
        <v>174</v>
      </c>
      <c r="E2578" t="s">
        <v>267</v>
      </c>
      <c r="F2578" t="s">
        <v>99</v>
      </c>
      <c r="G2578">
        <v>24475</v>
      </c>
      <c r="H2578" t="s">
        <v>501</v>
      </c>
      <c r="I2578">
        <v>2</v>
      </c>
      <c r="J2578" t="s">
        <v>104</v>
      </c>
      <c r="K2578" s="19">
        <v>0.60416666666666663</v>
      </c>
      <c r="L2578" s="19">
        <v>0.95833333333333337</v>
      </c>
      <c r="M2578">
        <v>8.5</v>
      </c>
      <c r="N2578">
        <v>948.93</v>
      </c>
      <c r="O2578">
        <v>76</v>
      </c>
      <c r="P2578">
        <v>76</v>
      </c>
      <c r="Q2578" t="s">
        <v>99</v>
      </c>
      <c r="R2578">
        <v>0</v>
      </c>
      <c r="S2578" s="19">
        <v>0.82291666666666663</v>
      </c>
      <c r="T2578">
        <v>0</v>
      </c>
      <c r="U2578" s="19">
        <v>0</v>
      </c>
      <c r="V2578" t="s">
        <v>99</v>
      </c>
      <c r="W2578">
        <v>8.5</v>
      </c>
      <c r="X2578" t="s">
        <v>102</v>
      </c>
      <c r="Y2578" t="b">
        <v>0</v>
      </c>
    </row>
    <row r="2579" spans="1:25" x14ac:dyDescent="0.55000000000000004">
      <c r="A2579" t="s">
        <v>94</v>
      </c>
      <c r="B2579" t="s">
        <v>474</v>
      </c>
      <c r="C2579" t="s">
        <v>308</v>
      </c>
      <c r="D2579" t="s">
        <v>174</v>
      </c>
      <c r="E2579" t="s">
        <v>267</v>
      </c>
      <c r="F2579" t="s">
        <v>99</v>
      </c>
      <c r="G2579">
        <v>24475</v>
      </c>
      <c r="H2579" t="s">
        <v>501</v>
      </c>
      <c r="I2579">
        <v>2</v>
      </c>
      <c r="J2579" t="s">
        <v>105</v>
      </c>
      <c r="K2579" s="19">
        <v>0.60416666666666663</v>
      </c>
      <c r="L2579" s="19">
        <v>0.95833333333333337</v>
      </c>
      <c r="M2579">
        <v>8.5</v>
      </c>
      <c r="N2579">
        <v>933.78</v>
      </c>
      <c r="O2579">
        <v>76</v>
      </c>
      <c r="P2579">
        <v>76</v>
      </c>
      <c r="Q2579" t="s">
        <v>99</v>
      </c>
      <c r="R2579">
        <v>0</v>
      </c>
      <c r="S2579" s="19">
        <v>0.82291666666666663</v>
      </c>
      <c r="T2579">
        <v>0</v>
      </c>
      <c r="U2579" s="19">
        <v>0</v>
      </c>
      <c r="V2579" t="s">
        <v>99</v>
      </c>
      <c r="W2579">
        <v>8.5</v>
      </c>
      <c r="X2579" t="s">
        <v>102</v>
      </c>
      <c r="Y2579" t="b">
        <v>0</v>
      </c>
    </row>
    <row r="2580" spans="1:25" x14ac:dyDescent="0.55000000000000004">
      <c r="A2580" t="s">
        <v>94</v>
      </c>
      <c r="B2580" t="s">
        <v>474</v>
      </c>
      <c r="C2580" t="s">
        <v>308</v>
      </c>
      <c r="D2580" t="s">
        <v>174</v>
      </c>
      <c r="E2580" t="s">
        <v>267</v>
      </c>
      <c r="F2580" t="s">
        <v>99</v>
      </c>
      <c r="G2580">
        <v>24530</v>
      </c>
      <c r="H2580" t="s">
        <v>502</v>
      </c>
      <c r="I2580">
        <v>1</v>
      </c>
      <c r="J2580" t="s">
        <v>107</v>
      </c>
      <c r="K2580" s="19">
        <v>0.60416666666666663</v>
      </c>
      <c r="L2580" s="19">
        <v>0.95833333333333337</v>
      </c>
      <c r="M2580">
        <v>8.5</v>
      </c>
      <c r="N2580">
        <v>539.72</v>
      </c>
      <c r="O2580">
        <v>76</v>
      </c>
      <c r="P2580">
        <v>76</v>
      </c>
      <c r="Q2580" t="s">
        <v>99</v>
      </c>
      <c r="R2580">
        <v>0</v>
      </c>
      <c r="S2580" s="19">
        <v>0.82291666666666663</v>
      </c>
      <c r="T2580">
        <v>0</v>
      </c>
      <c r="U2580" s="19">
        <v>0</v>
      </c>
      <c r="V2580" t="s">
        <v>99</v>
      </c>
      <c r="W2580">
        <v>8.5</v>
      </c>
      <c r="X2580" t="s">
        <v>102</v>
      </c>
      <c r="Y2580" t="b">
        <v>0</v>
      </c>
    </row>
    <row r="2581" spans="1:25" x14ac:dyDescent="0.55000000000000004">
      <c r="A2581" t="s">
        <v>94</v>
      </c>
      <c r="B2581" t="s">
        <v>474</v>
      </c>
      <c r="C2581" t="s">
        <v>308</v>
      </c>
      <c r="D2581" t="s">
        <v>174</v>
      </c>
      <c r="E2581" t="s">
        <v>267</v>
      </c>
      <c r="F2581" t="s">
        <v>99</v>
      </c>
      <c r="G2581">
        <v>24530</v>
      </c>
      <c r="H2581" t="s">
        <v>502</v>
      </c>
      <c r="I2581">
        <v>1</v>
      </c>
      <c r="J2581" t="s">
        <v>103</v>
      </c>
      <c r="K2581" s="19">
        <v>0.60416666666666663</v>
      </c>
      <c r="L2581" s="19">
        <v>0.95833333333333337</v>
      </c>
      <c r="M2581">
        <v>8.5</v>
      </c>
      <c r="N2581">
        <v>539.72</v>
      </c>
      <c r="O2581">
        <v>76</v>
      </c>
      <c r="P2581">
        <v>76</v>
      </c>
      <c r="Q2581" t="s">
        <v>99</v>
      </c>
      <c r="R2581">
        <v>0</v>
      </c>
      <c r="S2581" s="19">
        <v>0.82291666666666663</v>
      </c>
      <c r="T2581">
        <v>0</v>
      </c>
      <c r="U2581" s="19">
        <v>0</v>
      </c>
      <c r="V2581" t="s">
        <v>99</v>
      </c>
      <c r="W2581">
        <v>8.5</v>
      </c>
      <c r="X2581" t="s">
        <v>102</v>
      </c>
      <c r="Y2581" t="b">
        <v>0</v>
      </c>
    </row>
    <row r="2582" spans="1:25" x14ac:dyDescent="0.55000000000000004">
      <c r="A2582" t="s">
        <v>94</v>
      </c>
      <c r="B2582" t="s">
        <v>474</v>
      </c>
      <c r="C2582" t="s">
        <v>308</v>
      </c>
      <c r="D2582" t="s">
        <v>174</v>
      </c>
      <c r="E2582" t="s">
        <v>267</v>
      </c>
      <c r="F2582" t="s">
        <v>99</v>
      </c>
      <c r="G2582">
        <v>24530</v>
      </c>
      <c r="H2582" t="s">
        <v>502</v>
      </c>
      <c r="I2582">
        <v>1</v>
      </c>
      <c r="J2582" t="s">
        <v>105</v>
      </c>
      <c r="K2582" s="19">
        <v>0.60416666666666663</v>
      </c>
      <c r="L2582" s="19">
        <v>0.95833333333333337</v>
      </c>
      <c r="M2582">
        <v>8.5</v>
      </c>
      <c r="N2582">
        <v>539.72</v>
      </c>
      <c r="O2582">
        <v>76</v>
      </c>
      <c r="P2582">
        <v>76</v>
      </c>
      <c r="Q2582" t="s">
        <v>99</v>
      </c>
      <c r="R2582">
        <v>0</v>
      </c>
      <c r="S2582" s="19">
        <v>0.82291666666666663</v>
      </c>
      <c r="T2582">
        <v>0</v>
      </c>
      <c r="U2582" s="19">
        <v>0</v>
      </c>
      <c r="V2582" t="s">
        <v>99</v>
      </c>
      <c r="W2582">
        <v>8.5</v>
      </c>
      <c r="X2582" t="s">
        <v>102</v>
      </c>
      <c r="Y2582" t="b">
        <v>0</v>
      </c>
    </row>
    <row r="2583" spans="1:25" x14ac:dyDescent="0.55000000000000004">
      <c r="A2583" t="s">
        <v>94</v>
      </c>
      <c r="B2583" t="s">
        <v>474</v>
      </c>
      <c r="C2583" t="s">
        <v>308</v>
      </c>
      <c r="D2583" t="s">
        <v>174</v>
      </c>
      <c r="E2583" t="s">
        <v>267</v>
      </c>
      <c r="F2583" t="s">
        <v>99</v>
      </c>
      <c r="G2583">
        <v>24781</v>
      </c>
      <c r="H2583" t="s">
        <v>503</v>
      </c>
      <c r="I2583">
        <v>1</v>
      </c>
      <c r="J2583" t="s">
        <v>101</v>
      </c>
      <c r="K2583" s="19">
        <v>0.60416666666666663</v>
      </c>
      <c r="L2583" s="19">
        <v>0.95833333333333337</v>
      </c>
      <c r="M2583">
        <v>8.5</v>
      </c>
      <c r="N2583">
        <v>539.72</v>
      </c>
      <c r="O2583">
        <v>76</v>
      </c>
      <c r="P2583">
        <v>76</v>
      </c>
      <c r="Q2583" t="s">
        <v>99</v>
      </c>
      <c r="R2583">
        <v>0</v>
      </c>
      <c r="S2583" s="19">
        <v>0.82291666666666663</v>
      </c>
      <c r="T2583">
        <v>0</v>
      </c>
      <c r="U2583" s="19">
        <v>0</v>
      </c>
      <c r="V2583" t="s">
        <v>99</v>
      </c>
      <c r="W2583">
        <v>8.5</v>
      </c>
      <c r="X2583" t="s">
        <v>102</v>
      </c>
      <c r="Y2583" t="b">
        <v>0</v>
      </c>
    </row>
    <row r="2584" spans="1:25" x14ac:dyDescent="0.55000000000000004">
      <c r="A2584" t="s">
        <v>94</v>
      </c>
      <c r="B2584" t="s">
        <v>474</v>
      </c>
      <c r="C2584" t="s">
        <v>308</v>
      </c>
      <c r="D2584" t="s">
        <v>174</v>
      </c>
      <c r="E2584" t="s">
        <v>267</v>
      </c>
      <c r="F2584" t="s">
        <v>99</v>
      </c>
      <c r="G2584">
        <v>24781</v>
      </c>
      <c r="H2584" t="s">
        <v>503</v>
      </c>
      <c r="I2584">
        <v>1</v>
      </c>
      <c r="J2584" t="s">
        <v>104</v>
      </c>
      <c r="K2584" s="19">
        <v>0.60416666666666663</v>
      </c>
      <c r="L2584" s="19">
        <v>0.95833333333333337</v>
      </c>
      <c r="M2584">
        <v>8.5</v>
      </c>
      <c r="N2584">
        <v>539.72</v>
      </c>
      <c r="O2584">
        <v>76</v>
      </c>
      <c r="P2584">
        <v>76</v>
      </c>
      <c r="Q2584" t="s">
        <v>99</v>
      </c>
      <c r="R2584">
        <v>0</v>
      </c>
      <c r="S2584" s="19">
        <v>0.82291666666666663</v>
      </c>
      <c r="T2584">
        <v>0</v>
      </c>
      <c r="U2584" s="19">
        <v>0</v>
      </c>
      <c r="V2584" t="s">
        <v>99</v>
      </c>
      <c r="W2584">
        <v>8.5</v>
      </c>
      <c r="X2584" t="s">
        <v>102</v>
      </c>
      <c r="Y2584" t="b">
        <v>0</v>
      </c>
    </row>
    <row r="2585" spans="1:25" x14ac:dyDescent="0.55000000000000004">
      <c r="A2585" t="s">
        <v>94</v>
      </c>
      <c r="B2585" t="s">
        <v>474</v>
      </c>
      <c r="C2585" t="s">
        <v>308</v>
      </c>
      <c r="D2585" t="s">
        <v>174</v>
      </c>
      <c r="E2585" t="s">
        <v>267</v>
      </c>
      <c r="F2585" t="s">
        <v>99</v>
      </c>
      <c r="G2585">
        <v>24781</v>
      </c>
      <c r="H2585" t="s">
        <v>503</v>
      </c>
      <c r="I2585">
        <v>2</v>
      </c>
      <c r="J2585" t="s">
        <v>115</v>
      </c>
      <c r="K2585" s="19">
        <v>0.60416666666666663</v>
      </c>
      <c r="L2585" s="19">
        <v>0.95833333333333337</v>
      </c>
      <c r="M2585">
        <v>8.5</v>
      </c>
      <c r="N2585">
        <v>1178.99</v>
      </c>
      <c r="O2585">
        <v>76</v>
      </c>
      <c r="P2585">
        <v>76</v>
      </c>
      <c r="Q2585" t="s">
        <v>99</v>
      </c>
      <c r="R2585">
        <v>0</v>
      </c>
      <c r="S2585" s="19">
        <v>0.82291666666666663</v>
      </c>
      <c r="T2585">
        <v>0</v>
      </c>
      <c r="U2585" s="19">
        <v>0</v>
      </c>
      <c r="V2585" t="s">
        <v>99</v>
      </c>
      <c r="W2585">
        <v>8.5</v>
      </c>
      <c r="X2585" t="s">
        <v>102</v>
      </c>
      <c r="Y2585" t="b">
        <v>0</v>
      </c>
    </row>
    <row r="2586" spans="1:25" x14ac:dyDescent="0.55000000000000004">
      <c r="A2586" t="s">
        <v>94</v>
      </c>
      <c r="B2586" t="s">
        <v>474</v>
      </c>
      <c r="C2586" t="s">
        <v>308</v>
      </c>
      <c r="D2586" t="s">
        <v>174</v>
      </c>
      <c r="E2586" t="s">
        <v>267</v>
      </c>
      <c r="F2586" t="s">
        <v>99</v>
      </c>
      <c r="G2586">
        <v>24781</v>
      </c>
      <c r="H2586" t="s">
        <v>503</v>
      </c>
      <c r="I2586">
        <v>2</v>
      </c>
      <c r="J2586" t="s">
        <v>116</v>
      </c>
      <c r="K2586" s="19">
        <v>0.60416666666666663</v>
      </c>
      <c r="L2586" s="19">
        <v>0.95833333333333337</v>
      </c>
      <c r="M2586">
        <v>8.5</v>
      </c>
      <c r="N2586">
        <v>834.04</v>
      </c>
      <c r="O2586">
        <v>76</v>
      </c>
      <c r="P2586">
        <v>76</v>
      </c>
      <c r="Q2586" t="s">
        <v>99</v>
      </c>
      <c r="R2586">
        <v>0</v>
      </c>
      <c r="S2586" s="19">
        <v>0.82291666666666663</v>
      </c>
      <c r="T2586">
        <v>0</v>
      </c>
      <c r="U2586" s="19">
        <v>0</v>
      </c>
      <c r="V2586" t="s">
        <v>99</v>
      </c>
      <c r="W2586">
        <v>8.5</v>
      </c>
      <c r="X2586" t="s">
        <v>102</v>
      </c>
      <c r="Y2586" t="b">
        <v>0</v>
      </c>
    </row>
    <row r="2587" spans="1:25" x14ac:dyDescent="0.55000000000000004">
      <c r="A2587" t="s">
        <v>94</v>
      </c>
      <c r="B2587" t="s">
        <v>474</v>
      </c>
      <c r="C2587" t="s">
        <v>308</v>
      </c>
      <c r="D2587" t="s">
        <v>174</v>
      </c>
      <c r="E2587" t="s">
        <v>267</v>
      </c>
      <c r="F2587" t="s">
        <v>99</v>
      </c>
      <c r="G2587">
        <v>24888</v>
      </c>
      <c r="H2587" t="s">
        <v>504</v>
      </c>
      <c r="I2587">
        <v>2</v>
      </c>
      <c r="J2587" t="s">
        <v>107</v>
      </c>
      <c r="K2587" s="19">
        <v>0.60416666666666663</v>
      </c>
      <c r="L2587" s="19">
        <v>0.95833333333333337</v>
      </c>
      <c r="M2587">
        <v>8.5</v>
      </c>
      <c r="N2587">
        <v>539.72</v>
      </c>
      <c r="O2587">
        <v>76</v>
      </c>
      <c r="P2587">
        <v>76</v>
      </c>
      <c r="Q2587" t="s">
        <v>99</v>
      </c>
      <c r="R2587">
        <v>0</v>
      </c>
      <c r="S2587" s="19">
        <v>0</v>
      </c>
      <c r="T2587">
        <v>0</v>
      </c>
      <c r="U2587" s="19">
        <v>0</v>
      </c>
      <c r="V2587" t="s">
        <v>99</v>
      </c>
      <c r="W2587">
        <v>8.5</v>
      </c>
      <c r="X2587" t="s">
        <v>102</v>
      </c>
      <c r="Y2587" t="b">
        <v>0</v>
      </c>
    </row>
    <row r="2588" spans="1:25" x14ac:dyDescent="0.55000000000000004">
      <c r="A2588" t="s">
        <v>94</v>
      </c>
      <c r="B2588" t="s">
        <v>474</v>
      </c>
      <c r="C2588" t="s">
        <v>308</v>
      </c>
      <c r="D2588" t="s">
        <v>174</v>
      </c>
      <c r="E2588" t="s">
        <v>267</v>
      </c>
      <c r="F2588" t="s">
        <v>99</v>
      </c>
      <c r="G2588">
        <v>24888</v>
      </c>
      <c r="H2588" t="s">
        <v>504</v>
      </c>
      <c r="I2588">
        <v>2</v>
      </c>
      <c r="J2588" t="s">
        <v>103</v>
      </c>
      <c r="K2588" s="19">
        <v>0.60416666666666663</v>
      </c>
      <c r="L2588" s="19">
        <v>0.95833333333333337</v>
      </c>
      <c r="M2588">
        <v>8.5</v>
      </c>
      <c r="N2588">
        <v>539.72</v>
      </c>
      <c r="O2588">
        <v>76</v>
      </c>
      <c r="P2588">
        <v>76</v>
      </c>
      <c r="Q2588" t="s">
        <v>99</v>
      </c>
      <c r="R2588">
        <v>0</v>
      </c>
      <c r="S2588" s="19">
        <v>0</v>
      </c>
      <c r="T2588">
        <v>0</v>
      </c>
      <c r="U2588" s="19">
        <v>0</v>
      </c>
      <c r="V2588" t="s">
        <v>99</v>
      </c>
      <c r="W2588">
        <v>8.5</v>
      </c>
      <c r="X2588" t="s">
        <v>102</v>
      </c>
      <c r="Y2588" t="b">
        <v>0</v>
      </c>
    </row>
    <row r="2589" spans="1:25" x14ac:dyDescent="0.55000000000000004">
      <c r="A2589" t="s">
        <v>94</v>
      </c>
      <c r="B2589" t="s">
        <v>474</v>
      </c>
      <c r="C2589" t="s">
        <v>308</v>
      </c>
      <c r="D2589" t="s">
        <v>174</v>
      </c>
      <c r="E2589" t="s">
        <v>267</v>
      </c>
      <c r="F2589" t="s">
        <v>99</v>
      </c>
      <c r="G2589">
        <v>25236</v>
      </c>
      <c r="H2589" t="s">
        <v>505</v>
      </c>
      <c r="I2589">
        <v>1</v>
      </c>
      <c r="J2589" t="s">
        <v>115</v>
      </c>
      <c r="K2589" s="19">
        <v>0.60416666666666663</v>
      </c>
      <c r="L2589" s="19">
        <v>0.95833333333333337</v>
      </c>
      <c r="M2589">
        <v>8.5</v>
      </c>
      <c r="N2589">
        <v>719.06</v>
      </c>
      <c r="O2589">
        <v>76</v>
      </c>
      <c r="P2589">
        <v>76</v>
      </c>
      <c r="Q2589" t="s">
        <v>99</v>
      </c>
      <c r="R2589">
        <v>0</v>
      </c>
      <c r="S2589" s="19">
        <v>0.8125</v>
      </c>
      <c r="T2589">
        <v>0</v>
      </c>
      <c r="U2589" s="19">
        <v>0.54166666666666663</v>
      </c>
      <c r="V2589" t="s">
        <v>99</v>
      </c>
      <c r="W2589">
        <v>8.5</v>
      </c>
      <c r="X2589" t="s">
        <v>102</v>
      </c>
      <c r="Y2589" t="b">
        <v>0</v>
      </c>
    </row>
    <row r="2590" spans="1:25" x14ac:dyDescent="0.55000000000000004">
      <c r="A2590" t="s">
        <v>94</v>
      </c>
      <c r="B2590" t="s">
        <v>474</v>
      </c>
      <c r="C2590" t="s">
        <v>308</v>
      </c>
      <c r="D2590" t="s">
        <v>174</v>
      </c>
      <c r="E2590" t="s">
        <v>267</v>
      </c>
      <c r="F2590" t="s">
        <v>99</v>
      </c>
      <c r="G2590">
        <v>25236</v>
      </c>
      <c r="H2590" t="s">
        <v>505</v>
      </c>
      <c r="I2590">
        <v>1</v>
      </c>
      <c r="J2590" t="s">
        <v>116</v>
      </c>
      <c r="K2590" s="19">
        <v>0.60416666666666663</v>
      </c>
      <c r="L2590" s="19">
        <v>0.95833333333333337</v>
      </c>
      <c r="M2590">
        <v>8.5</v>
      </c>
      <c r="N2590">
        <v>834.04</v>
      </c>
      <c r="O2590">
        <v>76</v>
      </c>
      <c r="P2590">
        <v>76</v>
      </c>
      <c r="Q2590" t="s">
        <v>99</v>
      </c>
      <c r="R2590">
        <v>0</v>
      </c>
      <c r="S2590" s="19">
        <v>0.8125</v>
      </c>
      <c r="T2590">
        <v>0</v>
      </c>
      <c r="U2590" s="19">
        <v>0.54166666666666663</v>
      </c>
      <c r="V2590" t="s">
        <v>99</v>
      </c>
      <c r="W2590">
        <v>8.5</v>
      </c>
      <c r="X2590" t="s">
        <v>102</v>
      </c>
      <c r="Y2590" t="b">
        <v>0</v>
      </c>
    </row>
    <row r="2591" spans="1:25" x14ac:dyDescent="0.55000000000000004">
      <c r="A2591" t="s">
        <v>94</v>
      </c>
      <c r="B2591" t="s">
        <v>474</v>
      </c>
      <c r="C2591" t="s">
        <v>308</v>
      </c>
      <c r="D2591" t="s">
        <v>174</v>
      </c>
      <c r="E2591" t="s">
        <v>273</v>
      </c>
      <c r="F2591" t="s">
        <v>99</v>
      </c>
      <c r="G2591">
        <v>24475</v>
      </c>
      <c r="H2591" t="s">
        <v>501</v>
      </c>
      <c r="I2591">
        <v>1</v>
      </c>
      <c r="J2591" t="s">
        <v>101</v>
      </c>
      <c r="K2591" s="19">
        <v>0.9375</v>
      </c>
      <c r="L2591" s="19">
        <v>0.29166666666666669</v>
      </c>
      <c r="M2591">
        <v>8.5</v>
      </c>
      <c r="N2591">
        <v>558.08000000000004</v>
      </c>
      <c r="O2591">
        <v>76</v>
      </c>
      <c r="P2591">
        <v>76</v>
      </c>
      <c r="Q2591" t="s">
        <v>99</v>
      </c>
      <c r="R2591">
        <v>0</v>
      </c>
      <c r="S2591" s="19">
        <v>0</v>
      </c>
      <c r="T2591">
        <v>0</v>
      </c>
      <c r="U2591" s="19">
        <v>0</v>
      </c>
      <c r="V2591" t="s">
        <v>99</v>
      </c>
      <c r="W2591">
        <v>8.5</v>
      </c>
      <c r="X2591" t="s">
        <v>102</v>
      </c>
      <c r="Y2591" t="b">
        <v>0</v>
      </c>
    </row>
    <row r="2592" spans="1:25" x14ac:dyDescent="0.55000000000000004">
      <c r="A2592" t="s">
        <v>94</v>
      </c>
      <c r="B2592" t="s">
        <v>474</v>
      </c>
      <c r="C2592" t="s">
        <v>308</v>
      </c>
      <c r="D2592" t="s">
        <v>174</v>
      </c>
      <c r="E2592" t="s">
        <v>273</v>
      </c>
      <c r="F2592" t="s">
        <v>99</v>
      </c>
      <c r="G2592">
        <v>24475</v>
      </c>
      <c r="H2592" t="s">
        <v>501</v>
      </c>
      <c r="I2592">
        <v>1</v>
      </c>
      <c r="J2592" t="s">
        <v>104</v>
      </c>
      <c r="K2592" s="19">
        <v>0.9375</v>
      </c>
      <c r="L2592" s="19">
        <v>0.29166666666666669</v>
      </c>
      <c r="M2592">
        <v>8.5</v>
      </c>
      <c r="N2592">
        <v>949.02</v>
      </c>
      <c r="O2592">
        <v>76</v>
      </c>
      <c r="P2592">
        <v>76</v>
      </c>
      <c r="Q2592" t="s">
        <v>99</v>
      </c>
      <c r="R2592">
        <v>0</v>
      </c>
      <c r="S2592" s="19">
        <v>0</v>
      </c>
      <c r="T2592">
        <v>0</v>
      </c>
      <c r="U2592" s="19">
        <v>0</v>
      </c>
      <c r="V2592" t="s">
        <v>99</v>
      </c>
      <c r="W2592">
        <v>8.5</v>
      </c>
      <c r="X2592" t="s">
        <v>102</v>
      </c>
      <c r="Y2592" t="b">
        <v>0</v>
      </c>
    </row>
    <row r="2593" spans="1:25" x14ac:dyDescent="0.55000000000000004">
      <c r="A2593" t="s">
        <v>94</v>
      </c>
      <c r="B2593" t="s">
        <v>474</v>
      </c>
      <c r="C2593" t="s">
        <v>308</v>
      </c>
      <c r="D2593" t="s">
        <v>174</v>
      </c>
      <c r="E2593" t="s">
        <v>273</v>
      </c>
      <c r="F2593" t="s">
        <v>99</v>
      </c>
      <c r="G2593">
        <v>24475</v>
      </c>
      <c r="H2593" t="s">
        <v>501</v>
      </c>
      <c r="I2593">
        <v>1</v>
      </c>
      <c r="J2593" t="s">
        <v>105</v>
      </c>
      <c r="K2593" s="19">
        <v>0.9375</v>
      </c>
      <c r="L2593" s="19">
        <v>0.29166666666666669</v>
      </c>
      <c r="M2593">
        <v>8.5</v>
      </c>
      <c r="N2593">
        <v>949.02</v>
      </c>
      <c r="O2593">
        <v>76</v>
      </c>
      <c r="P2593">
        <v>76</v>
      </c>
      <c r="Q2593" t="s">
        <v>99</v>
      </c>
      <c r="R2593">
        <v>0</v>
      </c>
      <c r="S2593" s="19">
        <v>0</v>
      </c>
      <c r="T2593">
        <v>0</v>
      </c>
      <c r="U2593" s="19">
        <v>0</v>
      </c>
      <c r="V2593" t="s">
        <v>99</v>
      </c>
      <c r="W2593">
        <v>8.5</v>
      </c>
      <c r="X2593" t="s">
        <v>102</v>
      </c>
      <c r="Y2593" t="b">
        <v>0</v>
      </c>
    </row>
    <row r="2594" spans="1:25" x14ac:dyDescent="0.55000000000000004">
      <c r="A2594" t="s">
        <v>94</v>
      </c>
      <c r="B2594" t="s">
        <v>474</v>
      </c>
      <c r="C2594" t="s">
        <v>308</v>
      </c>
      <c r="D2594" t="s">
        <v>174</v>
      </c>
      <c r="E2594" t="s">
        <v>273</v>
      </c>
      <c r="F2594" t="s">
        <v>99</v>
      </c>
      <c r="G2594">
        <v>24530</v>
      </c>
      <c r="H2594" t="s">
        <v>502</v>
      </c>
      <c r="I2594">
        <v>2</v>
      </c>
      <c r="J2594" t="s">
        <v>107</v>
      </c>
      <c r="K2594" s="19">
        <v>0.9375</v>
      </c>
      <c r="L2594" s="19">
        <v>0.29166666666666669</v>
      </c>
      <c r="M2594">
        <v>8.5</v>
      </c>
      <c r="N2594">
        <v>1069.42</v>
      </c>
      <c r="O2594">
        <v>76</v>
      </c>
      <c r="P2594">
        <v>76</v>
      </c>
      <c r="Q2594" t="s">
        <v>99</v>
      </c>
      <c r="R2594">
        <v>0</v>
      </c>
      <c r="S2594" s="19">
        <v>0</v>
      </c>
      <c r="T2594">
        <v>0</v>
      </c>
      <c r="U2594" s="19">
        <v>0</v>
      </c>
      <c r="V2594" t="s">
        <v>99</v>
      </c>
      <c r="W2594">
        <v>8.5</v>
      </c>
      <c r="X2594" t="s">
        <v>102</v>
      </c>
      <c r="Y2594" t="b">
        <v>0</v>
      </c>
    </row>
    <row r="2595" spans="1:25" x14ac:dyDescent="0.55000000000000004">
      <c r="A2595" t="s">
        <v>94</v>
      </c>
      <c r="B2595" t="s">
        <v>474</v>
      </c>
      <c r="C2595" t="s">
        <v>308</v>
      </c>
      <c r="D2595" t="s">
        <v>174</v>
      </c>
      <c r="E2595" t="s">
        <v>273</v>
      </c>
      <c r="F2595" t="s">
        <v>99</v>
      </c>
      <c r="G2595">
        <v>24530</v>
      </c>
      <c r="H2595" t="s">
        <v>502</v>
      </c>
      <c r="I2595">
        <v>2</v>
      </c>
      <c r="J2595" t="s">
        <v>115</v>
      </c>
      <c r="K2595" s="19">
        <v>0.9375</v>
      </c>
      <c r="L2595" s="19">
        <v>0.29166666666666669</v>
      </c>
      <c r="M2595">
        <v>8.5</v>
      </c>
      <c r="N2595">
        <v>894.91</v>
      </c>
      <c r="O2595">
        <v>76</v>
      </c>
      <c r="P2595">
        <v>76</v>
      </c>
      <c r="Q2595" t="s">
        <v>99</v>
      </c>
      <c r="R2595">
        <v>0</v>
      </c>
      <c r="S2595" s="19">
        <v>0</v>
      </c>
      <c r="T2595">
        <v>0</v>
      </c>
      <c r="U2595" s="19">
        <v>0</v>
      </c>
      <c r="V2595" t="s">
        <v>99</v>
      </c>
      <c r="W2595">
        <v>8.5</v>
      </c>
      <c r="X2595" t="s">
        <v>102</v>
      </c>
      <c r="Y2595" t="b">
        <v>0</v>
      </c>
    </row>
    <row r="2596" spans="1:25" x14ac:dyDescent="0.55000000000000004">
      <c r="A2596" t="s">
        <v>94</v>
      </c>
      <c r="B2596" t="s">
        <v>474</v>
      </c>
      <c r="C2596" t="s">
        <v>308</v>
      </c>
      <c r="D2596" t="s">
        <v>174</v>
      </c>
      <c r="E2596" t="s">
        <v>273</v>
      </c>
      <c r="F2596" t="s">
        <v>99</v>
      </c>
      <c r="G2596">
        <v>24530</v>
      </c>
      <c r="H2596" t="s">
        <v>502</v>
      </c>
      <c r="I2596">
        <v>2</v>
      </c>
      <c r="J2596" t="s">
        <v>116</v>
      </c>
      <c r="K2596" s="19">
        <v>0.9375</v>
      </c>
      <c r="L2596" s="19">
        <v>0.29166666666666669</v>
      </c>
      <c r="M2596">
        <v>8.5</v>
      </c>
      <c r="N2596">
        <v>1118.1199999999999</v>
      </c>
      <c r="O2596">
        <v>76</v>
      </c>
      <c r="P2596">
        <v>76</v>
      </c>
      <c r="Q2596" t="s">
        <v>99</v>
      </c>
      <c r="R2596">
        <v>0</v>
      </c>
      <c r="S2596" s="19">
        <v>0</v>
      </c>
      <c r="T2596">
        <v>0</v>
      </c>
      <c r="U2596" s="19">
        <v>0</v>
      </c>
      <c r="V2596" t="s">
        <v>99</v>
      </c>
      <c r="W2596">
        <v>8.5</v>
      </c>
      <c r="X2596" t="s">
        <v>102</v>
      </c>
      <c r="Y2596" t="b">
        <v>0</v>
      </c>
    </row>
    <row r="2597" spans="1:25" x14ac:dyDescent="0.55000000000000004">
      <c r="A2597" t="s">
        <v>94</v>
      </c>
      <c r="B2597" t="s">
        <v>474</v>
      </c>
      <c r="C2597" t="s">
        <v>308</v>
      </c>
      <c r="D2597" t="s">
        <v>174</v>
      </c>
      <c r="E2597" t="s">
        <v>273</v>
      </c>
      <c r="F2597" t="s">
        <v>99</v>
      </c>
      <c r="G2597">
        <v>24530</v>
      </c>
      <c r="H2597" t="s">
        <v>502</v>
      </c>
      <c r="I2597">
        <v>2</v>
      </c>
      <c r="J2597" t="s">
        <v>103</v>
      </c>
      <c r="K2597" s="19">
        <v>0.9375</v>
      </c>
      <c r="L2597" s="19">
        <v>0.29166666666666669</v>
      </c>
      <c r="M2597">
        <v>8.5</v>
      </c>
      <c r="N2597">
        <v>558.08000000000004</v>
      </c>
      <c r="O2597">
        <v>76</v>
      </c>
      <c r="P2597">
        <v>76</v>
      </c>
      <c r="Q2597" t="s">
        <v>99</v>
      </c>
      <c r="R2597">
        <v>0</v>
      </c>
      <c r="S2597" s="19">
        <v>0</v>
      </c>
      <c r="T2597">
        <v>0</v>
      </c>
      <c r="U2597" s="19">
        <v>0</v>
      </c>
      <c r="V2597" t="s">
        <v>99</v>
      </c>
      <c r="W2597">
        <v>8.5</v>
      </c>
      <c r="X2597" t="s">
        <v>102</v>
      </c>
      <c r="Y2597" t="b">
        <v>0</v>
      </c>
    </row>
    <row r="2598" spans="1:25" x14ac:dyDescent="0.55000000000000004">
      <c r="A2598" t="s">
        <v>94</v>
      </c>
      <c r="B2598" t="s">
        <v>474</v>
      </c>
      <c r="C2598" t="s">
        <v>308</v>
      </c>
      <c r="D2598" t="s">
        <v>174</v>
      </c>
      <c r="E2598" t="s">
        <v>273</v>
      </c>
      <c r="F2598" t="s">
        <v>99</v>
      </c>
      <c r="G2598">
        <v>24781</v>
      </c>
      <c r="H2598" t="s">
        <v>503</v>
      </c>
      <c r="I2598">
        <v>2</v>
      </c>
      <c r="J2598" t="s">
        <v>101</v>
      </c>
      <c r="K2598" s="19">
        <v>0.9375</v>
      </c>
      <c r="L2598" s="19">
        <v>0.29166666666666669</v>
      </c>
      <c r="M2598">
        <v>8.5</v>
      </c>
      <c r="N2598">
        <v>558.08000000000004</v>
      </c>
      <c r="O2598">
        <v>76</v>
      </c>
      <c r="P2598">
        <v>76</v>
      </c>
      <c r="Q2598" t="s">
        <v>99</v>
      </c>
      <c r="R2598">
        <v>0</v>
      </c>
      <c r="S2598" s="19">
        <v>0</v>
      </c>
      <c r="T2598">
        <v>0</v>
      </c>
      <c r="U2598" s="19">
        <v>0</v>
      </c>
      <c r="V2598" t="s">
        <v>99</v>
      </c>
      <c r="W2598">
        <v>8.5</v>
      </c>
      <c r="X2598" t="s">
        <v>102</v>
      </c>
      <c r="Y2598" t="b">
        <v>0</v>
      </c>
    </row>
    <row r="2599" spans="1:25" x14ac:dyDescent="0.55000000000000004">
      <c r="A2599" t="s">
        <v>94</v>
      </c>
      <c r="B2599" t="s">
        <v>474</v>
      </c>
      <c r="C2599" t="s">
        <v>308</v>
      </c>
      <c r="D2599" t="s">
        <v>174</v>
      </c>
      <c r="E2599" t="s">
        <v>273</v>
      </c>
      <c r="F2599" t="s">
        <v>99</v>
      </c>
      <c r="G2599">
        <v>24781</v>
      </c>
      <c r="H2599" t="s">
        <v>503</v>
      </c>
      <c r="I2599">
        <v>2</v>
      </c>
      <c r="J2599" t="s">
        <v>104</v>
      </c>
      <c r="K2599" s="19">
        <v>0.9375</v>
      </c>
      <c r="L2599" s="19">
        <v>0.29166666666666669</v>
      </c>
      <c r="M2599">
        <v>8.5</v>
      </c>
      <c r="N2599">
        <v>558.08000000000004</v>
      </c>
      <c r="O2599">
        <v>76</v>
      </c>
      <c r="P2599">
        <v>76</v>
      </c>
      <c r="Q2599" t="s">
        <v>99</v>
      </c>
      <c r="R2599">
        <v>0</v>
      </c>
      <c r="S2599" s="19">
        <v>0</v>
      </c>
      <c r="T2599">
        <v>0</v>
      </c>
      <c r="U2599" s="19">
        <v>0</v>
      </c>
      <c r="V2599" t="s">
        <v>99</v>
      </c>
      <c r="W2599">
        <v>8.5</v>
      </c>
      <c r="X2599" t="s">
        <v>102</v>
      </c>
      <c r="Y2599" t="b">
        <v>0</v>
      </c>
    </row>
    <row r="2600" spans="1:25" x14ac:dyDescent="0.55000000000000004">
      <c r="A2600" t="s">
        <v>94</v>
      </c>
      <c r="B2600" t="s">
        <v>474</v>
      </c>
      <c r="C2600" t="s">
        <v>308</v>
      </c>
      <c r="D2600" t="s">
        <v>174</v>
      </c>
      <c r="E2600" t="s">
        <v>273</v>
      </c>
      <c r="F2600" t="s">
        <v>99</v>
      </c>
      <c r="G2600">
        <v>24781</v>
      </c>
      <c r="H2600" t="s">
        <v>503</v>
      </c>
      <c r="I2600">
        <v>2</v>
      </c>
      <c r="J2600" t="s">
        <v>105</v>
      </c>
      <c r="K2600" s="19">
        <v>0.9375</v>
      </c>
      <c r="L2600" s="19">
        <v>0.29166666666666669</v>
      </c>
      <c r="M2600">
        <v>8.5</v>
      </c>
      <c r="N2600">
        <v>558.08000000000004</v>
      </c>
      <c r="O2600">
        <v>76</v>
      </c>
      <c r="P2600">
        <v>76</v>
      </c>
      <c r="Q2600" t="s">
        <v>99</v>
      </c>
      <c r="R2600">
        <v>0</v>
      </c>
      <c r="S2600" s="19">
        <v>0</v>
      </c>
      <c r="T2600">
        <v>0</v>
      </c>
      <c r="U2600" s="19">
        <v>0</v>
      </c>
      <c r="V2600" t="s">
        <v>99</v>
      </c>
      <c r="W2600">
        <v>8.5</v>
      </c>
      <c r="X2600" t="s">
        <v>102</v>
      </c>
      <c r="Y2600" t="b">
        <v>0</v>
      </c>
    </row>
    <row r="2601" spans="1:25" x14ac:dyDescent="0.55000000000000004">
      <c r="A2601" t="s">
        <v>94</v>
      </c>
      <c r="B2601" t="s">
        <v>474</v>
      </c>
      <c r="C2601" t="s">
        <v>308</v>
      </c>
      <c r="D2601" t="s">
        <v>174</v>
      </c>
      <c r="E2601" t="s">
        <v>273</v>
      </c>
      <c r="F2601" t="s">
        <v>99</v>
      </c>
      <c r="G2601">
        <v>24888</v>
      </c>
      <c r="H2601" t="s">
        <v>504</v>
      </c>
      <c r="I2601">
        <v>1</v>
      </c>
      <c r="J2601" t="s">
        <v>107</v>
      </c>
      <c r="K2601" s="19">
        <v>0.9375</v>
      </c>
      <c r="L2601" s="19">
        <v>0.29166666666666669</v>
      </c>
      <c r="M2601">
        <v>8.5</v>
      </c>
      <c r="N2601">
        <v>690.65</v>
      </c>
      <c r="O2601">
        <v>76</v>
      </c>
      <c r="P2601">
        <v>76</v>
      </c>
      <c r="Q2601" t="s">
        <v>99</v>
      </c>
      <c r="R2601">
        <v>0</v>
      </c>
      <c r="S2601" s="19">
        <v>0.14583333333333334</v>
      </c>
      <c r="T2601">
        <v>0</v>
      </c>
      <c r="U2601" s="19">
        <v>0</v>
      </c>
      <c r="V2601" t="s">
        <v>99</v>
      </c>
      <c r="W2601">
        <v>8.5</v>
      </c>
      <c r="X2601" t="s">
        <v>102</v>
      </c>
      <c r="Y2601" t="b">
        <v>0</v>
      </c>
    </row>
    <row r="2602" spans="1:25" x14ac:dyDescent="0.55000000000000004">
      <c r="A2602" t="s">
        <v>94</v>
      </c>
      <c r="B2602" t="s">
        <v>474</v>
      </c>
      <c r="C2602" t="s">
        <v>308</v>
      </c>
      <c r="D2602" t="s">
        <v>174</v>
      </c>
      <c r="E2602" t="s">
        <v>273</v>
      </c>
      <c r="F2602" t="s">
        <v>99</v>
      </c>
      <c r="G2602">
        <v>24888</v>
      </c>
      <c r="H2602" t="s">
        <v>504</v>
      </c>
      <c r="I2602">
        <v>1</v>
      </c>
      <c r="J2602" t="s">
        <v>115</v>
      </c>
      <c r="K2602" s="19">
        <v>0.9375</v>
      </c>
      <c r="L2602" s="19">
        <v>0.29166666666666669</v>
      </c>
      <c r="M2602">
        <v>8.5</v>
      </c>
      <c r="N2602">
        <v>813.75</v>
      </c>
      <c r="O2602">
        <v>76</v>
      </c>
      <c r="P2602">
        <v>76</v>
      </c>
      <c r="Q2602" t="s">
        <v>99</v>
      </c>
      <c r="R2602">
        <v>0</v>
      </c>
      <c r="S2602" s="19">
        <v>0.14583333333333334</v>
      </c>
      <c r="T2602">
        <v>0</v>
      </c>
      <c r="U2602" s="19">
        <v>0</v>
      </c>
      <c r="V2602" t="s">
        <v>99</v>
      </c>
      <c r="W2602">
        <v>8.5</v>
      </c>
      <c r="X2602" t="s">
        <v>102</v>
      </c>
      <c r="Y2602" t="b">
        <v>0</v>
      </c>
    </row>
    <row r="2603" spans="1:25" x14ac:dyDescent="0.55000000000000004">
      <c r="A2603" t="s">
        <v>94</v>
      </c>
      <c r="B2603" t="s">
        <v>474</v>
      </c>
      <c r="C2603" t="s">
        <v>308</v>
      </c>
      <c r="D2603" t="s">
        <v>174</v>
      </c>
      <c r="E2603" t="s">
        <v>273</v>
      </c>
      <c r="F2603" t="s">
        <v>99</v>
      </c>
      <c r="G2603">
        <v>24888</v>
      </c>
      <c r="H2603" t="s">
        <v>504</v>
      </c>
      <c r="I2603">
        <v>1</v>
      </c>
      <c r="J2603" t="s">
        <v>116</v>
      </c>
      <c r="K2603" s="19">
        <v>0.9375</v>
      </c>
      <c r="L2603" s="19">
        <v>0.29166666666666669</v>
      </c>
      <c r="M2603">
        <v>8.5</v>
      </c>
      <c r="N2603">
        <v>606.78</v>
      </c>
      <c r="O2603">
        <v>76</v>
      </c>
      <c r="P2603">
        <v>76</v>
      </c>
      <c r="Q2603" t="s">
        <v>99</v>
      </c>
      <c r="R2603">
        <v>0</v>
      </c>
      <c r="S2603" s="19">
        <v>0.14583333333333334</v>
      </c>
      <c r="T2603">
        <v>0</v>
      </c>
      <c r="U2603" s="19">
        <v>0</v>
      </c>
      <c r="V2603" t="s">
        <v>99</v>
      </c>
      <c r="W2603">
        <v>8.5</v>
      </c>
      <c r="X2603" t="s">
        <v>102</v>
      </c>
      <c r="Y2603" t="b">
        <v>0</v>
      </c>
    </row>
    <row r="2604" spans="1:25" x14ac:dyDescent="0.55000000000000004">
      <c r="A2604" t="s">
        <v>94</v>
      </c>
      <c r="B2604" t="s">
        <v>474</v>
      </c>
      <c r="C2604" t="s">
        <v>308</v>
      </c>
      <c r="D2604" t="s">
        <v>174</v>
      </c>
      <c r="E2604" t="s">
        <v>273</v>
      </c>
      <c r="F2604" t="s">
        <v>99</v>
      </c>
      <c r="G2604">
        <v>24888</v>
      </c>
      <c r="H2604" t="s">
        <v>504</v>
      </c>
      <c r="I2604">
        <v>1</v>
      </c>
      <c r="J2604" t="s">
        <v>103</v>
      </c>
      <c r="K2604" s="19">
        <v>0.9375</v>
      </c>
      <c r="L2604" s="19">
        <v>0.29166666666666669</v>
      </c>
      <c r="M2604">
        <v>8.5</v>
      </c>
      <c r="N2604">
        <v>558.08000000000004</v>
      </c>
      <c r="O2604">
        <v>76</v>
      </c>
      <c r="P2604">
        <v>76</v>
      </c>
      <c r="Q2604" t="s">
        <v>99</v>
      </c>
      <c r="R2604">
        <v>0</v>
      </c>
      <c r="S2604" s="19">
        <v>0</v>
      </c>
      <c r="T2604">
        <v>0</v>
      </c>
      <c r="U2604" s="19">
        <v>0</v>
      </c>
      <c r="V2604" t="s">
        <v>99</v>
      </c>
      <c r="W2604">
        <v>8.5</v>
      </c>
      <c r="X2604" t="s">
        <v>102</v>
      </c>
      <c r="Y2604" t="b">
        <v>0</v>
      </c>
    </row>
    <row r="2605" spans="1:25" x14ac:dyDescent="0.55000000000000004">
      <c r="A2605" t="s">
        <v>94</v>
      </c>
      <c r="B2605" t="s">
        <v>474</v>
      </c>
      <c r="C2605" t="s">
        <v>308</v>
      </c>
      <c r="D2605" t="s">
        <v>174</v>
      </c>
      <c r="E2605" t="s">
        <v>277</v>
      </c>
      <c r="F2605" t="s">
        <v>99</v>
      </c>
      <c r="G2605">
        <v>24475</v>
      </c>
      <c r="H2605" t="s">
        <v>501</v>
      </c>
      <c r="I2605">
        <v>1</v>
      </c>
      <c r="J2605" t="s">
        <v>107</v>
      </c>
      <c r="K2605" s="19">
        <v>0.33333333333333331</v>
      </c>
      <c r="L2605" s="19">
        <v>0.70833333333333337</v>
      </c>
      <c r="M2605">
        <v>9</v>
      </c>
      <c r="N2605">
        <v>459.94</v>
      </c>
      <c r="O2605">
        <v>76</v>
      </c>
      <c r="P2605">
        <v>76</v>
      </c>
      <c r="Q2605" t="s">
        <v>99</v>
      </c>
      <c r="R2605">
        <v>30</v>
      </c>
      <c r="S2605" s="19">
        <v>0.54166666666666663</v>
      </c>
      <c r="T2605">
        <v>0</v>
      </c>
      <c r="U2605" s="19">
        <v>0.54166666666666663</v>
      </c>
      <c r="V2605" t="s">
        <v>99</v>
      </c>
      <c r="W2605">
        <v>8.5</v>
      </c>
      <c r="X2605" t="s">
        <v>102</v>
      </c>
      <c r="Y2605" t="b">
        <v>0</v>
      </c>
    </row>
    <row r="2606" spans="1:25" x14ac:dyDescent="0.55000000000000004">
      <c r="A2606" t="s">
        <v>94</v>
      </c>
      <c r="B2606" t="s">
        <v>474</v>
      </c>
      <c r="C2606" t="s">
        <v>308</v>
      </c>
      <c r="D2606" t="s">
        <v>174</v>
      </c>
      <c r="E2606" t="s">
        <v>277</v>
      </c>
      <c r="F2606" t="s">
        <v>99</v>
      </c>
      <c r="G2606">
        <v>24475</v>
      </c>
      <c r="H2606" t="s">
        <v>501</v>
      </c>
      <c r="I2606">
        <v>2</v>
      </c>
      <c r="J2606" t="s">
        <v>107</v>
      </c>
      <c r="K2606" s="19">
        <v>0.33333333333333331</v>
      </c>
      <c r="L2606" s="19">
        <v>0.6875</v>
      </c>
      <c r="M2606">
        <v>8.5</v>
      </c>
      <c r="N2606">
        <v>649.32000000000005</v>
      </c>
      <c r="O2606">
        <v>76</v>
      </c>
      <c r="P2606">
        <v>76</v>
      </c>
      <c r="Q2606" t="s">
        <v>99</v>
      </c>
      <c r="R2606">
        <v>30</v>
      </c>
      <c r="S2606" s="19">
        <v>0.54166666666666663</v>
      </c>
      <c r="T2606">
        <v>0</v>
      </c>
      <c r="U2606" s="19">
        <v>0.54166666666666663</v>
      </c>
      <c r="V2606" t="s">
        <v>99</v>
      </c>
      <c r="W2606">
        <v>8</v>
      </c>
      <c r="X2606" t="s">
        <v>102</v>
      </c>
      <c r="Y2606" t="b">
        <v>0</v>
      </c>
    </row>
    <row r="2607" spans="1:25" x14ac:dyDescent="0.55000000000000004">
      <c r="A2607" t="s">
        <v>94</v>
      </c>
      <c r="B2607" t="s">
        <v>474</v>
      </c>
      <c r="C2607" t="s">
        <v>308</v>
      </c>
      <c r="D2607" t="s">
        <v>174</v>
      </c>
      <c r="E2607" t="s">
        <v>277</v>
      </c>
      <c r="F2607" t="s">
        <v>99</v>
      </c>
      <c r="G2607">
        <v>24530</v>
      </c>
      <c r="H2607" t="s">
        <v>502</v>
      </c>
      <c r="I2607">
        <v>2</v>
      </c>
      <c r="J2607" t="s">
        <v>101</v>
      </c>
      <c r="K2607" s="19">
        <v>0.27083333333333331</v>
      </c>
      <c r="L2607" s="19">
        <v>0.625</v>
      </c>
      <c r="M2607">
        <v>8.5</v>
      </c>
      <c r="N2607">
        <v>432.88</v>
      </c>
      <c r="O2607">
        <v>76</v>
      </c>
      <c r="P2607">
        <v>76</v>
      </c>
      <c r="Q2607" t="s">
        <v>99</v>
      </c>
      <c r="R2607">
        <v>30</v>
      </c>
      <c r="S2607" s="19">
        <v>0.47916666666666669</v>
      </c>
      <c r="T2607">
        <v>0</v>
      </c>
      <c r="U2607" s="19">
        <v>0</v>
      </c>
      <c r="V2607" t="s">
        <v>99</v>
      </c>
      <c r="W2607">
        <v>8</v>
      </c>
      <c r="X2607" t="s">
        <v>102</v>
      </c>
      <c r="Y2607" t="b">
        <v>0</v>
      </c>
    </row>
    <row r="2608" spans="1:25" x14ac:dyDescent="0.55000000000000004">
      <c r="A2608" t="s">
        <v>94</v>
      </c>
      <c r="B2608" t="s">
        <v>474</v>
      </c>
      <c r="C2608" t="s">
        <v>308</v>
      </c>
      <c r="D2608" t="s">
        <v>174</v>
      </c>
      <c r="E2608" t="s">
        <v>277</v>
      </c>
      <c r="F2608" t="s">
        <v>99</v>
      </c>
      <c r="G2608">
        <v>24530</v>
      </c>
      <c r="H2608" t="s">
        <v>502</v>
      </c>
      <c r="I2608">
        <v>2</v>
      </c>
      <c r="J2608" t="s">
        <v>104</v>
      </c>
      <c r="K2608" s="19">
        <v>0.33333333333333331</v>
      </c>
      <c r="L2608" s="19">
        <v>0.70833333333333337</v>
      </c>
      <c r="M2608">
        <v>9</v>
      </c>
      <c r="N2608">
        <v>459.94</v>
      </c>
      <c r="O2608">
        <v>76</v>
      </c>
      <c r="P2608">
        <v>76</v>
      </c>
      <c r="Q2608" t="s">
        <v>99</v>
      </c>
      <c r="R2608">
        <v>30</v>
      </c>
      <c r="S2608" s="19">
        <v>0.54166666666666663</v>
      </c>
      <c r="T2608">
        <v>0</v>
      </c>
      <c r="U2608" s="19">
        <v>0</v>
      </c>
      <c r="V2608" t="s">
        <v>99</v>
      </c>
      <c r="W2608">
        <v>8.5</v>
      </c>
      <c r="X2608" t="s">
        <v>102</v>
      </c>
      <c r="Y2608" t="b">
        <v>0</v>
      </c>
    </row>
    <row r="2609" spans="1:25" x14ac:dyDescent="0.55000000000000004">
      <c r="A2609" t="s">
        <v>94</v>
      </c>
      <c r="B2609" t="s">
        <v>474</v>
      </c>
      <c r="C2609" t="s">
        <v>308</v>
      </c>
      <c r="D2609" t="s">
        <v>174</v>
      </c>
      <c r="E2609" t="s">
        <v>277</v>
      </c>
      <c r="F2609" t="s">
        <v>99</v>
      </c>
      <c r="G2609">
        <v>24781</v>
      </c>
      <c r="H2609" t="s">
        <v>503</v>
      </c>
      <c r="I2609">
        <v>1</v>
      </c>
      <c r="J2609" t="s">
        <v>107</v>
      </c>
      <c r="K2609" s="19">
        <v>0.27083333333333331</v>
      </c>
      <c r="L2609" s="19">
        <v>0.625</v>
      </c>
      <c r="M2609">
        <v>8.5</v>
      </c>
      <c r="N2609">
        <v>432.88</v>
      </c>
      <c r="O2609">
        <v>76</v>
      </c>
      <c r="P2609">
        <v>76</v>
      </c>
      <c r="Q2609" t="s">
        <v>99</v>
      </c>
      <c r="R2609">
        <v>30</v>
      </c>
      <c r="S2609" s="19">
        <v>0.47916666666666669</v>
      </c>
      <c r="T2609">
        <v>0</v>
      </c>
      <c r="U2609" s="19">
        <v>0</v>
      </c>
      <c r="V2609" t="s">
        <v>99</v>
      </c>
      <c r="W2609">
        <v>8</v>
      </c>
      <c r="X2609" t="s">
        <v>102</v>
      </c>
      <c r="Y2609" t="b">
        <v>0</v>
      </c>
    </row>
    <row r="2610" spans="1:25" x14ac:dyDescent="0.55000000000000004">
      <c r="A2610" t="s">
        <v>94</v>
      </c>
      <c r="B2610" t="s">
        <v>474</v>
      </c>
      <c r="C2610" t="s">
        <v>308</v>
      </c>
      <c r="D2610" t="s">
        <v>174</v>
      </c>
      <c r="E2610" t="s">
        <v>277</v>
      </c>
      <c r="F2610" t="s">
        <v>99</v>
      </c>
      <c r="G2610">
        <v>24781</v>
      </c>
      <c r="H2610" t="s">
        <v>503</v>
      </c>
      <c r="I2610">
        <v>1</v>
      </c>
      <c r="J2610" t="s">
        <v>103</v>
      </c>
      <c r="K2610" s="19">
        <v>0.33333333333333331</v>
      </c>
      <c r="L2610" s="19">
        <v>0.70833333333333337</v>
      </c>
      <c r="M2610">
        <v>9</v>
      </c>
      <c r="N2610">
        <v>459.94</v>
      </c>
      <c r="O2610">
        <v>76</v>
      </c>
      <c r="P2610">
        <v>76</v>
      </c>
      <c r="Q2610" t="s">
        <v>99</v>
      </c>
      <c r="R2610">
        <v>30</v>
      </c>
      <c r="S2610" s="19">
        <v>0.54166666666666663</v>
      </c>
      <c r="T2610">
        <v>0</v>
      </c>
      <c r="U2610" s="19">
        <v>0</v>
      </c>
      <c r="V2610" t="s">
        <v>99</v>
      </c>
      <c r="W2610">
        <v>8.5</v>
      </c>
      <c r="X2610" t="s">
        <v>102</v>
      </c>
      <c r="Y2610" t="b">
        <v>0</v>
      </c>
    </row>
    <row r="2611" spans="1:25" x14ac:dyDescent="0.55000000000000004">
      <c r="A2611" t="s">
        <v>94</v>
      </c>
      <c r="B2611" t="s">
        <v>474</v>
      </c>
      <c r="C2611" t="s">
        <v>308</v>
      </c>
      <c r="D2611" t="s">
        <v>174</v>
      </c>
      <c r="E2611" t="s">
        <v>277</v>
      </c>
      <c r="F2611" t="s">
        <v>99</v>
      </c>
      <c r="G2611">
        <v>24888</v>
      </c>
      <c r="H2611" t="s">
        <v>504</v>
      </c>
      <c r="I2611">
        <v>1</v>
      </c>
      <c r="J2611" t="s">
        <v>101</v>
      </c>
      <c r="K2611" s="19">
        <v>0.27083333333333331</v>
      </c>
      <c r="L2611" s="19">
        <v>0.64583333333333337</v>
      </c>
      <c r="M2611">
        <v>9</v>
      </c>
      <c r="N2611">
        <v>459.94</v>
      </c>
      <c r="O2611">
        <v>76</v>
      </c>
      <c r="P2611">
        <v>76</v>
      </c>
      <c r="Q2611" t="s">
        <v>99</v>
      </c>
      <c r="R2611">
        <v>30</v>
      </c>
      <c r="S2611" s="19">
        <v>0.47916666666666669</v>
      </c>
      <c r="T2611">
        <v>0</v>
      </c>
      <c r="U2611" s="19">
        <v>0</v>
      </c>
      <c r="V2611" t="s">
        <v>99</v>
      </c>
      <c r="W2611">
        <v>8.5</v>
      </c>
      <c r="X2611" t="s">
        <v>102</v>
      </c>
      <c r="Y2611" t="b">
        <v>0</v>
      </c>
    </row>
    <row r="2612" spans="1:25" x14ac:dyDescent="0.55000000000000004">
      <c r="A2612" t="s">
        <v>94</v>
      </c>
      <c r="B2612" t="s">
        <v>474</v>
      </c>
      <c r="C2612" t="s">
        <v>308</v>
      </c>
      <c r="D2612" t="s">
        <v>174</v>
      </c>
      <c r="E2612" t="s">
        <v>277</v>
      </c>
      <c r="F2612" t="s">
        <v>99</v>
      </c>
      <c r="G2612">
        <v>24888</v>
      </c>
      <c r="H2612" t="s">
        <v>504</v>
      </c>
      <c r="I2612">
        <v>1</v>
      </c>
      <c r="J2612" t="s">
        <v>104</v>
      </c>
      <c r="K2612" s="19">
        <v>0.27083333333333331</v>
      </c>
      <c r="L2612" s="19">
        <v>0.625</v>
      </c>
      <c r="M2612">
        <v>8.5</v>
      </c>
      <c r="N2612">
        <v>432.88</v>
      </c>
      <c r="O2612">
        <v>76</v>
      </c>
      <c r="P2612">
        <v>76</v>
      </c>
      <c r="Q2612" t="s">
        <v>99</v>
      </c>
      <c r="R2612">
        <v>30</v>
      </c>
      <c r="S2612" s="19">
        <v>0.47916666666666669</v>
      </c>
      <c r="T2612">
        <v>0</v>
      </c>
      <c r="U2612" s="19">
        <v>0</v>
      </c>
      <c r="V2612" t="s">
        <v>99</v>
      </c>
      <c r="W2612">
        <v>8</v>
      </c>
      <c r="X2612" t="s">
        <v>102</v>
      </c>
      <c r="Y2612" t="b">
        <v>0</v>
      </c>
    </row>
    <row r="2613" spans="1:25" x14ac:dyDescent="0.55000000000000004">
      <c r="A2613" t="s">
        <v>94</v>
      </c>
      <c r="B2613" t="s">
        <v>474</v>
      </c>
      <c r="C2613" t="s">
        <v>308</v>
      </c>
      <c r="D2613" t="s">
        <v>174</v>
      </c>
      <c r="E2613" t="s">
        <v>277</v>
      </c>
      <c r="F2613" t="s">
        <v>99</v>
      </c>
      <c r="G2613">
        <v>24888</v>
      </c>
      <c r="H2613" t="s">
        <v>504</v>
      </c>
      <c r="I2613">
        <v>2</v>
      </c>
      <c r="J2613" t="s">
        <v>105</v>
      </c>
      <c r="K2613" s="19">
        <v>0.33333333333333331</v>
      </c>
      <c r="L2613" s="19">
        <v>0.70833333333333337</v>
      </c>
      <c r="M2613">
        <v>9</v>
      </c>
      <c r="N2613">
        <v>459.94</v>
      </c>
      <c r="O2613">
        <v>76</v>
      </c>
      <c r="P2613">
        <v>76</v>
      </c>
      <c r="Q2613" t="s">
        <v>99</v>
      </c>
      <c r="R2613">
        <v>30</v>
      </c>
      <c r="S2613" s="19">
        <v>0.54166666666666663</v>
      </c>
      <c r="T2613">
        <v>0</v>
      </c>
      <c r="U2613" s="19">
        <v>0</v>
      </c>
      <c r="V2613" t="s">
        <v>99</v>
      </c>
      <c r="W2613">
        <v>8.5</v>
      </c>
      <c r="X2613" t="s">
        <v>102</v>
      </c>
      <c r="Y2613" t="b">
        <v>0</v>
      </c>
    </row>
    <row r="2614" spans="1:25" x14ac:dyDescent="0.55000000000000004">
      <c r="A2614" t="s">
        <v>94</v>
      </c>
      <c r="B2614" t="s">
        <v>474</v>
      </c>
      <c r="C2614" t="s">
        <v>308</v>
      </c>
      <c r="D2614" t="s">
        <v>174</v>
      </c>
      <c r="E2614" t="s">
        <v>277</v>
      </c>
      <c r="F2614" t="s">
        <v>99</v>
      </c>
      <c r="G2614">
        <v>25236</v>
      </c>
      <c r="H2614" t="s">
        <v>505</v>
      </c>
      <c r="I2614">
        <v>1</v>
      </c>
      <c r="J2614" t="s">
        <v>103</v>
      </c>
      <c r="K2614" s="19">
        <v>0.27083333333333331</v>
      </c>
      <c r="L2614" s="19">
        <v>0.64583333333333337</v>
      </c>
      <c r="M2614">
        <v>9</v>
      </c>
      <c r="N2614">
        <v>459.94</v>
      </c>
      <c r="O2614">
        <v>76</v>
      </c>
      <c r="P2614">
        <v>76</v>
      </c>
      <c r="Q2614" t="s">
        <v>99</v>
      </c>
      <c r="R2614">
        <v>30</v>
      </c>
      <c r="S2614" s="19">
        <v>0.47916666666666669</v>
      </c>
      <c r="T2614">
        <v>0</v>
      </c>
      <c r="U2614" s="19">
        <v>0.54166666666666663</v>
      </c>
      <c r="V2614" t="s">
        <v>99</v>
      </c>
      <c r="W2614">
        <v>8.5</v>
      </c>
      <c r="X2614" t="s">
        <v>102</v>
      </c>
      <c r="Y2614" t="b">
        <v>0</v>
      </c>
    </row>
    <row r="2615" spans="1:25" x14ac:dyDescent="0.55000000000000004">
      <c r="A2615" t="s">
        <v>94</v>
      </c>
      <c r="B2615" t="s">
        <v>474</v>
      </c>
      <c r="C2615" t="s">
        <v>308</v>
      </c>
      <c r="D2615" t="s">
        <v>174</v>
      </c>
      <c r="E2615" t="s">
        <v>277</v>
      </c>
      <c r="F2615" t="s">
        <v>99</v>
      </c>
      <c r="G2615">
        <v>25236</v>
      </c>
      <c r="H2615" t="s">
        <v>505</v>
      </c>
      <c r="I2615">
        <v>1</v>
      </c>
      <c r="J2615" t="s">
        <v>104</v>
      </c>
      <c r="K2615" s="19">
        <v>0.33333333333333331</v>
      </c>
      <c r="L2615" s="19">
        <v>0.70833333333333337</v>
      </c>
      <c r="M2615">
        <v>9</v>
      </c>
      <c r="N2615">
        <v>459.94</v>
      </c>
      <c r="O2615">
        <v>76</v>
      </c>
      <c r="P2615">
        <v>76</v>
      </c>
      <c r="Q2615" t="s">
        <v>99</v>
      </c>
      <c r="R2615">
        <v>30</v>
      </c>
      <c r="S2615" s="19">
        <v>0.54166666666666663</v>
      </c>
      <c r="T2615">
        <v>0</v>
      </c>
      <c r="U2615" s="19">
        <v>0.54166666666666663</v>
      </c>
      <c r="V2615" t="s">
        <v>99</v>
      </c>
      <c r="W2615">
        <v>8.5</v>
      </c>
      <c r="X2615" t="s">
        <v>102</v>
      </c>
      <c r="Y2615" t="b">
        <v>0</v>
      </c>
    </row>
    <row r="2616" spans="1:25" x14ac:dyDescent="0.55000000000000004">
      <c r="A2616" t="s">
        <v>94</v>
      </c>
      <c r="B2616" t="s">
        <v>474</v>
      </c>
      <c r="C2616" t="s">
        <v>308</v>
      </c>
      <c r="D2616" t="s">
        <v>174</v>
      </c>
      <c r="E2616" t="s">
        <v>277</v>
      </c>
      <c r="F2616" t="s">
        <v>99</v>
      </c>
      <c r="G2616">
        <v>25236</v>
      </c>
      <c r="H2616" t="s">
        <v>505</v>
      </c>
      <c r="I2616">
        <v>1</v>
      </c>
      <c r="J2616" t="s">
        <v>105</v>
      </c>
      <c r="K2616" s="19">
        <v>0.27083333333333331</v>
      </c>
      <c r="L2616" s="19">
        <v>0.64583333333333337</v>
      </c>
      <c r="M2616">
        <v>9</v>
      </c>
      <c r="N2616">
        <v>459.94</v>
      </c>
      <c r="O2616">
        <v>76</v>
      </c>
      <c r="P2616">
        <v>76</v>
      </c>
      <c r="Q2616" t="s">
        <v>99</v>
      </c>
      <c r="R2616">
        <v>30</v>
      </c>
      <c r="S2616" s="19">
        <v>0.47916666666666669</v>
      </c>
      <c r="T2616">
        <v>0</v>
      </c>
      <c r="U2616" s="19">
        <v>0.54166666666666663</v>
      </c>
      <c r="V2616" t="s">
        <v>99</v>
      </c>
      <c r="W2616">
        <v>8.5</v>
      </c>
      <c r="X2616" t="s">
        <v>102</v>
      </c>
      <c r="Y2616" t="b">
        <v>0</v>
      </c>
    </row>
    <row r="2617" spans="1:25" x14ac:dyDescent="0.55000000000000004">
      <c r="A2617" t="s">
        <v>94</v>
      </c>
      <c r="B2617" t="s">
        <v>474</v>
      </c>
      <c r="C2617" t="s">
        <v>308</v>
      </c>
      <c r="D2617" t="s">
        <v>174</v>
      </c>
      <c r="E2617" t="s">
        <v>277</v>
      </c>
      <c r="F2617" t="s">
        <v>99</v>
      </c>
      <c r="G2617">
        <v>25236</v>
      </c>
      <c r="H2617" t="s">
        <v>505</v>
      </c>
      <c r="I2617">
        <v>2</v>
      </c>
      <c r="J2617" t="s">
        <v>107</v>
      </c>
      <c r="K2617" s="19">
        <v>0.27083333333333331</v>
      </c>
      <c r="L2617" s="19">
        <v>0.625</v>
      </c>
      <c r="M2617">
        <v>8.5</v>
      </c>
      <c r="N2617">
        <v>432.88</v>
      </c>
      <c r="O2617">
        <v>76</v>
      </c>
      <c r="P2617">
        <v>76</v>
      </c>
      <c r="Q2617" t="s">
        <v>99</v>
      </c>
      <c r="R2617">
        <v>30</v>
      </c>
      <c r="S2617" s="19">
        <v>0.47916666666666669</v>
      </c>
      <c r="T2617">
        <v>0</v>
      </c>
      <c r="U2617" s="19">
        <v>0.54166666666666663</v>
      </c>
      <c r="V2617" t="s">
        <v>99</v>
      </c>
      <c r="W2617">
        <v>8</v>
      </c>
      <c r="X2617" t="s">
        <v>102</v>
      </c>
      <c r="Y2617" t="b">
        <v>0</v>
      </c>
    </row>
    <row r="2618" spans="1:25" x14ac:dyDescent="0.55000000000000004">
      <c r="A2618" t="s">
        <v>94</v>
      </c>
      <c r="B2618" t="s">
        <v>474</v>
      </c>
      <c r="C2618" t="s">
        <v>308</v>
      </c>
      <c r="D2618" t="s">
        <v>174</v>
      </c>
      <c r="E2618" t="s">
        <v>277</v>
      </c>
      <c r="F2618" t="s">
        <v>99</v>
      </c>
      <c r="G2618">
        <v>25236</v>
      </c>
      <c r="H2618" t="s">
        <v>505</v>
      </c>
      <c r="I2618">
        <v>2</v>
      </c>
      <c r="J2618" t="s">
        <v>103</v>
      </c>
      <c r="K2618" s="19">
        <v>0.27083333333333331</v>
      </c>
      <c r="L2618" s="19">
        <v>0.64583333333333337</v>
      </c>
      <c r="M2618">
        <v>9</v>
      </c>
      <c r="N2618">
        <v>459.94</v>
      </c>
      <c r="O2618">
        <v>76</v>
      </c>
      <c r="P2618">
        <v>76</v>
      </c>
      <c r="Q2618" t="s">
        <v>99</v>
      </c>
      <c r="R2618">
        <v>30</v>
      </c>
      <c r="S2618" s="19">
        <v>0.47916666666666669</v>
      </c>
      <c r="T2618">
        <v>0</v>
      </c>
      <c r="U2618" s="19">
        <v>0.54166666666666663</v>
      </c>
      <c r="V2618" t="s">
        <v>99</v>
      </c>
      <c r="W2618">
        <v>8.5</v>
      </c>
      <c r="X2618" t="s">
        <v>102</v>
      </c>
      <c r="Y2618" t="b">
        <v>0</v>
      </c>
    </row>
    <row r="2619" spans="1:25" x14ac:dyDescent="0.55000000000000004">
      <c r="A2619" t="s">
        <v>94</v>
      </c>
      <c r="B2619" t="s">
        <v>474</v>
      </c>
      <c r="C2619" t="s">
        <v>308</v>
      </c>
      <c r="D2619" t="s">
        <v>174</v>
      </c>
      <c r="E2619" t="s">
        <v>277</v>
      </c>
      <c r="F2619" t="s">
        <v>99</v>
      </c>
      <c r="G2619">
        <v>25236</v>
      </c>
      <c r="H2619" t="s">
        <v>505</v>
      </c>
      <c r="I2619">
        <v>2</v>
      </c>
      <c r="J2619" t="s">
        <v>104</v>
      </c>
      <c r="K2619" s="19">
        <v>0.27083333333333331</v>
      </c>
      <c r="L2619" s="19">
        <v>0.64583333333333337</v>
      </c>
      <c r="M2619">
        <v>9</v>
      </c>
      <c r="N2619">
        <v>459.94</v>
      </c>
      <c r="O2619">
        <v>76</v>
      </c>
      <c r="P2619">
        <v>76</v>
      </c>
      <c r="Q2619" t="s">
        <v>99</v>
      </c>
      <c r="R2619">
        <v>30</v>
      </c>
      <c r="S2619" s="19">
        <v>0.47916666666666669</v>
      </c>
      <c r="T2619">
        <v>0</v>
      </c>
      <c r="U2619" s="19">
        <v>0.54166666666666663</v>
      </c>
      <c r="V2619" t="s">
        <v>99</v>
      </c>
      <c r="W2619">
        <v>8.5</v>
      </c>
      <c r="X2619" t="s">
        <v>102</v>
      </c>
      <c r="Y2619" t="b">
        <v>0</v>
      </c>
    </row>
    <row r="2620" spans="1:25" x14ac:dyDescent="0.55000000000000004">
      <c r="A2620" t="s">
        <v>94</v>
      </c>
      <c r="B2620" t="s">
        <v>474</v>
      </c>
      <c r="C2620" t="s">
        <v>308</v>
      </c>
      <c r="D2620" t="s">
        <v>174</v>
      </c>
      <c r="E2620" t="s">
        <v>277</v>
      </c>
      <c r="F2620" t="s">
        <v>99</v>
      </c>
      <c r="G2620">
        <v>25236</v>
      </c>
      <c r="H2620" t="s">
        <v>505</v>
      </c>
      <c r="I2620">
        <v>2</v>
      </c>
      <c r="J2620" t="s">
        <v>105</v>
      </c>
      <c r="K2620" s="19">
        <v>0.27083333333333331</v>
      </c>
      <c r="L2620" s="19">
        <v>0.64583333333333337</v>
      </c>
      <c r="M2620">
        <v>9</v>
      </c>
      <c r="N2620">
        <v>459.94</v>
      </c>
      <c r="O2620">
        <v>76</v>
      </c>
      <c r="P2620">
        <v>76</v>
      </c>
      <c r="Q2620" t="s">
        <v>99</v>
      </c>
      <c r="R2620">
        <v>30</v>
      </c>
      <c r="S2620" s="19">
        <v>0.47916666666666669</v>
      </c>
      <c r="T2620">
        <v>0</v>
      </c>
      <c r="U2620" s="19">
        <v>0.54166666666666663</v>
      </c>
      <c r="V2620" t="s">
        <v>99</v>
      </c>
      <c r="W2620">
        <v>8.5</v>
      </c>
      <c r="X2620" t="s">
        <v>102</v>
      </c>
      <c r="Y2620" t="b">
        <v>0</v>
      </c>
    </row>
    <row r="2621" spans="1:25" x14ac:dyDescent="0.55000000000000004">
      <c r="A2621" t="s">
        <v>94</v>
      </c>
      <c r="B2621" t="s">
        <v>474</v>
      </c>
      <c r="C2621" t="s">
        <v>308</v>
      </c>
      <c r="D2621" t="s">
        <v>174</v>
      </c>
      <c r="E2621" t="s">
        <v>287</v>
      </c>
      <c r="F2621" t="s">
        <v>99</v>
      </c>
      <c r="G2621">
        <v>15472</v>
      </c>
      <c r="H2621" t="s">
        <v>448</v>
      </c>
      <c r="I2621">
        <v>1</v>
      </c>
      <c r="J2621" t="s">
        <v>107</v>
      </c>
      <c r="K2621" s="19">
        <v>0.54166666666666663</v>
      </c>
      <c r="L2621" s="19">
        <v>0.6875</v>
      </c>
      <c r="M2621">
        <v>3.5</v>
      </c>
      <c r="N2621">
        <v>0</v>
      </c>
      <c r="O2621">
        <v>76</v>
      </c>
      <c r="P2621">
        <v>76</v>
      </c>
      <c r="Q2621" t="s">
        <v>99</v>
      </c>
      <c r="R2621">
        <v>0</v>
      </c>
      <c r="S2621" s="19">
        <v>0</v>
      </c>
      <c r="T2621">
        <v>0</v>
      </c>
      <c r="U2621" s="19">
        <v>0</v>
      </c>
      <c r="V2621" t="s">
        <v>99</v>
      </c>
      <c r="W2621">
        <v>3.5</v>
      </c>
      <c r="X2621" t="s">
        <v>102</v>
      </c>
      <c r="Y2621" t="b">
        <v>0</v>
      </c>
    </row>
    <row r="2622" spans="1:25" x14ac:dyDescent="0.55000000000000004">
      <c r="A2622" t="s">
        <v>94</v>
      </c>
      <c r="B2622" t="s">
        <v>474</v>
      </c>
      <c r="C2622" t="s">
        <v>308</v>
      </c>
      <c r="D2622" t="s">
        <v>174</v>
      </c>
      <c r="E2622" t="s">
        <v>287</v>
      </c>
      <c r="F2622" t="s">
        <v>99</v>
      </c>
      <c r="G2622">
        <v>15472</v>
      </c>
      <c r="H2622" t="s">
        <v>448</v>
      </c>
      <c r="I2622">
        <v>1</v>
      </c>
      <c r="J2622" t="s">
        <v>101</v>
      </c>
      <c r="K2622" s="19">
        <v>0.54166666666666663</v>
      </c>
      <c r="L2622" s="19">
        <v>0.70833333333333337</v>
      </c>
      <c r="M2622">
        <v>4</v>
      </c>
      <c r="N2622">
        <v>0</v>
      </c>
      <c r="O2622">
        <v>76</v>
      </c>
      <c r="P2622">
        <v>76</v>
      </c>
      <c r="Q2622" t="s">
        <v>99</v>
      </c>
      <c r="R2622">
        <v>0</v>
      </c>
      <c r="S2622" s="19">
        <v>0</v>
      </c>
      <c r="T2622">
        <v>0</v>
      </c>
      <c r="U2622" s="19">
        <v>0</v>
      </c>
      <c r="V2622" t="s">
        <v>99</v>
      </c>
      <c r="W2622">
        <v>4</v>
      </c>
      <c r="X2622" t="s">
        <v>102</v>
      </c>
      <c r="Y2622" t="b">
        <v>0</v>
      </c>
    </row>
    <row r="2623" spans="1:25" x14ac:dyDescent="0.55000000000000004">
      <c r="A2623" t="s">
        <v>94</v>
      </c>
      <c r="B2623" t="s">
        <v>474</v>
      </c>
      <c r="C2623" t="s">
        <v>308</v>
      </c>
      <c r="D2623" t="s">
        <v>174</v>
      </c>
      <c r="E2623" t="s">
        <v>287</v>
      </c>
      <c r="F2623" t="s">
        <v>99</v>
      </c>
      <c r="G2623">
        <v>15472</v>
      </c>
      <c r="H2623" t="s">
        <v>448</v>
      </c>
      <c r="I2623">
        <v>1</v>
      </c>
      <c r="J2623" t="s">
        <v>103</v>
      </c>
      <c r="K2623" s="19">
        <v>0.54166666666666663</v>
      </c>
      <c r="L2623" s="19">
        <v>0.6875</v>
      </c>
      <c r="M2623">
        <v>3.5</v>
      </c>
      <c r="N2623">
        <v>0</v>
      </c>
      <c r="O2623">
        <v>76</v>
      </c>
      <c r="P2623">
        <v>76</v>
      </c>
      <c r="Q2623" t="s">
        <v>99</v>
      </c>
      <c r="R2623">
        <v>0</v>
      </c>
      <c r="S2623" s="19">
        <v>0.60416666666666663</v>
      </c>
      <c r="T2623">
        <v>0</v>
      </c>
      <c r="U2623" s="19">
        <v>0</v>
      </c>
      <c r="V2623" t="s">
        <v>99</v>
      </c>
      <c r="W2623">
        <v>3.5</v>
      </c>
      <c r="X2623" t="s">
        <v>102</v>
      </c>
      <c r="Y2623" t="b">
        <v>0</v>
      </c>
    </row>
    <row r="2624" spans="1:25" x14ac:dyDescent="0.55000000000000004">
      <c r="A2624" t="s">
        <v>94</v>
      </c>
      <c r="B2624" t="s">
        <v>474</v>
      </c>
      <c r="C2624" t="s">
        <v>308</v>
      </c>
      <c r="D2624" t="s">
        <v>174</v>
      </c>
      <c r="E2624" t="s">
        <v>287</v>
      </c>
      <c r="F2624" t="s">
        <v>99</v>
      </c>
      <c r="G2624">
        <v>15472</v>
      </c>
      <c r="H2624" t="s">
        <v>448</v>
      </c>
      <c r="I2624">
        <v>1</v>
      </c>
      <c r="J2624" t="s">
        <v>104</v>
      </c>
      <c r="K2624" s="19">
        <v>0.54166666666666663</v>
      </c>
      <c r="L2624" s="19">
        <v>0.6875</v>
      </c>
      <c r="M2624">
        <v>3.5</v>
      </c>
      <c r="N2624">
        <v>0</v>
      </c>
      <c r="O2624">
        <v>76</v>
      </c>
      <c r="P2624">
        <v>76</v>
      </c>
      <c r="Q2624" t="s">
        <v>99</v>
      </c>
      <c r="R2624">
        <v>0</v>
      </c>
      <c r="S2624" s="19">
        <v>0.60416666666666663</v>
      </c>
      <c r="T2624">
        <v>0</v>
      </c>
      <c r="U2624" s="19">
        <v>0</v>
      </c>
      <c r="V2624" t="s">
        <v>99</v>
      </c>
      <c r="W2624">
        <v>3.5</v>
      </c>
      <c r="X2624" t="s">
        <v>102</v>
      </c>
      <c r="Y2624" t="b">
        <v>0</v>
      </c>
    </row>
    <row r="2625" spans="1:25" x14ac:dyDescent="0.55000000000000004">
      <c r="A2625" t="s">
        <v>94</v>
      </c>
      <c r="B2625" t="s">
        <v>474</v>
      </c>
      <c r="C2625" t="s">
        <v>308</v>
      </c>
      <c r="D2625" t="s">
        <v>174</v>
      </c>
      <c r="E2625" t="s">
        <v>287</v>
      </c>
      <c r="F2625" t="s">
        <v>99</v>
      </c>
      <c r="G2625">
        <v>15472</v>
      </c>
      <c r="H2625" t="s">
        <v>448</v>
      </c>
      <c r="I2625">
        <v>1</v>
      </c>
      <c r="J2625" t="s">
        <v>105</v>
      </c>
      <c r="K2625" s="19">
        <v>0.54166666666666663</v>
      </c>
      <c r="L2625" s="19">
        <v>0.6875</v>
      </c>
      <c r="M2625">
        <v>3.5</v>
      </c>
      <c r="N2625">
        <v>0</v>
      </c>
      <c r="O2625">
        <v>76</v>
      </c>
      <c r="P2625">
        <v>76</v>
      </c>
      <c r="Q2625" t="s">
        <v>99</v>
      </c>
      <c r="R2625">
        <v>0</v>
      </c>
      <c r="S2625" s="19">
        <v>0.60416666666666663</v>
      </c>
      <c r="T2625">
        <v>0</v>
      </c>
      <c r="U2625" s="19">
        <v>0</v>
      </c>
      <c r="V2625" t="s">
        <v>99</v>
      </c>
      <c r="W2625">
        <v>3.5</v>
      </c>
      <c r="X2625" t="s">
        <v>102</v>
      </c>
      <c r="Y2625" t="b">
        <v>0</v>
      </c>
    </row>
    <row r="2626" spans="1:25" x14ac:dyDescent="0.55000000000000004">
      <c r="A2626" t="s">
        <v>94</v>
      </c>
      <c r="B2626" t="s">
        <v>474</v>
      </c>
      <c r="C2626" t="s">
        <v>308</v>
      </c>
      <c r="D2626" t="s">
        <v>174</v>
      </c>
      <c r="E2626" t="s">
        <v>287</v>
      </c>
      <c r="F2626" t="s">
        <v>99</v>
      </c>
      <c r="G2626">
        <v>15472</v>
      </c>
      <c r="H2626" t="s">
        <v>448</v>
      </c>
      <c r="I2626">
        <v>2</v>
      </c>
      <c r="J2626" t="s">
        <v>107</v>
      </c>
      <c r="K2626" s="19">
        <v>0.54166666666666663</v>
      </c>
      <c r="L2626" s="19">
        <v>0.6875</v>
      </c>
      <c r="M2626">
        <v>3.5</v>
      </c>
      <c r="N2626">
        <v>0</v>
      </c>
      <c r="O2626">
        <v>76</v>
      </c>
      <c r="P2626">
        <v>76</v>
      </c>
      <c r="Q2626" t="s">
        <v>99</v>
      </c>
      <c r="R2626">
        <v>0</v>
      </c>
      <c r="S2626" s="19">
        <v>0</v>
      </c>
      <c r="T2626">
        <v>0</v>
      </c>
      <c r="U2626" s="19">
        <v>0</v>
      </c>
      <c r="V2626" t="s">
        <v>99</v>
      </c>
      <c r="W2626">
        <v>3.5</v>
      </c>
      <c r="X2626" t="s">
        <v>102</v>
      </c>
      <c r="Y2626" t="b">
        <v>0</v>
      </c>
    </row>
    <row r="2627" spans="1:25" x14ac:dyDescent="0.55000000000000004">
      <c r="A2627" t="s">
        <v>94</v>
      </c>
      <c r="B2627" t="s">
        <v>474</v>
      </c>
      <c r="C2627" t="s">
        <v>308</v>
      </c>
      <c r="D2627" t="s">
        <v>174</v>
      </c>
      <c r="E2627" t="s">
        <v>287</v>
      </c>
      <c r="F2627" t="s">
        <v>99</v>
      </c>
      <c r="G2627">
        <v>15472</v>
      </c>
      <c r="H2627" t="s">
        <v>448</v>
      </c>
      <c r="I2627">
        <v>2</v>
      </c>
      <c r="J2627" t="s">
        <v>101</v>
      </c>
      <c r="K2627" s="19">
        <v>0.54166666666666663</v>
      </c>
      <c r="L2627" s="19">
        <v>0.70833333333333337</v>
      </c>
      <c r="M2627">
        <v>4</v>
      </c>
      <c r="N2627">
        <v>0</v>
      </c>
      <c r="O2627">
        <v>76</v>
      </c>
      <c r="P2627">
        <v>76</v>
      </c>
      <c r="Q2627" t="s">
        <v>99</v>
      </c>
      <c r="R2627">
        <v>0</v>
      </c>
      <c r="S2627" s="19">
        <v>0</v>
      </c>
      <c r="T2627">
        <v>0</v>
      </c>
      <c r="U2627" s="19">
        <v>0</v>
      </c>
      <c r="V2627" t="s">
        <v>99</v>
      </c>
      <c r="W2627">
        <v>4</v>
      </c>
      <c r="X2627" t="s">
        <v>102</v>
      </c>
      <c r="Y2627" t="b">
        <v>0</v>
      </c>
    </row>
    <row r="2628" spans="1:25" x14ac:dyDescent="0.55000000000000004">
      <c r="A2628" t="s">
        <v>94</v>
      </c>
      <c r="B2628" t="s">
        <v>474</v>
      </c>
      <c r="C2628" t="s">
        <v>308</v>
      </c>
      <c r="D2628" t="s">
        <v>174</v>
      </c>
      <c r="E2628" t="s">
        <v>287</v>
      </c>
      <c r="F2628" t="s">
        <v>99</v>
      </c>
      <c r="G2628">
        <v>15472</v>
      </c>
      <c r="H2628" t="s">
        <v>448</v>
      </c>
      <c r="I2628">
        <v>2</v>
      </c>
      <c r="J2628" t="s">
        <v>103</v>
      </c>
      <c r="K2628" s="19">
        <v>0.54166666666666663</v>
      </c>
      <c r="L2628" s="19">
        <v>0.6875</v>
      </c>
      <c r="M2628">
        <v>3.5</v>
      </c>
      <c r="N2628">
        <v>0</v>
      </c>
      <c r="O2628">
        <v>76</v>
      </c>
      <c r="P2628">
        <v>76</v>
      </c>
      <c r="Q2628" t="s">
        <v>99</v>
      </c>
      <c r="R2628">
        <v>0</v>
      </c>
      <c r="S2628" s="19">
        <v>0.60416666666666663</v>
      </c>
      <c r="T2628">
        <v>0</v>
      </c>
      <c r="U2628" s="19">
        <v>0</v>
      </c>
      <c r="V2628" t="s">
        <v>99</v>
      </c>
      <c r="W2628">
        <v>3.5</v>
      </c>
      <c r="X2628" t="s">
        <v>102</v>
      </c>
      <c r="Y2628" t="b">
        <v>0</v>
      </c>
    </row>
    <row r="2629" spans="1:25" x14ac:dyDescent="0.55000000000000004">
      <c r="A2629" t="s">
        <v>94</v>
      </c>
      <c r="B2629" t="s">
        <v>474</v>
      </c>
      <c r="C2629" t="s">
        <v>308</v>
      </c>
      <c r="D2629" t="s">
        <v>174</v>
      </c>
      <c r="E2629" t="s">
        <v>287</v>
      </c>
      <c r="F2629" t="s">
        <v>99</v>
      </c>
      <c r="G2629">
        <v>15472</v>
      </c>
      <c r="H2629" t="s">
        <v>448</v>
      </c>
      <c r="I2629">
        <v>2</v>
      </c>
      <c r="J2629" t="s">
        <v>104</v>
      </c>
      <c r="K2629" s="19">
        <v>0.54166666666666663</v>
      </c>
      <c r="L2629" s="19">
        <v>0.6875</v>
      </c>
      <c r="M2629">
        <v>3.5</v>
      </c>
      <c r="N2629">
        <v>0</v>
      </c>
      <c r="O2629">
        <v>76</v>
      </c>
      <c r="P2629">
        <v>76</v>
      </c>
      <c r="Q2629" t="s">
        <v>99</v>
      </c>
      <c r="R2629">
        <v>0</v>
      </c>
      <c r="S2629" s="19">
        <v>0.60416666666666663</v>
      </c>
      <c r="T2629">
        <v>0</v>
      </c>
      <c r="U2629" s="19">
        <v>0</v>
      </c>
      <c r="V2629" t="s">
        <v>99</v>
      </c>
      <c r="W2629">
        <v>3.5</v>
      </c>
      <c r="X2629" t="s">
        <v>102</v>
      </c>
      <c r="Y2629" t="b">
        <v>0</v>
      </c>
    </row>
    <row r="2630" spans="1:25" x14ac:dyDescent="0.55000000000000004">
      <c r="A2630" t="s">
        <v>94</v>
      </c>
      <c r="B2630" t="s">
        <v>474</v>
      </c>
      <c r="C2630" t="s">
        <v>308</v>
      </c>
      <c r="D2630" t="s">
        <v>174</v>
      </c>
      <c r="E2630" t="s">
        <v>287</v>
      </c>
      <c r="F2630" t="s">
        <v>99</v>
      </c>
      <c r="G2630">
        <v>15472</v>
      </c>
      <c r="H2630" t="s">
        <v>448</v>
      </c>
      <c r="I2630">
        <v>2</v>
      </c>
      <c r="J2630" t="s">
        <v>105</v>
      </c>
      <c r="K2630" s="19">
        <v>0.54166666666666663</v>
      </c>
      <c r="L2630" s="19">
        <v>0.6875</v>
      </c>
      <c r="M2630">
        <v>3.5</v>
      </c>
      <c r="N2630">
        <v>0</v>
      </c>
      <c r="O2630">
        <v>76</v>
      </c>
      <c r="P2630">
        <v>76</v>
      </c>
      <c r="Q2630" t="s">
        <v>99</v>
      </c>
      <c r="R2630">
        <v>0</v>
      </c>
      <c r="S2630" s="19">
        <v>0.60416666666666663</v>
      </c>
      <c r="T2630">
        <v>0</v>
      </c>
      <c r="U2630" s="19">
        <v>0</v>
      </c>
      <c r="V2630" t="s">
        <v>99</v>
      </c>
      <c r="W2630">
        <v>3.5</v>
      </c>
      <c r="X2630" t="s">
        <v>102</v>
      </c>
      <c r="Y2630" t="b">
        <v>0</v>
      </c>
    </row>
    <row r="2631" spans="1:25" x14ac:dyDescent="0.55000000000000004">
      <c r="A2631" t="s">
        <v>94</v>
      </c>
      <c r="B2631" t="s">
        <v>474</v>
      </c>
      <c r="C2631" t="s">
        <v>308</v>
      </c>
      <c r="D2631" t="s">
        <v>174</v>
      </c>
      <c r="E2631" t="s">
        <v>289</v>
      </c>
      <c r="F2631" t="s">
        <v>99</v>
      </c>
      <c r="G2631">
        <v>20834</v>
      </c>
      <c r="H2631" t="s">
        <v>303</v>
      </c>
      <c r="I2631">
        <v>2</v>
      </c>
      <c r="J2631" t="s">
        <v>104</v>
      </c>
      <c r="K2631" s="19">
        <v>0.375</v>
      </c>
      <c r="L2631" s="19">
        <v>0.64583333333333337</v>
      </c>
      <c r="M2631">
        <v>6.5</v>
      </c>
      <c r="N2631">
        <v>213.12</v>
      </c>
      <c r="O2631">
        <v>40</v>
      </c>
      <c r="P2631">
        <v>76</v>
      </c>
      <c r="Q2631" t="s">
        <v>99</v>
      </c>
      <c r="R2631">
        <v>30</v>
      </c>
      <c r="S2631" s="19">
        <v>0.58333333333333337</v>
      </c>
      <c r="T2631">
        <v>0</v>
      </c>
      <c r="U2631" s="19">
        <v>0.54166666666666663</v>
      </c>
      <c r="V2631" t="s">
        <v>99</v>
      </c>
      <c r="W2631">
        <v>6</v>
      </c>
      <c r="X2631" t="s">
        <v>102</v>
      </c>
      <c r="Y263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3.xml><?xml version="1.0" encoding="utf-8"?>
<ds:datastoreItem xmlns:ds="http://schemas.openxmlformats.org/officeDocument/2006/customXml" ds:itemID="{E69EC4B0-8B5D-49E0-A048-5E564081DDC1}">
  <ds:schemaRefs>
    <ds:schemaRef ds:uri="http://schemas.microsoft.com/DataMashup"/>
  </ds:schemaRefs>
</ds:datastoreItem>
</file>

<file path=customXml/itemProps4.xml><?xml version="1.0" encoding="utf-8"?>
<ds:datastoreItem xmlns:ds="http://schemas.openxmlformats.org/officeDocument/2006/customXml" ds:itemID="{70599CE1-6300-4AAF-A74C-8E16187DE466}">
  <ds:schemaRefs>
    <ds:schemaRef ds:uri="http://schemas.microsoft.com/office/2006/documentManagement/types"/>
    <ds:schemaRef ds:uri="a6ef9c2c-1ad1-4c09-9d1c-8c71a768c11f"/>
    <ds:schemaRef ds:uri="http://purl.org/dc/elements/1.1/"/>
    <ds:schemaRef ds:uri="http://schemas.microsoft.com/office/2006/metadata/properties"/>
    <ds:schemaRef ds:uri="http://schemas.microsoft.com/office/infopath/2007/PartnerControls"/>
    <ds:schemaRef ds:uri="f574b478-68e4-495d-9b17-0f93d51a8ef7"/>
    <ds:schemaRef ds:uri="http://www.w3.org/XML/1998/namespace"/>
    <ds:schemaRef ds:uri="http://schemas.openxmlformats.org/package/2006/metadata/core-properties"/>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Assumed</vt:lpstr>
      <vt:lpstr>Actual</vt:lpstr>
      <vt:lpstr>ShiftEnd</vt:lpstr>
      <vt:lpstr>LocRoleWeekDaysShiftAVEMATTRIX</vt:lpstr>
      <vt:lpstr>LocRole%MATRIX</vt:lpstr>
      <vt:lpstr>LocRoleTOTAL</vt:lpstr>
      <vt:lpstr>IMPORT Master</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2026-08-26T09:52:43Z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