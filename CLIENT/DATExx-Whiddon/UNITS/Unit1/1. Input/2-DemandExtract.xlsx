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centri001.sharepoint.com/sites/3Product/Shared Documents/AEM/Excel Template/CLIENT/DATExx/UNITS/Unit1/1. Input/"/>
    </mc:Choice>
  </mc:AlternateContent>
  <xr:revisionPtr revIDLastSave="624" documentId="8_{0448F89D-3086-4339-A8A9-919417D385D3}" xr6:coauthVersionLast="47" xr6:coauthVersionMax="47" xr10:uidLastSave="{99D1B3C7-C579-495F-9D03-C84FEE2951F0}"/>
  <bookViews>
    <workbookView xWindow="-120" yWindow="-120" windowWidth="38640" windowHeight="21120" firstSheet="9" activeTab="9" xr2:uid="{1B74658D-8FBB-4607-9885-3B8C2636F1D6}"/>
  </bookViews>
  <sheets>
    <sheet name="FILEPATH" sheetId="7" r:id="rId1"/>
    <sheet name="IMPORT PermutationDimensions (2" sheetId="10" r:id="rId2"/>
    <sheet name="IMPORT PermutationDimensions" sheetId="9" r:id="rId3"/>
    <sheet name="IMPORTMasterSchedule" sheetId="5" r:id="rId4"/>
    <sheet name="ExtractMatrix" sheetId="3" r:id="rId5"/>
    <sheet name="ShiftUnitDemandHRS" sheetId="14" r:id="rId6"/>
    <sheet name="RoleShiftDemandANACC Prepare" sheetId="13" r:id="rId7"/>
    <sheet name="ShiftDuration" sheetId="12" r:id="rId8"/>
    <sheet name="IMPORT ShiftPeriod" sheetId="15" r:id="rId9"/>
    <sheet name="IMPORT RoleShiftDemandANACC" sheetId="11" r:id="rId10"/>
    <sheet name="ShiftUnitDemandHRS-no time" sheetId="8" r:id="rId11"/>
    <sheet name="DemandWeeksHrsHRS" sheetId="6" r:id="rId12"/>
    <sheet name="Sheet1" sheetId="1" r:id="rId13"/>
  </sheets>
  <externalReferences>
    <externalReference r:id="rId14"/>
    <externalReference r:id="rId15"/>
  </externalReferences>
  <definedNames>
    <definedName name="ABCap">#REF!</definedName>
    <definedName name="ABGoal">#REF!</definedName>
    <definedName name="Client" localSheetId="0">FILEPATH!$B$30</definedName>
    <definedName name="Client">#REF!</definedName>
    <definedName name="Contractor_Margin">#REF!</definedName>
    <definedName name="Date" localSheetId="0">FILEPATH!$B$33</definedName>
    <definedName name="Date">#REF!</definedName>
    <definedName name="Directory" localSheetId="0">#REF!</definedName>
    <definedName name="Directory">#REF!</definedName>
    <definedName name="EFCap">#REF!</definedName>
    <definedName name="EFGoal">#REF!</definedName>
    <definedName name="ExternalData_1" localSheetId="2" hidden="1">'IMPORT PermutationDimensions'!$A$1:$E$127</definedName>
    <definedName name="ExternalData_1" localSheetId="10" hidden="1">'ShiftUnitDemandHRS-no time'!$A$1:$G$123</definedName>
    <definedName name="ExternalData_2" localSheetId="4" hidden="1">ExtractMatrix!$A$1:$S$65</definedName>
    <definedName name="ExternalData_2" localSheetId="1" hidden="1">'IMPORT PermutationDimensions (2'!$A$1:$I$127</definedName>
    <definedName name="ExternalData_3" localSheetId="11" hidden="1">DemandWeeksHrsHRS!$A$1:$E$4</definedName>
    <definedName name="ExternalData_3" localSheetId="9" hidden="1">'IMPORT RoleShiftDemandANACC'!$A$1:$E$5</definedName>
    <definedName name="ExternalData_3" localSheetId="3" hidden="1">IMPORTMasterSchedule!$A$1:$Y$74</definedName>
    <definedName name="ExternalData_4" localSheetId="8" hidden="1">'IMPORT ShiftPeriod'!$A$1:$F$10</definedName>
    <definedName name="ExternalData_4" localSheetId="7" hidden="1">ShiftDuration!$A$1:$A$2</definedName>
    <definedName name="ExternalData_5" localSheetId="6" hidden="1">'RoleShiftDemandANACC Prepare'!$A$1:$F$10</definedName>
    <definedName name="ExternalData_6" localSheetId="5" hidden="1">ShiftUnitDemandHRS!$A$1:$L$127</definedName>
    <definedName name="Facility">#REF!</definedName>
    <definedName name="FTE">#REF!</definedName>
    <definedName name="HeadFolder">#REF!</definedName>
    <definedName name="HRS">#REF!</definedName>
    <definedName name="INCap">#REF!</definedName>
    <definedName name="INGoal">#REF!</definedName>
    <definedName name="LabourCost">#REF!</definedName>
    <definedName name="LabourStretchCost">#REF!</definedName>
    <definedName name="Location" localSheetId="0">FILEPATH!#REF!</definedName>
    <definedName name="Location">#REF!</definedName>
    <definedName name="MAIT_date_adjusted_for_example">#REF!</definedName>
    <definedName name="Max_HRS">#REF!</definedName>
    <definedName name="Overtime">#REF!</definedName>
    <definedName name="Revenue_per_labour_factor">#REF!</definedName>
    <definedName name="RevenueRate">#REF!</definedName>
    <definedName name="RevPerWorker">#REF!</definedName>
    <definedName name="Type" localSheetId="0">FILEPATH!$B$31</definedName>
    <definedName name="Type">#REF!</definedName>
    <definedName name="UN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7" l="1" a="1"/>
  <c r="B20" i="7" s="1"/>
  <c r="E7" i="7"/>
  <c r="B6" i="7" a="1"/>
  <c r="B6" i="7" s="1"/>
  <c r="B4" i="7" a="1"/>
  <c r="B4" i="7" s="1"/>
  <c r="V21" i="3"/>
  <c r="V1" i="3"/>
  <c r="V2" i="3" s="1"/>
  <c r="V4" i="3" s="1"/>
  <c r="C20" i="7" l="1"/>
  <c r="C23" i="7" s="1"/>
  <c r="B36" i="7"/>
  <c r="B26" i="7"/>
  <c r="C6" i="7"/>
  <c r="E6" i="7"/>
  <c r="C7" i="7"/>
  <c r="C11" i="7"/>
  <c r="C8" i="7"/>
  <c r="C9" i="7" l="1"/>
  <c r="B13" i="7" s="1"/>
  <c r="B15" i="7" l="1"/>
  <c r="B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F5C46-8E4F-42F4-A834-FB193D6D8E23}" keepAlive="1" name="Query - DayOrderDate" description="Connection to the 'DayOrderDate' query in the workbook." type="5" refreshedVersion="0" background="1">
    <dbPr connection="Provider=Microsoft.Mashup.OleDb.1;Data Source=$Workbook$;Location=DayOrderDate;Extended Properties=&quot;&quot;" command="SELECT * FROM [DayOrderDate]"/>
  </connection>
  <connection id="2" xr16:uid="{832F9DB1-148E-49D4-8FDC-D3DBB3AC49CA}" keepAlive="1" name="Query - DemandStartDays" description="Connection to the 'DemandStartDays' query in the workbook." type="5" refreshedVersion="0" background="1">
    <dbPr connection="Provider=Microsoft.Mashup.OleDb.1;Data Source=$Workbook$;Location=DemandStartDays;Extended Properties=&quot;&quot;" command="SELECT * FROM [DemandStartDays]"/>
  </connection>
  <connection id="3" xr16:uid="{8B911E64-092A-43E1-B99B-E743FA611934}" keepAlive="1" name="Query - DemandWeeksHrsHRS" description="Connection to the 'DemandWeeksHrsHRS' query in the workbook." type="5" refreshedVersion="8" background="1" saveData="1">
    <dbPr connection="Provider=Microsoft.Mashup.OleDb.1;Data Source=$Workbook$;Location=DemandWeeksHrsHRS;Extended Properties=&quot;&quot;" command="SELECT * FROM [DemandWeeksHrsHRS]"/>
  </connection>
  <connection id="4" xr16:uid="{A43D441E-6AD4-408D-9DB8-39963ADA8000}" keepAlive="1" name="Query - EndNIGHT(7)" description="Connection to the 'EndNIGHT(7)' query in the workbook." type="5" refreshedVersion="0" background="1">
    <dbPr connection="Provider=Microsoft.Mashup.OleDb.1;Data Source=$Workbook$;Location=EndNIGHT(7);Extended Properties=&quot;&quot;" command="SELECT * FROM [EndNIGHT(7)]"/>
  </connection>
  <connection id="5" xr16:uid="{13F83577-EC73-4DA5-9F9D-136734F08D6F}" keepAlive="1" name="Query - ExtractMatrix" description="Connection to the 'ExtractMatrix' query in the workbook." type="5" refreshedVersion="8" background="1" saveData="1">
    <dbPr connection="Provider=Microsoft.Mashup.OleDb.1;Data Source=$Workbook$;Location=ExtractMatrix;Extended Properties=&quot;&quot;" command="SELECT * FROM [ExtractMatrix]"/>
  </connection>
  <connection id="6" xr16:uid="{B9FD2290-BDCE-4C68-8DC9-95A341816195}" keepAlive="1" name="Query - IMPORT PermutationDimensions" description="Connection to the 'IMPORT PermutationDimensions' query in the workbook." type="5" refreshedVersion="8" background="1" saveData="1">
    <dbPr connection="Provider=Microsoft.Mashup.OleDb.1;Data Source=$Workbook$;Location=&quot;IMPORT PermutationDimensions&quot;;Extended Properties=&quot;&quot;" command="SELECT * FROM [IMPORT PermutationDimensions]"/>
  </connection>
  <connection id="7" xr16:uid="{0572722B-A5F6-4833-8298-4F5E0A9988CD}" keepAlive="1" name="Query - IMPORT RoleShiftDemandANACC" description="Connection to the 'IMPORT RoleShiftDemandANACC' query in the workbook." type="5" refreshedVersion="8" background="1" saveData="1">
    <dbPr connection="Provider=Microsoft.Mashup.OleDb.1;Data Source=$Workbook$;Location=&quot;IMPORT RoleShiftDemandANACC&quot;;Extended Properties=&quot;&quot;" command="SELECT * FROM [IMPORT RoleShiftDemandANACC]"/>
  </connection>
  <connection id="8" xr16:uid="{E3F1A8F3-A316-435B-BB6D-64CC77BDB9A6}" keepAlive="1" name="Query - IMPORT ShiftPeriod" description="Connection to the 'IMPORT ShiftPeriod' query in the workbook." type="5" refreshedVersion="8" background="1" saveData="1">
    <dbPr connection="Provider=Microsoft.Mashup.OleDb.1;Data Source=$Workbook$;Location=&quot;IMPORT ShiftPeriod&quot;;Extended Properties=&quot;&quot;" command="SELECT * FROM [IMPORT ShiftPeriod]"/>
  </connection>
  <connection id="9" xr16:uid="{3227EBB7-2017-4D61-B472-1A49E4B620BC}" keepAlive="1" name="Query - IMPORTMasterSchedule" description="Connection to the 'IMPORTMasterSchedule' query in the workbook." type="5" refreshedVersion="8" background="1" saveData="1">
    <dbPr connection="Provider=Microsoft.Mashup.OleDb.1;Data Source=$Workbook$;Location=IMPORTMasterSchedule;Extended Properties=&quot;&quot;" command="SELECT * FROM [IMPORTMasterSchedule]"/>
  </connection>
  <connection id="10" xr16:uid="{53E6DB90-96DA-4EC8-A5E6-27C81037721C}" keepAlive="1" name="Query - Permutation DateTimeRoleShift" description="Connection to the 'Permutation DateTimeRoleShift' query in the workbook." type="5" refreshedVersion="8" background="1" saveData="1">
    <dbPr connection="Provider=Microsoft.Mashup.OleDb.1;Data Source=$Workbook$;Location=&quot;Permutation DateTimeRoleShift&quot;;Extended Properties=&quot;&quot;" command="SELECT * FROM [Permutation DateTimeRoleShift]"/>
  </connection>
  <connection id="11" xr16:uid="{FEA3E5BA-83E0-408D-8461-F369D7E2654E}" keepAlive="1" name="Query - RoleShiftDemandANACC Prepare" description="Connection to the 'RoleShiftDemandANACC Prepare' query in the workbook." type="5" refreshedVersion="8" background="1" saveData="1">
    <dbPr connection="Provider=Microsoft.Mashup.OleDb.1;Data Source=$Workbook$;Location=&quot;RoleShiftDemandANACC Prepare&quot;;Extended Properties=&quot;&quot;" command="SELECT * FROM [RoleShiftDemandANACC Prepare]"/>
  </connection>
  <connection id="12" xr16:uid="{DE3F2364-75A3-4CAE-B515-495935169C65}" keepAlive="1" name="Query - ShiftDuration" description="Connection to the 'ShiftDuration' query in the workbook." type="5" refreshedVersion="8" background="1" saveData="1">
    <dbPr connection="Provider=Microsoft.Mashup.OleDb.1;Data Source=$Workbook$;Location=ShiftDuration;Extended Properties=&quot;&quot;" command="SELECT * FROM [ShiftDuration]"/>
  </connection>
  <connection id="13" xr16:uid="{DD2A63E4-00C1-42B6-877F-D435D5BF3E04}" keepAlive="1" name="Query - ShiftOrder" description="Connection to the 'ShiftOrder' query in the workbook." type="5" refreshedVersion="0" background="1">
    <dbPr connection="Provider=Microsoft.Mashup.OleDb.1;Data Source=$Workbook$;Location=ShiftOrder;Extended Properties=&quot;&quot;" command="SELECT * FROM [ShiftOrder]"/>
  </connection>
  <connection id="14" xr16:uid="{C3ECAD07-D45E-418C-9025-D505579F7E18}" keepAlive="1" name="Query - ShiftStart" description="Connection to the 'ShiftStart' query in the workbook." type="5" refreshedVersion="0" background="1">
    <dbPr connection="Provider=Microsoft.Mashup.OleDb.1;Data Source=$Workbook$;Location=ShiftStart;Extended Properties=&quot;&quot;" command="SELECT * FROM [ShiftStart]"/>
  </connection>
  <connection id="15" xr16:uid="{E07562A9-264F-45B2-9F6F-295910B89E65}" keepAlive="1" name="Query - ShiftUnitDemandHRS" description="Connection to the 'ShiftUnitDemandHRS' query in the workbook." type="5" refreshedVersion="8" background="1" saveData="1">
    <dbPr connection="Provider=Microsoft.Mashup.OleDb.1;Data Source=$Workbook$;Location=ShiftUnitDemandHRS;Extended Properties=&quot;&quot;" command="SELECT * FROM [ShiftUnitDemandHRS]"/>
  </connection>
  <connection id="16" xr16:uid="{1E520F9E-A305-4852-8508-9D4493CEE4FD}" keepAlive="1" name="Query - ShiftUnitDemandHRS - Master" description="Connection to the 'ShiftUnitDemandHRS - Master' query in the workbook." type="5" refreshedVersion="8" background="1" saveData="1">
    <dbPr connection="Provider=Microsoft.Mashup.OleDb.1;Data Source=$Workbook$;Location=&quot;ShiftUnitDemandHRS - Master&quot;;Extended Properties=&quot;&quot;" command="SELECT * FROM [ShiftUnitDemandHRS - Master]"/>
  </connection>
  <connection id="17" xr16:uid="{4A8818ED-92EA-479F-99A8-D39F4F5F7A4E}" keepAlive="1" name="Query - ShiftUnitDemandHRS-no time" description="Connection to the 'ShiftUnitDemandHRS-no time' query in the workbook." type="5" refreshedVersion="8" background="1" saveData="1">
    <dbPr connection="Provider=Microsoft.Mashup.OleDb.1;Data Source=$Workbook$;Location=&quot;ShiftUnitDemandHRS-no time&quot;;Extended Properties=&quot;&quot;" command="SELECT * FROM [ShiftUnitDemandHRS-no time]"/>
  </connection>
  <connection id="18" xr16:uid="{E133A7C7-C816-45EC-B805-94EEE372A668}" keepAlive="1" name="Query - ShiftUnitDemandHRS-wide B" description="Connection to the 'ShiftUnitDemandHRS-wide B' query in the workbook." type="5" refreshedVersion="8" background="1" saveData="1">
    <dbPr connection="Provider=Microsoft.Mashup.OleDb.1;Data Source=$Workbook$;Location=&quot;ShiftUnitDemandHRS-wide B&quot;;Extended Properties=&quot;&quot;" command="SELECT * FROM [ShiftUnitDemandHRS-wide B]"/>
  </connection>
  <connection id="19" xr16:uid="{FB8DC31F-C489-40DB-9D63-D4A2B51D78A8}" keepAlive="1" name="Query - StartAM" description="Connection to the 'StartAM' query in the workbook." type="5" refreshedVersion="0" background="1">
    <dbPr connection="Provider=Microsoft.Mashup.OleDb.1;Data Source=$Workbook$;Location=StartAM;Extended Properties=&quot;&quot;" command="SELECT * FROM [StartAM]"/>
  </connection>
  <connection id="20" xr16:uid="{9A0D751E-5C9E-4760-826B-BCDF0E0098B9}" keepAlive="1" name="Query - StartNIGHT" description="Connection to the 'StartNIGHT' query in the workbook." type="5" refreshedVersion="0" background="1">
    <dbPr connection="Provider=Microsoft.Mashup.OleDb.1;Data Source=$Workbook$;Location=StartNIGHT;Extended Properties=&quot;&quot;" command="SELECT * FROM [StartNIGHT]"/>
  </connection>
  <connection id="21" xr16:uid="{5D15C45E-2D6E-4BAE-9979-A05D5C72FBBB}" keepAlive="1" name="Query - StartPM" description="Connection to the 'StartPM' query in the workbook." type="5" refreshedVersion="0" background="1">
    <dbPr connection="Provider=Microsoft.Mashup.OleDb.1;Data Source=$Workbook$;Location=StartPM;Extended Properties=&quot;&quot;" command="SELECT * FROM [StartPM]"/>
  </connection>
  <connection id="22" xr16:uid="{24B7081C-9E1A-4E1D-B8BA-31733EBA1ACD}" keepAlive="1" name="Query - Table_RosteredDays" description="Connection to the 'Table_RosteredDays' query in the workbook." type="5" refreshedVersion="0" background="1">
    <dbPr connection="Provider=Microsoft.Mashup.OleDb.1;Data Source=$Workbook$;Location=Table_RosteredDays;Extended Properties=&quot;&quot;" command="SELECT * FROM [Table_RosteredDays]"/>
  </connection>
  <connection id="23" xr16:uid="{AAC47359-7011-4FC4-B379-8AE336029AC2}" keepAlive="1" name="Query - Table_RosterStart" description="Connection to the 'Table_RosterStart' query in the workbook." type="5" refreshedVersion="0" background="1">
    <dbPr connection="Provider=Microsoft.Mashup.OleDb.1;Data Source=$Workbook$;Location=Table_RosterStart;Extended Properties=&quot;&quot;" command="SELECT * FROM [Table_RosterStar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<sst xmlns="http://schemas.openxmlformats.org/spreadsheetml/2006/main" count="1886" uniqueCount="210">
  <si>
    <t>Shift</t>
  </si>
  <si>
    <t>Start Time</t>
  </si>
  <si>
    <t>End Time</t>
  </si>
  <si>
    <t>DemandFTE</t>
  </si>
  <si>
    <t>DemandHRS</t>
  </si>
  <si>
    <t>A-Mon</t>
  </si>
  <si>
    <t>AM</t>
  </si>
  <si>
    <t>Regency</t>
  </si>
  <si>
    <t>Carer</t>
  </si>
  <si>
    <t>A-Tues</t>
  </si>
  <si>
    <t>A-Wed</t>
  </si>
  <si>
    <t>A-Thur</t>
  </si>
  <si>
    <t>A-Fri</t>
  </si>
  <si>
    <t>A-Sat</t>
  </si>
  <si>
    <t>A-Sun</t>
  </si>
  <si>
    <t>B-Mon</t>
  </si>
  <si>
    <t>B-Tues</t>
  </si>
  <si>
    <t>B-Wed</t>
  </si>
  <si>
    <t>B-Thur</t>
  </si>
  <si>
    <t>B-Fri</t>
  </si>
  <si>
    <t>B-Sat</t>
  </si>
  <si>
    <t>B-Sun</t>
  </si>
  <si>
    <t>Eichholzer</t>
  </si>
  <si>
    <t>Ribee</t>
  </si>
  <si>
    <t>N/A</t>
  </si>
  <si>
    <t>Registered Nurse</t>
  </si>
  <si>
    <t>Endorsed Enrolled Nurse</t>
  </si>
  <si>
    <t>Unit</t>
  </si>
  <si>
    <t>Role</t>
  </si>
  <si>
    <t>Shift Length</t>
  </si>
  <si>
    <t>Lifestyle Supervisor</t>
  </si>
  <si>
    <t>Lifestyle Officer</t>
  </si>
  <si>
    <t>Education Coordinator</t>
  </si>
  <si>
    <t>Physio Aide</t>
  </si>
  <si>
    <t>Care Assessment Coordinator</t>
  </si>
  <si>
    <t>General Manager</t>
  </si>
  <si>
    <t>Care Manager</t>
  </si>
  <si>
    <t>Hotel Services Manager</t>
  </si>
  <si>
    <t>Administration Officer</t>
  </si>
  <si>
    <t>Hospitality Officer - Cleaning</t>
  </si>
  <si>
    <t>Hotel Services Officer - Cleaning</t>
  </si>
  <si>
    <t>Hospitality Officer - Laundry</t>
  </si>
  <si>
    <t>Maintenance Officer</t>
  </si>
  <si>
    <t>Catering Supervisor</t>
  </si>
  <si>
    <t>Catering Officer</t>
  </si>
  <si>
    <t>Facility</t>
  </si>
  <si>
    <t>A</t>
  </si>
  <si>
    <t>Mon</t>
  </si>
  <si>
    <t>Tues</t>
  </si>
  <si>
    <t>Wed</t>
  </si>
  <si>
    <t>Thur</t>
  </si>
  <si>
    <t>Fri</t>
  </si>
  <si>
    <t>Sat</t>
  </si>
  <si>
    <t>Sun</t>
  </si>
  <si>
    <t>StartTime</t>
  </si>
  <si>
    <t>EndTime</t>
  </si>
  <si>
    <t>Date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</si>
  <si>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</si>
  <si>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</si>
  <si>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</si>
  <si>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</si>
  <si>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</si>
  <si>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</si>
  <si>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</si>
  <si>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</si>
  <si>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</si>
  <si>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</si>
  <si>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</si>
  <si>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</si>
  <si>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</si>
  <si>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</si>
  <si>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</si>
  <si>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</si>
  <si>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</si>
  <si>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</si>
  <si>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</si>
  <si>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</si>
  <si>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</si>
  <si>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</si>
  <si>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</si>
  <si>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</si>
  <si>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</si>
  <si>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Village Name : BENHOME</t>
  </si>
  <si>
    <t>Please enter your current master roster that inlcudes departments, areas (if applicable), shifts, jobs and daily coverage (Number of people in that particular job required for that shift on that day) as per fields below. Refer to example below.</t>
  </si>
  <si>
    <t>No. required per day -Week 1</t>
  </si>
  <si>
    <t>No. required per day -Week 2</t>
  </si>
  <si>
    <t>Ogranisation path</t>
  </si>
  <si>
    <t>Department</t>
  </si>
  <si>
    <t>Area /Wing if applicable</t>
  </si>
  <si>
    <t>Shift Label</t>
  </si>
  <si>
    <t>Job Description</t>
  </si>
  <si>
    <t>Mon2</t>
  </si>
  <si>
    <t>Tues3</t>
  </si>
  <si>
    <t>Wed4</t>
  </si>
  <si>
    <t>Thur5</t>
  </si>
  <si>
    <t>Fri6</t>
  </si>
  <si>
    <t>Sat7</t>
  </si>
  <si>
    <t>Sun8</t>
  </si>
  <si>
    <t>RFBI/OPS/HUNT/BEN-RES/</t>
  </si>
  <si>
    <t>CARE</t>
  </si>
  <si>
    <t>BEN RB M2-RB CARE MORN 2</t>
  </si>
  <si>
    <t>BEN EN M2-EN MORN 2</t>
  </si>
  <si>
    <t>BEN R M2-REG CARE MORN 2</t>
  </si>
  <si>
    <t>BEN R M3A-REG CARE MORN 3A</t>
  </si>
  <si>
    <t>BEN R M3B-REG CARE MORN 3B</t>
  </si>
  <si>
    <t>BEN E M2-EIC CARE MORN 2</t>
  </si>
  <si>
    <t>BEN E M4-EIC CARE MORN 4</t>
  </si>
  <si>
    <t>BEN E M4A-EIC CARE MORN 4A</t>
  </si>
  <si>
    <t>BEN RB M3-RB CARE MORN 3</t>
  </si>
  <si>
    <t>BEN RB M3B-RB CARE MORN 3B</t>
  </si>
  <si>
    <t>BEN R M1 MED-REG CARE MORN 1</t>
  </si>
  <si>
    <t>BEN E M1 MED-EIC CARE MORN 1</t>
  </si>
  <si>
    <t>BEN RB M1 MED-RB CARE MORN 1</t>
  </si>
  <si>
    <t>BEN RN M1-RN MORN 1</t>
  </si>
  <si>
    <t>BEN EN M1-EN MORN 1</t>
  </si>
  <si>
    <t>BEN R M3C-REG CARE MORN 3C</t>
  </si>
  <si>
    <t>BEN R A2A-REG CARE AFTN 2A</t>
  </si>
  <si>
    <t>BEN E A1B-EIC CARE AFTN 1B</t>
  </si>
  <si>
    <t>BEN RB A2-RB CARE AFTN 2</t>
  </si>
  <si>
    <t>BEN R A1 MED-REG CARE AFTN 1 MED</t>
  </si>
  <si>
    <t>BEN R A1-REG CARE AFTN 1</t>
  </si>
  <si>
    <t>BEN E A1 MED-EIC CARE ATN 1</t>
  </si>
  <si>
    <t>BEN E A1A-EIC CARE AFTN 1A</t>
  </si>
  <si>
    <t>BEN RB A1 MED-RB CARE ATN 1</t>
  </si>
  <si>
    <t>BEN RB A1-RB CARE ATN 1</t>
  </si>
  <si>
    <t>BEN RN A1-RN AFTN 1</t>
  </si>
  <si>
    <t>BEN R N1-REG CARE NIGHT 1</t>
  </si>
  <si>
    <t>ACTIVITY</t>
  </si>
  <si>
    <t>BEN LSS-LIFEST SUP</t>
  </si>
  <si>
    <t>BEN LL M1-LIFEST MORN 1</t>
  </si>
  <si>
    <t>ADMIN</t>
  </si>
  <si>
    <t>BEN EC1-EDU COORD 1</t>
  </si>
  <si>
    <t>BEN PHYSIO 1</t>
  </si>
  <si>
    <t>BEN PHYSIO 2</t>
  </si>
  <si>
    <t>BEN CAC 1</t>
  </si>
  <si>
    <t>BEN CAC 2</t>
  </si>
  <si>
    <t>BEN R N2-REG CARE NIGHT 2</t>
  </si>
  <si>
    <t>BEN E N1-EIC CARE NIGHT 1</t>
  </si>
  <si>
    <t>BEN E N2-EIC CARE NIGHT 2</t>
  </si>
  <si>
    <t>BEN RB N1-RB CARE NIGHT 1</t>
  </si>
  <si>
    <t>BEN RN N1-RN NIGHT 1</t>
  </si>
  <si>
    <t>MANAGEMENT</t>
  </si>
  <si>
    <t>BEN GM</t>
  </si>
  <si>
    <t>BEN CM1</t>
  </si>
  <si>
    <t>CLEANING</t>
  </si>
  <si>
    <t>BEN HSM1-HS MGR 1</t>
  </si>
  <si>
    <t>BEN HSM2-HS MGR 2</t>
  </si>
  <si>
    <t>BEN AD1-ADMIN MORN 1</t>
  </si>
  <si>
    <t>BEN AD2-ADMIN MORN 2</t>
  </si>
  <si>
    <t>BEN AD4-ADMIN MORN 4</t>
  </si>
  <si>
    <t>BEN CL1-CLEAN 1</t>
  </si>
  <si>
    <t>BEN CL2-CLEAN 2</t>
  </si>
  <si>
    <t>BEN CL3-CLEAN 3</t>
  </si>
  <si>
    <t>BEN CL4-CLEAN 4</t>
  </si>
  <si>
    <t>BEN CL5-CLEAN 5</t>
  </si>
  <si>
    <t>BEN CL6-CLEAN 6</t>
  </si>
  <si>
    <t>BEN CL7-CLEAN 7</t>
  </si>
  <si>
    <t>LAUNDRY</t>
  </si>
  <si>
    <t>BEN LAU M1-LAUN MORN 1</t>
  </si>
  <si>
    <t>BEN LAU M2-LAUN MORN 2</t>
  </si>
  <si>
    <t>BEN LAU M3-LAUN MORN 3</t>
  </si>
  <si>
    <t>BEN LAU M4-LAUN MORN 4</t>
  </si>
  <si>
    <t>BEN LAU M5-LAUN MORN 5</t>
  </si>
  <si>
    <t>MAINTENANCE</t>
  </si>
  <si>
    <t>BEN MT2-MAINT 2</t>
  </si>
  <si>
    <t>CATERING</t>
  </si>
  <si>
    <t>BEN MT3-MAINT 3</t>
  </si>
  <si>
    <t>BEN CAT M1-CATER MORN 1</t>
  </si>
  <si>
    <t>BEN CAT M2-CATER MORN 2</t>
  </si>
  <si>
    <t>BEN CAT A1-CATER AFTN 1</t>
  </si>
  <si>
    <t>BEN CAT A2-CATER AFTN 2</t>
  </si>
  <si>
    <t>PM</t>
  </si>
  <si>
    <t>NIGHT</t>
  </si>
  <si>
    <t>ShiftDuration</t>
  </si>
  <si>
    <t>Shifts</t>
  </si>
  <si>
    <t>in fortnight</t>
  </si>
  <si>
    <t>Ave in week</t>
  </si>
  <si>
    <t>care hours</t>
  </si>
  <si>
    <t>DemandRosterHRS</t>
  </si>
  <si>
    <t>DemandWeekHrs</t>
  </si>
  <si>
    <t>CareDemandWeekHrsApprox</t>
  </si>
  <si>
    <t>SharedPath</t>
  </si>
  <si>
    <t>Client</t>
  </si>
  <si>
    <t>Type</t>
  </si>
  <si>
    <t>04 Analysis</t>
  </si>
  <si>
    <t>Settings Directory</t>
  </si>
  <si>
    <t>2. Calculations</t>
  </si>
  <si>
    <t xml:space="preserve">This file </t>
  </si>
  <si>
    <t>Intervals.xlsx</t>
  </si>
  <si>
    <t>Settings.xlsx</t>
  </si>
  <si>
    <t>Location</t>
  </si>
  <si>
    <t xml:space="preserve"> Source1 = Excel.CurrentWorkbook(){[Name="Folder"]}[Content],</t>
  </si>
  <si>
    <t>Root Location</t>
  </si>
  <si>
    <t xml:space="preserve">    Folder = Source1{0}[Folder],</t>
  </si>
  <si>
    <t xml:space="preserve">    </t>
  </si>
  <si>
    <t xml:space="preserve">    Source = Excel.Workbook(File.Contents(Folder &amp;  "</t>
  </si>
  <si>
    <t>Folder</t>
  </si>
  <si>
    <t>MaxAvailability</t>
  </si>
  <si>
    <t>Day</t>
  </si>
  <si>
    <t>Period</t>
  </si>
  <si>
    <t>RolesList</t>
  </si>
  <si>
    <t>AIN</t>
  </si>
  <si>
    <t>AINC4</t>
  </si>
  <si>
    <t>RN</t>
  </si>
  <si>
    <t>Total</t>
  </si>
  <si>
    <t>EN</t>
  </si>
  <si>
    <t>DurationOfShifts</t>
  </si>
  <si>
    <t>ShiftPeriod</t>
  </si>
  <si>
    <t>StartDay</t>
  </si>
  <si>
    <t>EndDay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</si>
</sst>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00000"/>
      <name val="Times New Roman"/>
      <family val="1"/>
    </font>
    <font>
      <sz val="10"/>
      <color theme="4"/>
      <name val="Times New Roman"/>
      <family val="1"/>
    </font>
    <font>
      <sz val="10"/>
      <color theme="0" tint="-0.499984740745262"/>
      <name val="Times New Roman"/>
      <family val="1"/>
    </font>
    <font>
      <sz val="10"/>
      <color rgb="FFFF0000"/>
      <name val="Times New Roman"/>
      <family val="1"/>
    </font>
    <font>
      <sz val="10"/>
      <color theme="8"/>
      <name val="Times New Roman"/>
      <family val="1"/>
    </font>
    <font>
      <b/>
      <sz val="10"/>
      <color rgb="FF000000"/>
      <name val="Times New Roman"/>
      <family val="1"/>
    </font>
    <font>
      <sz val="10"/>
      <color theme="0" tint="-0.499984740745262"/>
      <name val="Times New Roman"/>
      <family val="1"/>
      <charset val="204"/>
    </font>
    <font>
      <sz val="8"/>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13">
    <xf numFmtId="0" fontId="0" fillId="0" borderId="0" xfId="0"/>
    <xf numFmtId="22" fontId="0" fillId="0" borderId="0" xfId="0" applyNumberFormat="1"/>
    <xf numFmtId="14" fontId="0" fillId="0" borderId="0" xfId="0" applyNumberFormat="1"/>
    <xf numFmtId="0" fontId="2" fillId="0" borderId="0" xfId="1" applyFont="1" applyAlignment="1">
      <alignment horizontal="left" vertical="top"/>
    </xf>
    <xf numFmtId="0" fontId="1" fillId="0" borderId="0" xfId="1" applyAlignment="1">
      <alignment horizontal="left" vertical="top"/>
    </xf>
    <xf numFmtId="0" fontId="3" fillId="0" borderId="0" xfId="1" applyFont="1" applyAlignment="1">
      <alignment horizontal="left" vertical="top"/>
    </xf>
    <xf numFmtId="0" fontId="4" fillId="0" borderId="0" xfId="1" applyFont="1" applyAlignment="1">
      <alignment horizontal="left" vertical="top"/>
    </xf>
    <xf numFmtId="0" fontId="1" fillId="0" borderId="1" xfId="1" applyBorder="1" applyAlignment="1">
      <alignment horizontal="left" vertical="top"/>
    </xf>
    <xf numFmtId="0" fontId="5" fillId="0" borderId="0" xfId="1" applyFont="1" applyAlignment="1">
      <alignment horizontal="left" vertical="top"/>
    </xf>
    <xf numFmtId="0" fontId="6" fillId="0" borderId="0" xfId="1" applyFont="1" applyAlignment="1">
      <alignment horizontal="left" vertical="top"/>
    </xf>
    <xf numFmtId="0" fontId="0" fillId="0" borderId="0" xfId="1" applyFont="1" applyAlignment="1">
      <alignment horizontal="left" vertical="top"/>
    </xf>
    <xf numFmtId="0" fontId="1" fillId="2" borderId="0" xfId="1" applyFill="1" applyAlignment="1">
      <alignment horizontal="left" vertical="top"/>
    </xf>
    <xf numFmtId="0" fontId="7" fillId="0" borderId="0" xfId="1" applyFont="1" applyAlignment="1">
      <alignment horizontal="left" vertical="top"/>
    </xf>
  </cellXfs>
  <cellStyles count="2">
    <cellStyle name="Normal" xfId="0" builtinId="0"/>
    <cellStyle name="Normal 2" xfId="1" xr:uid="{D1D58750-7B29-4B9E-A224-55B6651A7FEF}"/>
  </cellStyles>
  <dxfs count="35">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h:mm"/>
    </dxf>
    <dxf>
      <numFmt numFmtId="165" formatCode="m/d/yyyy\ h:mm"/>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5" formatCode="m/d/yyyy\ h:mm"/>
    </dxf>
    <dxf>
      <numFmt numFmtId="165" formatCode="m/d/yyyy\ h:mm"/>
    </dxf>
    <dxf>
      <numFmt numFmtId="0" formatCode="General"/>
    </dxf>
    <dxf>
      <numFmt numFmtId="0" formatCode="General"/>
    </dxf>
    <dxf>
      <numFmt numFmtId="164" formatCode="m/d/yyyy"/>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0"/>
        <color theme="8"/>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0"/>
        <color theme="8"/>
        <name val="Times New Roman"/>
        <family val="1"/>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entri001.sharepoint.com/sites/2.0Accounts/Shared%20Documents/2.1.1%20RFBI-PoC/2.0%20RFBI/04.1%20PoC/04%20Analysis/COMPUTERPATH.xlsx" TargetMode="External"/><Relationship Id="rId1" Type="http://schemas.openxmlformats.org/officeDocument/2006/relationships/externalLinkPath" Target="/sites/2.0Accounts/Shared%20Documents/2.1.1%20RFBI-PoC/2.0%20RFBI/04.1%20PoC/04%20Analysis/COMPUTERPATH.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entri001.sharepoint.com/sites/4.Production/Shared%20Documents/WFEffectiveness/4.1.1%20AGED%20CARE/01%20Christadelphian%20Aged%20Care/240715/FACILITIES/ASHB/2.%20Calculations/SETTINGS.xlsx" TargetMode="External"/><Relationship Id="rId1" Type="http://schemas.openxmlformats.org/officeDocument/2006/relationships/externalLinkPath" Target="/sites/4.Production/Shared%20Documents/WFEffectiveness/4.1.1%20AGED%20CARE/01%20Christadelphian%20Aged%20Care/240715/FACILITIES/ASHB/2.%20Calculations/SETT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wojAMNtMEafITSMnMZsuXilD8tw-NZHsNlaQj4qnPsv_Gi1Kk0aT6ktvm6p1Hm_" itemId="01JKT3HL7SDNGNSKGC6VDKCIWUFSNWSVXY">
      <xxl21:absoluteUrl r:id="rId2"/>
    </xxl21:alternateUrls>
    <sheetNames>
      <sheetName val="Computerpath"/>
      <sheetName val="FILEPATH"/>
      <sheetName val="StaffList"/>
      <sheetName val="Allocation"/>
      <sheetName val="ResourceShiftAllocation"/>
      <sheetName val="Metadata"/>
    </sheetNames>
    <definedNames>
      <definedName name="Client" refersTo="='Computerpath'!$B$14"/>
    </definedNames>
    <sheetDataSet>
      <sheetData sheetId="0">
        <row r="14">
          <cell r="B14" t="str">
            <v>04.1 PoC</v>
          </cell>
        </row>
      </sheetData>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PATH"/>
      <sheetName val="ShiftHours"/>
      <sheetName val="Metadata"/>
      <sheetName val="Query3"/>
      <sheetName val="AllocationExtracted"/>
      <sheetName val="SETTINGS"/>
    </sheetNames>
    <sheetDataSet>
      <sheetData sheetId="0">
        <row r="26">
          <cell r="B26" t="str">
            <v>C:\Users\Alex\Centri\4. Production - Documents\WFEffectiveness\4.1.1 AGED CARE\01 Christadelphian Aged Care\240715\FACILITIES\ASHB</v>
          </cell>
        </row>
      </sheetData>
      <sheetData sheetId="1"/>
      <sheetData sheetId="2"/>
      <sheetData sheetId="3"/>
      <sheetData sheetId="4"/>
      <sheetData sheetId="5"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0" xr16:uid="{D3F206A4-570C-41C9-AAEB-B6CC1A3AC1DF}" autoFormatId="16" applyNumberFormats="0" applyBorderFormats="0" applyFontFormats="0" applyPatternFormats="0" applyAlignmentFormats="0" applyWidthHeightFormats="0">
  <queryTableRefresh nextId="15">
    <queryTableFields count="9">
      <queryTableField id="1" name="Date" tableColumnId="1"/>
      <queryTableField id="2" name="Day" tableColumnId="2"/>
      <queryTableField id="11" name="Shift" tableColumnId="3"/>
      <queryTableField id="4" name="Period" tableColumnId="4"/>
      <queryTableField id="12" name="Role" tableColumnId="5"/>
      <queryTableField id="7" name="StartTime" tableColumnId="7"/>
      <queryTableField id="8" name="EndTime" tableColumnId="8"/>
      <queryTableField id="9" name="Unit" tableColumnId="9"/>
      <queryTableField id="10" name="Facility"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F037A86A-9A61-4FC2-BE17-96CCB9A4840C}" autoFormatId="16" applyNumberFormats="0" applyBorderFormats="0" applyFontFormats="0" applyPatternFormats="0" applyAlignmentFormats="0" applyWidthHeightFormats="0">
  <queryTableRefresh nextId="6">
    <queryTableFields count="5">
      <queryTableField id="1" name="Date" tableColumnId="1"/>
      <queryTableField id="2" name="Day" tableColumnId="2"/>
      <queryTableField id="3" name="Shifts" tableColumnId="3"/>
      <queryTableField id="4" name="Period" tableColumnId="4"/>
      <queryTableField id="5" name="RolesLis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1D36674C-5898-418A-B06C-9D961E69F612}" autoFormatId="16" applyNumberFormats="0" applyBorderFormats="0" applyFontFormats="0" applyPatternFormats="0" applyAlignmentFormats="0" applyWidthHeightFormats="0">
  <queryTableRefresh nextId="26">
    <queryTableFields count="2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A0630546-D54C-4ACB-9C9F-C6BBC225BBBD}" autoFormatId="16" applyNumberFormats="0" applyBorderFormats="0" applyFontFormats="0" applyPatternFormats="0" applyAlignmentFormats="0" applyWidthHeightFormats="0">
  <queryTableRefresh nextId="20">
    <queryTableFields count="19">
      <queryTableField id="1" name="Unit" tableColumnId="1"/>
      <queryTableField id="2" name="Role" tableColumnId="2"/>
      <queryTableField id="3" name="Start Time" tableColumnId="3"/>
      <queryTableField id="4" name="End Time" tableColumnId="4"/>
      <queryTableField id="5" name="Shift Length" tableColumnId="5"/>
      <queryTableField id="6" name="A-Mon" tableColumnId="6"/>
      <queryTableField id="7" name="A-Tues" tableColumnId="7"/>
      <queryTableField id="8" name="A-Wed" tableColumnId="8"/>
      <queryTableField id="9" name="A-Thur" tableColumnId="9"/>
      <queryTableField id="10" name="A-Fri" tableColumnId="10"/>
      <queryTableField id="11" name="A-Sat" tableColumnId="11"/>
      <queryTableField id="12" name="A-Sun" tableColumnId="12"/>
      <queryTableField id="13" name="B-Mon" tableColumnId="13"/>
      <queryTableField id="14" name="B-Tues" tableColumnId="14"/>
      <queryTableField id="15" name="B-Wed" tableColumnId="15"/>
      <queryTableField id="16" name="B-Thur" tableColumnId="16"/>
      <queryTableField id="17" name="B-Fri" tableColumnId="17"/>
      <queryTableField id="18" name="B-Sat" tableColumnId="18"/>
      <queryTableField id="19" name="B-Sun"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15" xr16:uid="{419435E5-0A44-4586-9E47-50FAF436EC07}" autoFormatId="16" applyNumberFormats="0" applyBorderFormats="0" applyFontFormats="0" applyPatternFormats="0" applyAlignmentFormats="0" applyWidthHeightFormats="0">
  <queryTableRefresh nextId="18">
    <queryTableFields count="12">
      <queryTableField id="1" name="Date" tableColumnId="1"/>
      <queryTableField id="2" name="Day" tableColumnId="2"/>
      <queryTableField id="12" name="Shift" tableColumnId="3"/>
      <queryTableField id="4" name="Period" tableColumnId="4"/>
      <queryTableField id="13" name="Role" tableColumnId="5"/>
      <queryTableField id="6" name="StartTime" tableColumnId="6"/>
      <queryTableField id="7" name="EndTime" tableColumnId="7"/>
      <queryTableField id="8" name="Unit" tableColumnId="8"/>
      <queryTableField id="9" name="Facility" tableColumnId="9"/>
      <queryTableField id="10" name="DemandFTE" tableColumnId="10"/>
      <queryTableField id="11" name="DemandHRS" tableColumnId="11"/>
      <queryTableField id="17" name="DurationOfShifts"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11" xr16:uid="{AB21FE0F-34B0-4E81-897F-7BF39FD06B55}" autoFormatId="16" applyNumberFormats="0" applyBorderFormats="0" applyFontFormats="0" applyPatternFormats="0" applyAlignmentFormats="0" applyWidthHeightFormats="0">
  <queryTableRefresh nextId="9">
    <queryTableFields count="6">
      <queryTableField id="1" name="Role" tableColumnId="1"/>
      <queryTableField id="2" name="Shift" tableColumnId="2"/>
      <queryTableField id="3" name="DemandFTE" tableColumnId="3"/>
      <queryTableField id="7" name="StartTime" tableColumnId="6"/>
      <queryTableField id="5" name="DurationOfShifts" tableColumnId="5"/>
      <queryTableField id="4" name="DemandHRS"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12" xr16:uid="{A35E5009-816D-434F-B6DB-9B0B49622D4F}" autoFormatId="16" applyNumberFormats="0" applyBorderFormats="0" applyFontFormats="0" applyPatternFormats="0" applyAlignmentFormats="0" applyWidthHeightFormats="0">
  <queryTableRefresh nextId="2">
    <queryTableFields count="1">
      <queryTableField id="1" name="ShiftDuration"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8" xr16:uid="{2FC94D6D-4141-4DBE-A1ED-2B83437D1664}" autoFormatId="16" applyNumberFormats="0" applyBorderFormats="0" applyFontFormats="0" applyPatternFormats="0" applyAlignmentFormats="0" applyWidthHeightFormats="0">
  <queryTableRefresh nextId="8">
    <queryTableFields count="6">
      <queryTableField id="5" name="Role" tableColumnId="5"/>
      <queryTableField id="1" name="ShiftPeriod" tableColumnId="1"/>
      <queryTableField id="2" name="StartTime" tableColumnId="2"/>
      <queryTableField id="3" name="StartDay" tableColumnId="3"/>
      <queryTableField id="4" name="DurationOfShifts" tableColumnId="4"/>
      <queryTableField id="7" name="EndDay" tableColumnId="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7" xr16:uid="{F18E4524-3CAC-46BC-93E5-A9EC19EE1BEE}" autoFormatId="16" applyNumberFormats="0" applyBorderFormats="0" applyFontFormats="0" applyPatternFormats="0" applyAlignmentFormats="0" applyWidthHeightFormats="0">
  <queryTableRefresh nextId="6">
    <queryTableFields count="5">
      <queryTableField id="1" name="Role" tableColumnId="1"/>
      <queryTableField id="2" name="AM" tableColumnId="2"/>
      <queryTableField id="3" name="PM" tableColumnId="3"/>
      <queryTableField id="4" name="NIGHT" tableColumnId="4"/>
      <queryTableField id="5" name="Total"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7" xr16:uid="{85A2E35E-9B19-469D-8D98-A4EA72843488}" autoFormatId="16" applyNumberFormats="0" applyBorderFormats="0" applyFontFormats="0" applyPatternFormats="0" applyAlignmentFormats="0" applyWidthHeightFormats="0">
  <queryTableRefresh nextId="12">
    <queryTableFields count="7">
      <queryTableField id="1" name="Shift" tableColumnId="1"/>
      <queryTableField id="2" name="Role" tableColumnId="2"/>
      <queryTableField id="3" name="Facility" tableColumnId="3"/>
      <queryTableField id="4" name="Unit" tableColumnId="4"/>
      <queryTableField id="6" name="DemandFTE" tableColumnId="6"/>
      <queryTableField id="7" name="DemandHRS" tableColumnId="7"/>
      <queryTableField id="5" name="Date"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3" xr16:uid="{BBA90C48-56E4-426E-8949-26C754F07259}" autoFormatId="16" applyNumberFormats="0" applyBorderFormats="0" applyFontFormats="0" applyPatternFormats="0" applyAlignmentFormats="0" applyWidthHeightFormats="0">
  <queryTableRefresh nextId="6">
    <queryTableFields count="5">
      <queryTableField id="1" name="Facility" tableColumnId="1"/>
      <queryTableField id="2" name="Role" tableColumnId="2"/>
      <queryTableField id="3" name="DemandRosterHRS" tableColumnId="3"/>
      <queryTableField id="4" name="DemandWeekHrs" tableColumnId="4"/>
      <queryTableField id="5" name="CareDemandWeekHrsApprox" tableColumnId="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68987E-E16E-4383-8D44-8616D147C051}" name="Folder" displayName="Folder" ref="B35:B36" totalsRowShown="0" dataDxfId="34" dataCellStyle="Normal 2">
  <autoFilter ref="B35:B36" xr:uid="{56272DB7-7BB8-46CC-B188-5BD9424345D9}"/>
  <tableColumns count="1">
    <tableColumn id="1" xr3:uid="{2421507E-D9CF-4631-8D7F-F6F300ACF490}" name="Folder" dataDxfId="33" dataCellStyle="Normal 2">
      <calculatedColumnFormula>B20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381707-5370-40EB-A3BF-0D21DA42D23D}" name="MaxAvailability" displayName="MaxAvailability" ref="B43:B44" totalsRowShown="0" headerRowDxfId="32" dataDxfId="31" headerRowCellStyle="Normal 2" dataCellStyle="Normal 2">
  <autoFilter ref="B43:B44" xr:uid="{B4BE93C5-5635-4146-B292-6A216A758169}"/>
  <tableColumns count="1">
    <tableColumn id="1" xr3:uid="{6F5F3649-954D-4348-BDF9-A66D53F6C03E}" name="MaxAvailability" dataDxfId="30"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3282B02-ACCC-48A9-85E0-6E53CC206237}" name="Permutation_DateTimeRoleShift" displayName="Permutation_DateTimeRoleShift" ref="A1:I127" tableType="queryTable" totalsRowShown="0">
  <autoFilter ref="A1:I127" xr:uid="{73282B02-ACCC-48A9-85E0-6E53CC206237}"/>
  <tableColumns count="9">
    <tableColumn id="1" xr3:uid="{35C722DA-8DEC-47B8-9EDF-5F61B4BF8AF0}" uniqueName="1" name="Date" queryTableFieldId="1" dataDxfId="29"/>
    <tableColumn id="2" xr3:uid="{52FB19C9-224E-4F00-A7E7-52B199482292}" uniqueName="2" name="Day" queryTableFieldId="2"/>
    <tableColumn id="3" xr3:uid="{FB4032BB-7DF2-4DB9-88AE-45352AB6C2BD}" uniqueName="3" name="Shift" queryTableFieldId="11" dataDxfId="28"/>
    <tableColumn id="4" xr3:uid="{6D1C158E-2B22-4821-815B-666181A9299F}" uniqueName="4" name="Period" queryTableFieldId="4"/>
    <tableColumn id="5" xr3:uid="{7917EE7A-378B-4A50-B2DF-8270F4F0AE8D}" uniqueName="5" name="Role" queryTableFieldId="12" dataDxfId="27"/>
    <tableColumn id="7" xr3:uid="{4D526366-0AB3-4250-8AA0-073612412FBA}" uniqueName="7" name="StartTime" queryTableFieldId="7" dataDxfId="26"/>
    <tableColumn id="8" xr3:uid="{28072895-47D8-4F79-B505-EB6525905675}" uniqueName="8" name="EndTime" queryTableFieldId="8" dataDxfId="25"/>
    <tableColumn id="9" xr3:uid="{40671895-B1D5-4C1F-B075-CAE95D4DB6B1}" uniqueName="9" name="Unit" queryTableFieldId="9"/>
    <tableColumn id="10" xr3:uid="{94F36398-E276-43DD-81B0-811745E0E112}" uniqueName="10" name="Facility"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0F7E3B-7815-4965-8D43-9F1C02E4377F}" name="IMPORT_PermutationDimensions" displayName="IMPORT_PermutationDimensions" ref="A1:E127" tableType="queryTable" totalsRowShown="0">
  <autoFilter ref="A1:E127" xr:uid="{470F7E3B-7815-4965-8D43-9F1C02E4377F}"/>
  <tableColumns count="5">
    <tableColumn id="1" xr3:uid="{6A08E87F-B0A7-420E-850C-4DD43A89D276}" uniqueName="1" name="Date" queryTableFieldId="1" dataDxfId="24"/>
    <tableColumn id="2" xr3:uid="{C1D0309A-688F-4540-9E9F-8B21E21BABF2}" uniqueName="2" name="Day" queryTableFieldId="2"/>
    <tableColumn id="3" xr3:uid="{3E3EA7F0-3176-4CC1-BDB1-A78988B541CA}" uniqueName="3" name="Shifts" queryTableFieldId="3" dataDxfId="23"/>
    <tableColumn id="4" xr3:uid="{6466035D-8C11-494B-9798-2A9F1765CD54}" uniqueName="4" name="Period" queryTableFieldId="4"/>
    <tableColumn id="5" xr3:uid="{1402F669-E49A-48F8-AD65-9944DA323565}" uniqueName="5" name="RolesList" queryTableFieldId="5" dataDxf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EA9009-3717-4571-8D39-2CAE0EA286F0}" name="Table_IMPORTMasterSchedule" displayName="Table_IMPORTMasterSchedule" ref="A1:Y74" tableType="queryTable" totalsRowShown="0">
  <autoFilter ref="A1:Y74" xr:uid="{03EA9009-3717-4571-8D39-2CAE0EA286F0}"/>
  <sortState xmlns:xlrd2="http://schemas.microsoft.com/office/spreadsheetml/2017/richdata2" ref="A2:Y74">
    <sortCondition ref="G1:G74"/>
  </sortState>
  <tableColumns count="25">
    <tableColumn id="1" xr3:uid="{CB6B7045-26E8-44E3-9962-A8F41B73F9F3}" uniqueName="1" name="Column1" queryTableFieldId="1"/>
    <tableColumn id="2" xr3:uid="{53FA06A7-CBCB-4ABE-90C7-A9B6ADAC1F8C}" uniqueName="2" name="Column2" queryTableFieldId="2"/>
    <tableColumn id="3" xr3:uid="{6A457AEA-996B-40A7-BB09-EDA87D7C9D3A}" uniqueName="3" name="Column3" queryTableFieldId="3" dataDxfId="21"/>
    <tableColumn id="4" xr3:uid="{1A020141-C8B4-4C65-A3E2-71E2E7587306}" uniqueName="4" name="Column4" queryTableFieldId="4" dataDxfId="20"/>
    <tableColumn id="5" xr3:uid="{E1933BEB-456E-4541-8433-9A2DC1A39CE0}" uniqueName="5" name="Column5" queryTableFieldId="5" dataDxfId="19"/>
    <tableColumn id="6" xr3:uid="{127FAD11-A392-476E-A59A-9C68DBED3A08}" uniqueName="6" name="Column6" queryTableFieldId="6" dataDxfId="18"/>
    <tableColumn id="7" xr3:uid="{38D182AE-783A-4325-B194-7B30D728506C}" uniqueName="7" name="Column7" queryTableFieldId="7" dataDxfId="17"/>
    <tableColumn id="8" xr3:uid="{57CFF415-492A-406E-93CE-2EF31E360472}" uniqueName="8" name="Column8" queryTableFieldId="8"/>
    <tableColumn id="9" xr3:uid="{A54D9ED6-B43E-47CE-AC9E-173FBB552D28}" uniqueName="9" name="Column9" queryTableFieldId="9"/>
    <tableColumn id="10" xr3:uid="{772DE276-A4FA-4580-82F5-493E3835B4BC}" uniqueName="10" name="Column10" queryTableFieldId="10"/>
    <tableColumn id="11" xr3:uid="{D6B9B3F6-1462-4C9B-88B1-4FFD28B637C2}" uniqueName="11" name="Column11" queryTableFieldId="11"/>
    <tableColumn id="12" xr3:uid="{6F3CE9EB-F7F2-41A8-8999-1C8259C5B7AA}" uniqueName="12" name="Column12" queryTableFieldId="12"/>
    <tableColumn id="13" xr3:uid="{629FAB49-E1D8-4322-94EB-DC8D8D582A25}" uniqueName="13" name="Column13" queryTableFieldId="13"/>
    <tableColumn id="14" xr3:uid="{5967676E-C02D-4418-8500-C796C43EDCA1}" uniqueName="14" name="Column14" queryTableFieldId="14"/>
    <tableColumn id="15" xr3:uid="{D66A0268-34B8-4E82-BF56-093785BB518E}" uniqueName="15" name="Column15" queryTableFieldId="15"/>
    <tableColumn id="16" xr3:uid="{C00910EC-C45C-43B3-B7BF-C3E74EE6FA78}" uniqueName="16" name="Column16" queryTableFieldId="16"/>
    <tableColumn id="17" xr3:uid="{BE8DB9D5-BE60-409A-B643-3E7CE1AA1D5E}" uniqueName="17" name="Column17" queryTableFieldId="17"/>
    <tableColumn id="18" xr3:uid="{931F5DE2-C3A7-493A-85DF-A80E35D2E65B}" uniqueName="18" name="Column18" queryTableFieldId="18"/>
    <tableColumn id="19" xr3:uid="{20363D84-ABFE-46F7-96F2-60B7C5BB6465}" uniqueName="19" name="Column19" queryTableFieldId="19"/>
    <tableColumn id="20" xr3:uid="{EC853D3B-8A5C-4215-A17A-A5418D69D313}" uniqueName="20" name="Column20" queryTableFieldId="20"/>
    <tableColumn id="21" xr3:uid="{6FDB37B6-7705-4152-B8F2-893EF28FA710}" uniqueName="21" name="Column21" queryTableFieldId="21"/>
    <tableColumn id="22" xr3:uid="{B5A0AC41-08DA-4AB2-B0A2-546B5B767EDB}" uniqueName="22" name="Column22" queryTableFieldId="22"/>
    <tableColumn id="23" xr3:uid="{096A2C5D-5FDC-4ABC-B6B8-712F3F1D2369}" uniqueName="23" name="Column23" queryTableFieldId="23"/>
    <tableColumn id="24" xr3:uid="{9E8AC9AC-B535-4637-B4E6-C94486617739}" uniqueName="24" name="Column24" queryTableFieldId="24"/>
    <tableColumn id="25" xr3:uid="{BA16ABAA-9C30-4DE2-A4A5-F8BCA095A027}" uniqueName="25" name="Column25" queryTableField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8B03FB-E8CA-4F16-A403-EE2A398F37B8}" name="Table_ExtractMatrix" displayName="Table_ExtractMatrix" ref="A1:S65" tableType="queryTable" totalsRowShown="0">
  <autoFilter ref="A1:S65" xr:uid="{A68B03FB-E8CA-4F16-A403-EE2A398F37B8}">
    <filterColumn colId="1">
      <filters>
        <filter val="Endorsed Enrolled Nurse"/>
        <filter val="Registered Nurse"/>
      </filters>
    </filterColumn>
  </autoFilter>
  <sortState xmlns:xlrd2="http://schemas.microsoft.com/office/spreadsheetml/2017/richdata2" ref="A2:S65">
    <sortCondition ref="B1:B65"/>
  </sortState>
  <tableColumns count="19">
    <tableColumn id="1" xr3:uid="{97AB98A5-382E-49B7-9914-3FD62803E292}" uniqueName="1" name="Unit" queryTableFieldId="1" dataDxfId="16"/>
    <tableColumn id="2" xr3:uid="{A85844CF-2E58-49AE-BE9D-F49A0E6AC971}" uniqueName="2" name="Role" queryTableFieldId="2" dataDxfId="15"/>
    <tableColumn id="3" xr3:uid="{8D7CD105-C1DB-4090-8558-5A3DF5FC88F6}" uniqueName="3" name="Start Time" queryTableFieldId="3"/>
    <tableColumn id="4" xr3:uid="{41BEEFC2-DE06-467B-A2E3-E78574B62C9C}" uniqueName="4" name="End Time" queryTableFieldId="4"/>
    <tableColumn id="5" xr3:uid="{275BDDEC-2154-49AB-9AD5-E7F67434A4D4}" uniqueName="5" name="Shift Length" queryTableFieldId="5"/>
    <tableColumn id="6" xr3:uid="{25935792-003D-41BD-B94C-DAA6D89F4C52}" uniqueName="6" name="A-Mon" queryTableFieldId="6"/>
    <tableColumn id="7" xr3:uid="{548F11E6-9802-4669-9C73-E9E2BB45B92C}" uniqueName="7" name="A-Tues" queryTableFieldId="7"/>
    <tableColumn id="8" xr3:uid="{2A8893FD-DE05-4FC7-89EC-A86361870EBA}" uniqueName="8" name="A-Wed" queryTableFieldId="8"/>
    <tableColumn id="9" xr3:uid="{B2FB1B9E-9A29-4115-8657-7862A9EBC7B3}" uniqueName="9" name="A-Thur" queryTableFieldId="9"/>
    <tableColumn id="10" xr3:uid="{24A39A79-A097-454B-B8C2-061F528600C6}" uniqueName="10" name="A-Fri" queryTableFieldId="10"/>
    <tableColumn id="11" xr3:uid="{B9730AE0-60F2-4CA6-950C-A3E5BBA1E024}" uniqueName="11" name="A-Sat" queryTableFieldId="11"/>
    <tableColumn id="12" xr3:uid="{8CE766D6-82F1-491B-821A-EA32E4DB4BA2}" uniqueName="12" name="A-Sun" queryTableFieldId="12"/>
    <tableColumn id="13" xr3:uid="{9E7A4A5F-B9F5-4EE9-9717-15B38705CA08}" uniqueName="13" name="B-Mon" queryTableFieldId="13"/>
    <tableColumn id="14" xr3:uid="{E7781F09-8A96-406C-A3CB-BB68115D0920}" uniqueName="14" name="B-Tues" queryTableFieldId="14"/>
    <tableColumn id="15" xr3:uid="{A3759330-BE94-4D2B-80DA-5E8F585211D5}" uniqueName="15" name="B-Wed" queryTableFieldId="15"/>
    <tableColumn id="16" xr3:uid="{955998BF-1185-4DF3-8E96-3242CA2FBD0F}" uniqueName="16" name="B-Thur" queryTableFieldId="16"/>
    <tableColumn id="17" xr3:uid="{D5231690-05FF-4C48-90EE-82D393A3867D}" uniqueName="17" name="B-Fri" queryTableFieldId="17"/>
    <tableColumn id="18" xr3:uid="{833321E8-E42F-44BB-8A97-6450EE38E71A}" uniqueName="18" name="B-Sat" queryTableFieldId="18"/>
    <tableColumn id="19" xr3:uid="{386E1775-F785-4F7F-BD0C-FBD8C3433D39}" uniqueName="19" name="B-Sun" queryTableField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78F804F-B4A2-4931-9904-A7AC43201EC8}" name="ShiftUnitDemandHRS" displayName="ShiftUnitDemandHRS" ref="A1:L127" tableType="queryTable" totalsRowShown="0">
  <autoFilter ref="A1:L127" xr:uid="{F78F804F-B4A2-4931-9904-A7AC43201EC8}">
    <filterColumn colId="4">
      <filters>
        <filter val="AIN"/>
      </filters>
    </filterColumn>
  </autoFilter>
  <tableColumns count="12">
    <tableColumn id="1" xr3:uid="{2D8BEAC6-4AA4-461C-86BF-7651180C2B0F}" uniqueName="1" name="Date" queryTableFieldId="1" dataDxfId="14"/>
    <tableColumn id="2" xr3:uid="{D4B44474-80F6-4C11-9210-40EEB55914E9}" uniqueName="2" name="Day" queryTableFieldId="2"/>
    <tableColumn id="3" xr3:uid="{72B5A970-07E7-448C-9358-0E36681C9B68}" uniqueName="3" name="Shift" queryTableFieldId="12" dataDxfId="13"/>
    <tableColumn id="4" xr3:uid="{1F13C106-DC93-479A-B735-BC8A07676A52}" uniqueName="4" name="Period" queryTableFieldId="4"/>
    <tableColumn id="5" xr3:uid="{2EFBE949-BF8B-4BA3-9FB2-2702C0DB63C7}" uniqueName="5" name="Role" queryTableFieldId="13" dataDxfId="12"/>
    <tableColumn id="6" xr3:uid="{380F1D14-73BA-4508-B3EC-BF5C91C7A604}" uniqueName="6" name="StartTime" queryTableFieldId="6" dataDxfId="11"/>
    <tableColumn id="7" xr3:uid="{38F11322-E484-4EEB-94DF-C08DD14098FE}" uniqueName="7" name="EndTime" queryTableFieldId="7" dataDxfId="10"/>
    <tableColumn id="8" xr3:uid="{91B2FC2F-0200-4EA6-B451-923B4C1E130B}" uniqueName="8" name="Unit" queryTableFieldId="8"/>
    <tableColumn id="9" xr3:uid="{DA932A5C-48B3-49BB-85E7-185A61C4A917}" uniqueName="9" name="Facility" queryTableFieldId="9"/>
    <tableColumn id="10" xr3:uid="{A365FACE-EE7F-4ECC-8776-BB13F4B588F7}" uniqueName="10" name="DemandFTE" queryTableFieldId="10"/>
    <tableColumn id="11" xr3:uid="{91D29EEF-46BE-46CE-BDFA-5195485874D2}" uniqueName="11" name="DemandHRS" queryTableFieldId="11" dataDxfId="9"/>
    <tableColumn id="12" xr3:uid="{C3C1EA70-E63D-4822-BEFD-B6A74FB1C21D}" uniqueName="12" name="DurationOfShifts" queryTableField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6E64E6F-CBC9-4612-8B9A-3C0C4BDE90A5}" name="RoleShiftDemandANACC_Prepare" displayName="RoleShiftDemandANACC_Prepare" ref="A1:F10" tableType="queryTable" totalsRowShown="0">
  <autoFilter ref="A1:F10" xr:uid="{96E64E6F-CBC9-4612-8B9A-3C0C4BDE90A5}"/>
  <sortState xmlns:xlrd2="http://schemas.microsoft.com/office/spreadsheetml/2017/richdata2" ref="A2:F10">
    <sortCondition ref="A1:A10"/>
  </sortState>
  <tableColumns count="6">
    <tableColumn id="1" xr3:uid="{2A95F1FF-1991-4B5E-A86F-E68DD326AFA8}" uniqueName="1" name="Role" queryTableFieldId="1" dataDxfId="8"/>
    <tableColumn id="2" xr3:uid="{0798BA33-9441-4690-85E1-1D7960B37296}" uniqueName="2" name="Shift" queryTableFieldId="2" dataDxfId="7"/>
    <tableColumn id="3" xr3:uid="{4B7A700E-BE5F-4CFA-9299-643DC1146545}" uniqueName="3" name="DemandFTE" queryTableFieldId="3"/>
    <tableColumn id="6" xr3:uid="{3061ABB4-AEB9-422E-9DD1-745F34D85C84}" uniqueName="6" name="StartTime" queryTableFieldId="7"/>
    <tableColumn id="5" xr3:uid="{87848D1B-C293-4788-8992-3D5D3A4CAEC0}" uniqueName="5" name="DurationOfShifts" queryTableFieldId="5"/>
    <tableColumn id="4" xr3:uid="{C42ADAEF-F106-4FCA-A963-C2C0837B5324}" uniqueName="4" name="DemandHRS" queryTableFieldId="4" dataDxf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6770F7C-A4B4-459F-906B-74A4F25D84AA}" name="ShiftDuration" displayName="ShiftDuration" ref="A1:A2" tableType="queryTable" totalsRowShown="0">
  <autoFilter ref="A1:A2" xr:uid="{A6770F7C-A4B4-459F-906B-74A4F25D84AA}"/>
  <tableColumns count="1">
    <tableColumn id="1" xr3:uid="{D901C547-7E02-420A-AC7C-D0083221A901}" uniqueName="1" name="ShiftDuration" queryTableFieldId="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028290-5947-46ED-98AA-D5AB63D95107}" name="IMPORT_ShiftPeriod" displayName="IMPORT_ShiftPeriod" ref="A1:F10" tableType="queryTable" totalsRowShown="0">
  <autoFilter ref="A1:F10" xr:uid="{73028290-5947-46ED-98AA-D5AB63D95107}"/>
  <tableColumns count="6">
    <tableColumn id="5" xr3:uid="{575DC5A1-2D35-4666-AA88-6827C1141A2F}" uniqueName="5" name="Role" queryTableFieldId="5"/>
    <tableColumn id="1" xr3:uid="{9C5004F2-2968-4C74-8E1C-CAAAADFAC25E}" uniqueName="1" name="ShiftPeriod" queryTableFieldId="1" dataDxfId="5"/>
    <tableColumn id="2" xr3:uid="{A4325E35-6833-4E3B-844D-F29637F2A988}" uniqueName="2" name="StartTime" queryTableFieldId="2"/>
    <tableColumn id="3" xr3:uid="{5B0B2FA7-7557-43E9-A42D-ABF0D0929CD5}" uniqueName="3" name="StartDay" queryTableFieldId="3"/>
    <tableColumn id="4" xr3:uid="{4AB2F66D-A224-4A98-9748-3E09D562AEE7}" uniqueName="4" name="DurationOfShifts" queryTableFieldId="4"/>
    <tableColumn id="6" xr3:uid="{CEED03F5-8FC0-4AF6-9084-3970B18C9BC8}" uniqueName="6" name="EndDay"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559791-D4BD-4140-819D-728D3B5060F3}" name="IMPORT_RoleShiftDemandANACC" displayName="IMPORT_RoleShiftDemandANACC" ref="A1:E5" tableType="queryTable" totalsRowShown="0">
  <autoFilter ref="A1:E5" xr:uid="{AA559791-D4BD-4140-819D-728D3B5060F3}"/>
  <tableColumns count="5">
    <tableColumn id="1" xr3:uid="{0D93D0E5-6190-4067-8DBB-E64836962788}" uniqueName="1" name="Role" queryTableFieldId="1" dataDxfId="4"/>
    <tableColumn id="2" xr3:uid="{B0F4F6B6-C2AC-4760-BC2A-D2D4FA476FB0}" uniqueName="2" name="AM" queryTableFieldId="2"/>
    <tableColumn id="3" xr3:uid="{5A1B1706-FE58-4D9D-99DC-939BFF80CD8B}" uniqueName="3" name="PM" queryTableFieldId="3"/>
    <tableColumn id="4" xr3:uid="{C33266BE-7B49-4969-92F1-E8D318195692}" uniqueName="4" name="NIGHT" queryTableFieldId="4"/>
    <tableColumn id="5" xr3:uid="{19DCE502-5084-4D9F-BF0C-E1F738B270EE}" uniqueName="5" name="Total" queryTableFieldId="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DD00E3-0909-42C3-886D-B13E777E7E91}" name="ShiftUnitDemandHRS_no_time" displayName="ShiftUnitDemandHRS_no_time" ref="A1:G123" tableType="queryTable" totalsRowShown="0">
  <autoFilter ref="A1:G123" xr:uid="{11DD00E3-0909-42C3-886D-B13E777E7E91}"/>
  <tableColumns count="7">
    <tableColumn id="1" xr3:uid="{3908440A-7597-4391-B39B-2409C0556B15}" uniqueName="1" name="Shift" queryTableFieldId="1"/>
    <tableColumn id="2" xr3:uid="{79515940-5640-45BB-A2EE-85F3A716FE0B}" uniqueName="2" name="Role" queryTableFieldId="2" dataDxfId="3"/>
    <tableColumn id="3" xr3:uid="{303FFACB-6561-457B-B53F-E784C751BDB4}" uniqueName="3" name="Facility" queryTableFieldId="3"/>
    <tableColumn id="4" xr3:uid="{E893FBAF-571C-42B7-8770-488AC783ABC6}" uniqueName="4" name="Unit" queryTableFieldId="4" dataDxfId="2"/>
    <tableColumn id="6" xr3:uid="{68CDB56D-1376-47AB-9049-F21B757E5431}" uniqueName="6" name="DemandFTE" queryTableFieldId="6"/>
    <tableColumn id="7" xr3:uid="{03FA411A-2995-41BE-B052-8D3CFEC805BD}" uniqueName="7" name="DemandHRS" queryTableFieldId="7"/>
    <tableColumn id="5" xr3:uid="{30F305F6-F054-437A-86DC-5DC3AF0F3EDF}" uniqueName="5" name="Date" queryTableFieldId="5" dataDxfId="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2C93B5-EEBF-4F15-839A-00B50EE16700}" name="Table_DemandWeeksHrsHRS" displayName="Table_DemandWeeksHrsHRS" ref="A1:E4" tableType="queryTable" totalsRowShown="0">
  <autoFilter ref="A1:E4" xr:uid="{FB2C93B5-EEBF-4F15-839A-00B50EE16700}"/>
  <tableColumns count="5">
    <tableColumn id="1" xr3:uid="{1E97F31B-ECFA-427E-8EF2-4F6E571E7CDC}" uniqueName="1" name="Facility" queryTableFieldId="1"/>
    <tableColumn id="2" xr3:uid="{7D42DB3D-D9EE-4A80-A446-9BA6883F902E}" uniqueName="2" name="Role" queryTableFieldId="2" dataDxfId="0"/>
    <tableColumn id="3" xr3:uid="{D4AD89AF-E298-452A-B7C6-82BB11D24788}" uniqueName="3" name="DemandRosterHRS" queryTableFieldId="3"/>
    <tableColumn id="4" xr3:uid="{3D10C6BE-AC57-4CF8-BC41-CEB015707B91}" uniqueName="4" name="DemandWeekHrs" queryTableFieldId="4"/>
    <tableColumn id="5" xr3:uid="{7A43A93C-D732-4699-97FE-DCF301FA4C8B}" uniqueName="5" name="CareDemandWeekHrsApprox" queryTableFieldId="5"/>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2C682-EF30-4264-AB4B-5A805730870E}">
  <sheetPr>
    <tabColor theme="7"/>
  </sheetPr>
  <dimension ref="A4:R49"/>
  <sheetViews>
    <sheetView workbookViewId="0">
      <selection activeCell="E37" sqref="E37"/>
    </sheetView>
  </sheetViews>
  <sheetFormatPr defaultColWidth="9.140625" defaultRowHeight="12.75" x14ac:dyDescent="0.25"/>
  <cols>
    <col min="1" max="1" width="18.5703125" style="4" customWidth="1"/>
    <col min="2" max="2" width="114.7109375" style="4" customWidth="1"/>
    <col min="3" max="3" width="12.85546875" style="4" customWidth="1"/>
    <col min="4" max="16384" width="9.140625" style="4"/>
  </cols>
  <sheetData>
    <row r="4" spans="1:5" x14ac:dyDescent="0.25">
      <c r="A4" s="3" t="s">
        <v>181</v>
      </c>
      <c r="B4" s="3" t="str" cm="1">
        <f t="array" aca="1" ref="B4" ca="1">CELL("filename",E19)</f>
        <v>https://centri001.sharepoint.com/sites/3Product/Shared Documents/AEM/Excel Template/CLIENT/DATExx/UNITS/Unit1/1. Input/[2-DemandExtract.xlsx]FILEPATH</v>
      </c>
    </row>
    <row r="5" spans="1:5" x14ac:dyDescent="0.25">
      <c r="A5" s="3"/>
      <c r="B5" s="3"/>
    </row>
    <row r="6" spans="1:5" x14ac:dyDescent="0.25">
      <c r="A6" s="5" t="s">
        <v>182</v>
      </c>
      <c r="B6" s="5" t="str" cm="1">
        <f t="array" ref="B6">[1]!Client</f>
        <v>04.1 PoC</v>
      </c>
      <c r="C6" s="4" t="e">
        <f ca="1">FIND(B6,B4)</f>
        <v>#VALUE!</v>
      </c>
      <c r="E6" s="4">
        <f>LEN(B6)</f>
        <v>8</v>
      </c>
    </row>
    <row r="7" spans="1:5" x14ac:dyDescent="0.25">
      <c r="A7" s="6" t="s">
        <v>183</v>
      </c>
      <c r="B7" s="6" t="s">
        <v>184</v>
      </c>
      <c r="C7" s="4" t="e">
        <f ca="1">FIND(B7,B4)</f>
        <v>#VALUE!</v>
      </c>
      <c r="E7" s="4">
        <f>LEN(B7)</f>
        <v>11</v>
      </c>
    </row>
    <row r="8" spans="1:5" x14ac:dyDescent="0.25">
      <c r="A8" s="4" t="s">
        <v>185</v>
      </c>
      <c r="B8" s="4" t="s">
        <v>186</v>
      </c>
      <c r="C8" s="7" t="e">
        <f ca="1">FIND(B8,B4)</f>
        <v>#VALUE!</v>
      </c>
      <c r="D8" s="6"/>
    </row>
    <row r="9" spans="1:5" x14ac:dyDescent="0.25">
      <c r="C9" s="4" t="e">
        <f ca="1">C8-C7</f>
        <v>#VALUE!</v>
      </c>
      <c r="D9" s="6"/>
    </row>
    <row r="10" spans="1:5" x14ac:dyDescent="0.25">
      <c r="D10" s="6"/>
    </row>
    <row r="11" spans="1:5" x14ac:dyDescent="0.25">
      <c r="A11" s="3" t="s">
        <v>187</v>
      </c>
      <c r="B11" s="6" t="s">
        <v>188</v>
      </c>
      <c r="C11" s="7" t="e">
        <f ca="1">FIND(B11,B4)</f>
        <v>#VALUE!</v>
      </c>
    </row>
    <row r="13" spans="1:5" x14ac:dyDescent="0.25">
      <c r="B13" s="8" t="e">
        <f ca="1">MID(B4,C6+2+E6+E7,C9-E7-2)</f>
        <v>#VALUE!</v>
      </c>
    </row>
    <row r="14" spans="1:5" x14ac:dyDescent="0.25">
      <c r="A14" s="6"/>
      <c r="B14" s="6" t="e">
        <f ca="1">LEFT(B13,6)</f>
        <v>#VALUE!</v>
      </c>
    </row>
    <row r="15" spans="1:5" x14ac:dyDescent="0.25">
      <c r="A15" s="3"/>
      <c r="B15" s="4" t="e">
        <f ca="1">RIGHT(B13,4)</f>
        <v>#VALUE!</v>
      </c>
    </row>
    <row r="16" spans="1:5" x14ac:dyDescent="0.25">
      <c r="A16" s="3"/>
    </row>
    <row r="17" spans="1:18" x14ac:dyDescent="0.25">
      <c r="A17" s="3"/>
    </row>
    <row r="19" spans="1:18" x14ac:dyDescent="0.25">
      <c r="A19" s="9" t="s">
        <v>189</v>
      </c>
    </row>
    <row r="20" spans="1:18" x14ac:dyDescent="0.25">
      <c r="A20" s="5" t="s">
        <v>190</v>
      </c>
      <c r="B20" s="5" t="str" cm="1">
        <f t="array" ref="B20">[2]!Folder[Folder]</f>
        <v>C:\Users\Alex\Centri\4. Production - Documents\WFEffectiveness\4.1.1 AGED CARE\01 Christadelphian Aged Care\240715\FACILITIES\ASHB</v>
      </c>
      <c r="C20" s="4">
        <f>LEN(B20)</f>
        <v>130</v>
      </c>
    </row>
    <row r="23" spans="1:18" x14ac:dyDescent="0.25">
      <c r="A23" s="3"/>
      <c r="B23" s="3"/>
      <c r="C23" s="4">
        <f>SUM(C20:C22)</f>
        <v>130</v>
      </c>
    </row>
    <row r="24" spans="1:18" x14ac:dyDescent="0.25">
      <c r="A24" s="3"/>
      <c r="B24" s="3"/>
    </row>
    <row r="25" spans="1:18" x14ac:dyDescent="0.25">
      <c r="A25" s="3"/>
      <c r="B25" s="3"/>
    </row>
    <row r="26" spans="1:18" x14ac:dyDescent="0.25">
      <c r="A26" s="3"/>
      <c r="B26" s="4" t="str">
        <f>B20&amp;"\"</f>
        <v>C:\Users\Alex\Centri\4. Production - Documents\WFEffectiveness\4.1.1 AGED CARE\01 Christadelphian Aged Care\240715\FACILITIES\ASHB\</v>
      </c>
    </row>
    <row r="27" spans="1:18" x14ac:dyDescent="0.25">
      <c r="A27" s="3"/>
      <c r="B27" s="3"/>
    </row>
    <row r="28" spans="1:18" ht="15" x14ac:dyDescent="0.25">
      <c r="A28" s="10"/>
      <c r="B28" s="10"/>
      <c r="M28" s="11" t="s">
        <v>191</v>
      </c>
      <c r="N28" s="11"/>
      <c r="O28" s="11"/>
      <c r="P28" s="11"/>
      <c r="Q28" s="11"/>
      <c r="R28" s="11"/>
    </row>
    <row r="29" spans="1:18" x14ac:dyDescent="0.25">
      <c r="A29" s="4" t="s">
        <v>192</v>
      </c>
      <c r="M29" s="11" t="s">
        <v>193</v>
      </c>
      <c r="N29" s="11"/>
      <c r="O29" s="11"/>
      <c r="P29" s="11"/>
      <c r="Q29" s="11"/>
      <c r="R29" s="11"/>
    </row>
    <row r="30" spans="1:18" x14ac:dyDescent="0.25">
      <c r="A30" s="12"/>
      <c r="B30" s="12"/>
      <c r="M30" s="11" t="s">
        <v>194</v>
      </c>
      <c r="N30" s="11"/>
      <c r="O30" s="11"/>
      <c r="P30" s="11"/>
      <c r="Q30" s="11"/>
      <c r="R30" s="11"/>
    </row>
    <row r="31" spans="1:18" x14ac:dyDescent="0.25">
      <c r="A31" s="6"/>
      <c r="B31" s="6"/>
      <c r="M31" s="11" t="s">
        <v>194</v>
      </c>
      <c r="N31" s="11"/>
      <c r="O31" s="11"/>
      <c r="P31" s="11"/>
      <c r="Q31" s="11"/>
      <c r="R31" s="11"/>
    </row>
    <row r="32" spans="1:18" x14ac:dyDescent="0.25">
      <c r="M32" s="11" t="s">
        <v>195</v>
      </c>
      <c r="N32" s="11"/>
      <c r="O32" s="11"/>
      <c r="P32" s="11"/>
      <c r="Q32" s="11"/>
      <c r="R32" s="11"/>
    </row>
    <row r="33" spans="2:2" x14ac:dyDescent="0.25">
      <c r="B33" s="8"/>
    </row>
    <row r="35" spans="2:2" x14ac:dyDescent="0.25">
      <c r="B35" s="4" t="s">
        <v>196</v>
      </c>
    </row>
    <row r="36" spans="2:2" x14ac:dyDescent="0.25">
      <c r="B36" s="4" t="str">
        <f>B20</f>
        <v>C:\Users\Alex\Centri\4. Production - Documents\WFEffectiveness\4.1.1 AGED CARE\01 Christadelphian Aged Care\240715\FACILITIES\ASHB</v>
      </c>
    </row>
    <row r="43" spans="2:2" x14ac:dyDescent="0.25">
      <c r="B43" s="4" t="s">
        <v>197</v>
      </c>
    </row>
    <row r="44" spans="2:2" x14ac:dyDescent="0.25">
      <c r="B44" s="4">
        <v>10</v>
      </c>
    </row>
    <row r="49" spans="2:2" x14ac:dyDescent="0.25">
      <c r="B49" s="3"/>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8EC4-6568-4D1A-9EAE-D6F9BB5E0269}">
  <dimension ref="A1:I127"/>
  <sheetViews>
    <sheetView workbookViewId="0">
      <selection activeCell="O40" sqref="O40"/>
    </sheetView>
  </sheetViews>
  <sheetFormatPr defaultRowHeight="15" x14ac:dyDescent="0.25"/>
  <cols>
    <col min="1" max="1" width="10.7109375" bestFit="1" customWidth="1"/>
    <col min="2" max="2" width="6.5703125" bestFit="1" customWidth="1"/>
    <col min="3" max="3" width="7.42578125" bestFit="1" customWidth="1"/>
    <col min="5" max="5" width="7.28515625" bestFit="1" customWidth="1"/>
    <col min="6" max="7" width="15.85546875" bestFit="1" customWidth="1"/>
    <col min="8" max="8" width="7.140625" bestFit="1" customWidth="1"/>
    <col min="9" max="9" width="9.5703125" bestFit="1" customWidth="1"/>
    <col min="10" max="10" width="7.140625" bestFit="1" customWidth="1"/>
    <col min="11" max="11" width="9.5703125" bestFit="1" customWidth="1"/>
    <col min="12" max="12" width="11.140625" bestFit="1" customWidth="1"/>
  </cols>
  <sheetData>
    <row r="1" spans="1:9" x14ac:dyDescent="0.25">
      <c r="A1" t="s">
        <v>56</v>
      </c>
      <c r="B1" t="s">
        <v>198</v>
      </c>
      <c r="C1" t="s">
        <v>0</v>
      </c>
      <c r="D1" t="s">
        <v>199</v>
      </c>
      <c r="E1" t="s">
        <v>28</v>
      </c>
      <c r="F1" t="s">
        <v>54</v>
      </c>
      <c r="G1" t="s">
        <v>55</v>
      </c>
      <c r="H1" t="s">
        <v>27</v>
      </c>
      <c r="I1" t="s">
        <v>45</v>
      </c>
    </row>
    <row r="2" spans="1:9" x14ac:dyDescent="0.25">
      <c r="A2" s="2">
        <v>45572</v>
      </c>
      <c r="B2">
        <v>1</v>
      </c>
      <c r="C2" t="s">
        <v>6</v>
      </c>
      <c r="D2">
        <v>1</v>
      </c>
      <c r="E2" t="s">
        <v>201</v>
      </c>
      <c r="F2" s="1">
        <v>45572.291666666664</v>
      </c>
      <c r="G2" s="1">
        <v>45572.635416666664</v>
      </c>
    </row>
    <row r="3" spans="1:9" x14ac:dyDescent="0.25">
      <c r="A3" s="2">
        <v>45572</v>
      </c>
      <c r="B3">
        <v>1</v>
      </c>
      <c r="C3" t="s">
        <v>6</v>
      </c>
      <c r="D3">
        <v>1</v>
      </c>
      <c r="E3" t="s">
        <v>203</v>
      </c>
      <c r="F3" s="1">
        <v>45572.291666666664</v>
      </c>
      <c r="G3" s="1">
        <v>45572.583333333336</v>
      </c>
    </row>
    <row r="4" spans="1:9" x14ac:dyDescent="0.25">
      <c r="A4" s="2">
        <v>45572</v>
      </c>
      <c r="B4">
        <v>1</v>
      </c>
      <c r="C4" t="s">
        <v>6</v>
      </c>
      <c r="D4">
        <v>1</v>
      </c>
      <c r="E4" t="s">
        <v>202</v>
      </c>
      <c r="F4" s="1">
        <v>45572.291666666664</v>
      </c>
      <c r="G4" s="1">
        <v>45572.635416666664</v>
      </c>
    </row>
    <row r="5" spans="1:9" x14ac:dyDescent="0.25">
      <c r="A5" s="2">
        <v>45572</v>
      </c>
      <c r="B5">
        <v>1</v>
      </c>
      <c r="C5" t="s">
        <v>171</v>
      </c>
      <c r="D5">
        <v>2</v>
      </c>
      <c r="E5" t="s">
        <v>203</v>
      </c>
      <c r="F5" s="1">
        <v>45572.583333333336</v>
      </c>
      <c r="G5" s="1">
        <v>45572.885416666664</v>
      </c>
    </row>
    <row r="6" spans="1:9" x14ac:dyDescent="0.25">
      <c r="A6" s="2">
        <v>45572</v>
      </c>
      <c r="B6">
        <v>1</v>
      </c>
      <c r="C6" t="s">
        <v>171</v>
      </c>
      <c r="D6">
        <v>2</v>
      </c>
      <c r="E6" t="s">
        <v>201</v>
      </c>
      <c r="F6" s="1">
        <v>45572.635416666664</v>
      </c>
      <c r="G6" s="1">
        <v>45572.9375</v>
      </c>
    </row>
    <row r="7" spans="1:9" x14ac:dyDescent="0.25">
      <c r="A7" s="2">
        <v>45572</v>
      </c>
      <c r="B7">
        <v>1</v>
      </c>
      <c r="C7" t="s">
        <v>171</v>
      </c>
      <c r="D7">
        <v>2</v>
      </c>
      <c r="E7" t="s">
        <v>202</v>
      </c>
      <c r="F7" s="1">
        <v>45572.635416666664</v>
      </c>
      <c r="G7" s="1">
        <v>45572.9375</v>
      </c>
    </row>
    <row r="8" spans="1:9" x14ac:dyDescent="0.25">
      <c r="A8" s="2">
        <v>45572</v>
      </c>
      <c r="B8">
        <v>1</v>
      </c>
      <c r="C8" t="s">
        <v>172</v>
      </c>
      <c r="D8">
        <v>3</v>
      </c>
      <c r="E8" t="s">
        <v>203</v>
      </c>
      <c r="F8" s="1">
        <v>45572.885416666664</v>
      </c>
      <c r="G8" s="1">
        <v>45573.291666666664</v>
      </c>
    </row>
    <row r="9" spans="1:9" x14ac:dyDescent="0.25">
      <c r="A9" s="2">
        <v>45572</v>
      </c>
      <c r="B9">
        <v>1</v>
      </c>
      <c r="C9" t="s">
        <v>172</v>
      </c>
      <c r="D9">
        <v>3</v>
      </c>
      <c r="E9" t="s">
        <v>201</v>
      </c>
      <c r="F9" s="1">
        <v>45572.9375</v>
      </c>
      <c r="G9" s="1">
        <v>45573.291666666664</v>
      </c>
    </row>
    <row r="10" spans="1:9" x14ac:dyDescent="0.25">
      <c r="A10" s="2">
        <v>45572</v>
      </c>
      <c r="B10">
        <v>1</v>
      </c>
      <c r="C10" t="s">
        <v>172</v>
      </c>
      <c r="D10">
        <v>3</v>
      </c>
      <c r="E10" t="s">
        <v>202</v>
      </c>
      <c r="F10" s="1">
        <v>45572.9375</v>
      </c>
      <c r="G10" s="1">
        <v>45573.291666666664</v>
      </c>
    </row>
    <row r="11" spans="1:9" x14ac:dyDescent="0.25">
      <c r="A11" s="2">
        <v>45573</v>
      </c>
      <c r="B11">
        <v>2</v>
      </c>
      <c r="C11" t="s">
        <v>6</v>
      </c>
      <c r="D11">
        <v>4</v>
      </c>
      <c r="E11" t="s">
        <v>201</v>
      </c>
      <c r="F11" s="1">
        <v>45573.291666666664</v>
      </c>
      <c r="G11" s="1">
        <v>45573.635416666664</v>
      </c>
    </row>
    <row r="12" spans="1:9" x14ac:dyDescent="0.25">
      <c r="A12" s="2">
        <v>45573</v>
      </c>
      <c r="B12">
        <v>2</v>
      </c>
      <c r="C12" t="s">
        <v>6</v>
      </c>
      <c r="D12">
        <v>4</v>
      </c>
      <c r="E12" t="s">
        <v>202</v>
      </c>
      <c r="F12" s="1">
        <v>45573.291666666664</v>
      </c>
      <c r="G12" s="1">
        <v>45573.635416666664</v>
      </c>
    </row>
    <row r="13" spans="1:9" x14ac:dyDescent="0.25">
      <c r="A13" s="2">
        <v>45573</v>
      </c>
      <c r="B13">
        <v>2</v>
      </c>
      <c r="C13" t="s">
        <v>6</v>
      </c>
      <c r="D13">
        <v>4</v>
      </c>
      <c r="E13" t="s">
        <v>203</v>
      </c>
      <c r="F13" s="1">
        <v>45573.291666666664</v>
      </c>
      <c r="G13" s="1">
        <v>45573.583333333336</v>
      </c>
    </row>
    <row r="14" spans="1:9" x14ac:dyDescent="0.25">
      <c r="A14" s="2">
        <v>45573</v>
      </c>
      <c r="B14">
        <v>2</v>
      </c>
      <c r="C14" t="s">
        <v>171</v>
      </c>
      <c r="D14">
        <v>5</v>
      </c>
      <c r="E14" t="s">
        <v>201</v>
      </c>
      <c r="F14" s="1">
        <v>45573.635416666664</v>
      </c>
      <c r="G14" s="1">
        <v>45573.9375</v>
      </c>
    </row>
    <row r="15" spans="1:9" x14ac:dyDescent="0.25">
      <c r="A15" s="2">
        <v>45573</v>
      </c>
      <c r="B15">
        <v>2</v>
      </c>
      <c r="C15" t="s">
        <v>171</v>
      </c>
      <c r="D15">
        <v>5</v>
      </c>
      <c r="E15" t="s">
        <v>202</v>
      </c>
      <c r="F15" s="1">
        <v>45573.635416666664</v>
      </c>
      <c r="G15" s="1">
        <v>45573.9375</v>
      </c>
    </row>
    <row r="16" spans="1:9" x14ac:dyDescent="0.25">
      <c r="A16" s="2">
        <v>45573</v>
      </c>
      <c r="B16">
        <v>2</v>
      </c>
      <c r="C16" t="s">
        <v>171</v>
      </c>
      <c r="D16">
        <v>5</v>
      </c>
      <c r="E16" t="s">
        <v>203</v>
      </c>
      <c r="F16" s="1">
        <v>45573.583333333336</v>
      </c>
      <c r="G16" s="1">
        <v>45573.885416666664</v>
      </c>
    </row>
    <row r="17" spans="1:7" x14ac:dyDescent="0.25">
      <c r="A17" s="2">
        <v>45573</v>
      </c>
      <c r="B17">
        <v>2</v>
      </c>
      <c r="C17" t="s">
        <v>172</v>
      </c>
      <c r="D17">
        <v>6</v>
      </c>
      <c r="E17" t="s">
        <v>203</v>
      </c>
      <c r="F17" s="1">
        <v>45573.885416666664</v>
      </c>
      <c r="G17" s="1">
        <v>45574.291666666664</v>
      </c>
    </row>
    <row r="18" spans="1:7" x14ac:dyDescent="0.25">
      <c r="A18" s="2">
        <v>45573</v>
      </c>
      <c r="B18">
        <v>2</v>
      </c>
      <c r="C18" t="s">
        <v>172</v>
      </c>
      <c r="D18">
        <v>6</v>
      </c>
      <c r="E18" t="s">
        <v>201</v>
      </c>
      <c r="F18" s="1">
        <v>45573.9375</v>
      </c>
      <c r="G18" s="1">
        <v>45574.291666666664</v>
      </c>
    </row>
    <row r="19" spans="1:7" x14ac:dyDescent="0.25">
      <c r="A19" s="2">
        <v>45573</v>
      </c>
      <c r="B19">
        <v>2</v>
      </c>
      <c r="C19" t="s">
        <v>172</v>
      </c>
      <c r="D19">
        <v>6</v>
      </c>
      <c r="E19" t="s">
        <v>202</v>
      </c>
      <c r="F19" s="1">
        <v>45573.9375</v>
      </c>
      <c r="G19" s="1">
        <v>45574.291666666664</v>
      </c>
    </row>
    <row r="20" spans="1:7" x14ac:dyDescent="0.25">
      <c r="A20" s="2">
        <v>45574</v>
      </c>
      <c r="B20">
        <v>3</v>
      </c>
      <c r="C20" t="s">
        <v>6</v>
      </c>
      <c r="D20">
        <v>7</v>
      </c>
      <c r="E20" t="s">
        <v>201</v>
      </c>
      <c r="F20" s="1">
        <v>45574.291666666664</v>
      </c>
      <c r="G20" s="1">
        <v>45574.635416666664</v>
      </c>
    </row>
    <row r="21" spans="1:7" x14ac:dyDescent="0.25">
      <c r="A21" s="2">
        <v>45574</v>
      </c>
      <c r="B21">
        <v>3</v>
      </c>
      <c r="C21" t="s">
        <v>6</v>
      </c>
      <c r="D21">
        <v>7</v>
      </c>
      <c r="E21" t="s">
        <v>202</v>
      </c>
      <c r="F21" s="1">
        <v>45574.291666666664</v>
      </c>
      <c r="G21" s="1">
        <v>45574.635416666664</v>
      </c>
    </row>
    <row r="22" spans="1:7" x14ac:dyDescent="0.25">
      <c r="A22" s="2">
        <v>45574</v>
      </c>
      <c r="B22">
        <v>3</v>
      </c>
      <c r="C22" t="s">
        <v>6</v>
      </c>
      <c r="D22">
        <v>7</v>
      </c>
      <c r="E22" t="s">
        <v>203</v>
      </c>
      <c r="F22" s="1">
        <v>45574.291666666664</v>
      </c>
      <c r="G22" s="1">
        <v>45574.583333333336</v>
      </c>
    </row>
    <row r="23" spans="1:7" x14ac:dyDescent="0.25">
      <c r="A23" s="2">
        <v>45574</v>
      </c>
      <c r="B23">
        <v>3</v>
      </c>
      <c r="C23" t="s">
        <v>171</v>
      </c>
      <c r="D23">
        <v>8</v>
      </c>
      <c r="E23" t="s">
        <v>201</v>
      </c>
      <c r="F23" s="1">
        <v>45574.635416666664</v>
      </c>
      <c r="G23" s="1">
        <v>45574.9375</v>
      </c>
    </row>
    <row r="24" spans="1:7" x14ac:dyDescent="0.25">
      <c r="A24" s="2">
        <v>45574</v>
      </c>
      <c r="B24">
        <v>3</v>
      </c>
      <c r="C24" t="s">
        <v>171</v>
      </c>
      <c r="D24">
        <v>8</v>
      </c>
      <c r="E24" t="s">
        <v>202</v>
      </c>
      <c r="F24" s="1">
        <v>45574.635416666664</v>
      </c>
      <c r="G24" s="1">
        <v>45574.9375</v>
      </c>
    </row>
    <row r="25" spans="1:7" x14ac:dyDescent="0.25">
      <c r="A25" s="2">
        <v>45574</v>
      </c>
      <c r="B25">
        <v>3</v>
      </c>
      <c r="C25" t="s">
        <v>171</v>
      </c>
      <c r="D25">
        <v>8</v>
      </c>
      <c r="E25" t="s">
        <v>203</v>
      </c>
      <c r="F25" s="1">
        <v>45574.583333333336</v>
      </c>
      <c r="G25" s="1">
        <v>45574.885416666664</v>
      </c>
    </row>
    <row r="26" spans="1:7" x14ac:dyDescent="0.25">
      <c r="A26" s="2">
        <v>45574</v>
      </c>
      <c r="B26">
        <v>3</v>
      </c>
      <c r="C26" t="s">
        <v>172</v>
      </c>
      <c r="D26">
        <v>9</v>
      </c>
      <c r="E26" t="s">
        <v>201</v>
      </c>
      <c r="F26" s="1">
        <v>45574.9375</v>
      </c>
      <c r="G26" s="1">
        <v>45575.291666666664</v>
      </c>
    </row>
    <row r="27" spans="1:7" x14ac:dyDescent="0.25">
      <c r="A27" s="2">
        <v>45574</v>
      </c>
      <c r="B27">
        <v>3</v>
      </c>
      <c r="C27" t="s">
        <v>172</v>
      </c>
      <c r="D27">
        <v>9</v>
      </c>
      <c r="E27" t="s">
        <v>202</v>
      </c>
      <c r="F27" s="1">
        <v>45574.9375</v>
      </c>
      <c r="G27" s="1">
        <v>45575.291666666664</v>
      </c>
    </row>
    <row r="28" spans="1:7" x14ac:dyDescent="0.25">
      <c r="A28" s="2">
        <v>45574</v>
      </c>
      <c r="B28">
        <v>3</v>
      </c>
      <c r="C28" t="s">
        <v>172</v>
      </c>
      <c r="D28">
        <v>9</v>
      </c>
      <c r="E28" t="s">
        <v>203</v>
      </c>
      <c r="F28" s="1">
        <v>45574.885416666664</v>
      </c>
      <c r="G28" s="1">
        <v>45575.291666666664</v>
      </c>
    </row>
    <row r="29" spans="1:7" x14ac:dyDescent="0.25">
      <c r="A29" s="2">
        <v>45575</v>
      </c>
      <c r="B29">
        <v>4</v>
      </c>
      <c r="C29" t="s">
        <v>6</v>
      </c>
      <c r="D29">
        <v>10</v>
      </c>
      <c r="E29" t="s">
        <v>203</v>
      </c>
      <c r="F29" s="1">
        <v>45575.291666666664</v>
      </c>
      <c r="G29" s="1">
        <v>45575.583333333336</v>
      </c>
    </row>
    <row r="30" spans="1:7" x14ac:dyDescent="0.25">
      <c r="A30" s="2">
        <v>45575</v>
      </c>
      <c r="B30">
        <v>4</v>
      </c>
      <c r="C30" t="s">
        <v>6</v>
      </c>
      <c r="D30">
        <v>10</v>
      </c>
      <c r="E30" t="s">
        <v>201</v>
      </c>
      <c r="F30" s="1">
        <v>45575.291666666664</v>
      </c>
      <c r="G30" s="1">
        <v>45575.635416666664</v>
      </c>
    </row>
    <row r="31" spans="1:7" x14ac:dyDescent="0.25">
      <c r="A31" s="2">
        <v>45575</v>
      </c>
      <c r="B31">
        <v>4</v>
      </c>
      <c r="C31" t="s">
        <v>6</v>
      </c>
      <c r="D31">
        <v>10</v>
      </c>
      <c r="E31" t="s">
        <v>202</v>
      </c>
      <c r="F31" s="1">
        <v>45575.291666666664</v>
      </c>
      <c r="G31" s="1">
        <v>45575.635416666664</v>
      </c>
    </row>
    <row r="32" spans="1:7" x14ac:dyDescent="0.25">
      <c r="A32" s="2">
        <v>45575</v>
      </c>
      <c r="B32">
        <v>4</v>
      </c>
      <c r="C32" t="s">
        <v>171</v>
      </c>
      <c r="D32">
        <v>11</v>
      </c>
      <c r="E32" t="s">
        <v>203</v>
      </c>
      <c r="F32" s="1">
        <v>45575.583333333336</v>
      </c>
      <c r="G32" s="1">
        <v>45575.885416666664</v>
      </c>
    </row>
    <row r="33" spans="1:7" x14ac:dyDescent="0.25">
      <c r="A33" s="2">
        <v>45575</v>
      </c>
      <c r="B33">
        <v>4</v>
      </c>
      <c r="C33" t="s">
        <v>171</v>
      </c>
      <c r="D33">
        <v>11</v>
      </c>
      <c r="E33" t="s">
        <v>201</v>
      </c>
      <c r="F33" s="1">
        <v>45575.635416666664</v>
      </c>
      <c r="G33" s="1">
        <v>45575.9375</v>
      </c>
    </row>
    <row r="34" spans="1:7" x14ac:dyDescent="0.25">
      <c r="A34" s="2">
        <v>45575</v>
      </c>
      <c r="B34">
        <v>4</v>
      </c>
      <c r="C34" t="s">
        <v>171</v>
      </c>
      <c r="D34">
        <v>11</v>
      </c>
      <c r="E34" t="s">
        <v>202</v>
      </c>
      <c r="F34" s="1">
        <v>45575.635416666664</v>
      </c>
      <c r="G34" s="1">
        <v>45575.9375</v>
      </c>
    </row>
    <row r="35" spans="1:7" x14ac:dyDescent="0.25">
      <c r="A35" s="2">
        <v>45575</v>
      </c>
      <c r="B35">
        <v>4</v>
      </c>
      <c r="C35" t="s">
        <v>172</v>
      </c>
      <c r="D35">
        <v>12</v>
      </c>
      <c r="E35" t="s">
        <v>201</v>
      </c>
      <c r="F35" s="1">
        <v>45575.9375</v>
      </c>
      <c r="G35" s="1">
        <v>45576.291666666664</v>
      </c>
    </row>
    <row r="36" spans="1:7" x14ac:dyDescent="0.25">
      <c r="A36" s="2">
        <v>45575</v>
      </c>
      <c r="B36">
        <v>4</v>
      </c>
      <c r="C36" t="s">
        <v>172</v>
      </c>
      <c r="D36">
        <v>12</v>
      </c>
      <c r="E36" t="s">
        <v>202</v>
      </c>
      <c r="F36" s="1">
        <v>45575.9375</v>
      </c>
      <c r="G36" s="1">
        <v>45576.291666666664</v>
      </c>
    </row>
    <row r="37" spans="1:7" x14ac:dyDescent="0.25">
      <c r="A37" s="2">
        <v>45575</v>
      </c>
      <c r="B37">
        <v>4</v>
      </c>
      <c r="C37" t="s">
        <v>172</v>
      </c>
      <c r="D37">
        <v>12</v>
      </c>
      <c r="E37" t="s">
        <v>203</v>
      </c>
      <c r="F37" s="1">
        <v>45575.885416666664</v>
      </c>
      <c r="G37" s="1">
        <v>45576.291666666664</v>
      </c>
    </row>
    <row r="38" spans="1:7" x14ac:dyDescent="0.25">
      <c r="A38" s="2">
        <v>45576</v>
      </c>
      <c r="B38">
        <v>5</v>
      </c>
      <c r="C38" t="s">
        <v>6</v>
      </c>
      <c r="D38">
        <v>13</v>
      </c>
      <c r="E38" t="s">
        <v>201</v>
      </c>
      <c r="F38" s="1">
        <v>45576.291666666664</v>
      </c>
      <c r="G38" s="1">
        <v>45576.635416666664</v>
      </c>
    </row>
    <row r="39" spans="1:7" x14ac:dyDescent="0.25">
      <c r="A39" s="2">
        <v>45576</v>
      </c>
      <c r="B39">
        <v>5</v>
      </c>
      <c r="C39" t="s">
        <v>6</v>
      </c>
      <c r="D39">
        <v>13</v>
      </c>
      <c r="E39" t="s">
        <v>202</v>
      </c>
      <c r="F39" s="1">
        <v>45576.291666666664</v>
      </c>
      <c r="G39" s="1">
        <v>45576.635416666664</v>
      </c>
    </row>
    <row r="40" spans="1:7" x14ac:dyDescent="0.25">
      <c r="A40" s="2">
        <v>45576</v>
      </c>
      <c r="B40">
        <v>5</v>
      </c>
      <c r="C40" t="s">
        <v>6</v>
      </c>
      <c r="D40">
        <v>13</v>
      </c>
      <c r="E40" t="s">
        <v>203</v>
      </c>
      <c r="F40" s="1">
        <v>45576.291666666664</v>
      </c>
      <c r="G40" s="1">
        <v>45576.583333333336</v>
      </c>
    </row>
    <row r="41" spans="1:7" x14ac:dyDescent="0.25">
      <c r="A41" s="2">
        <v>45576</v>
      </c>
      <c r="B41">
        <v>5</v>
      </c>
      <c r="C41" t="s">
        <v>171</v>
      </c>
      <c r="D41">
        <v>14</v>
      </c>
      <c r="E41" t="s">
        <v>201</v>
      </c>
      <c r="F41" s="1">
        <v>45576.635416666664</v>
      </c>
      <c r="G41" s="1">
        <v>45576.9375</v>
      </c>
    </row>
    <row r="42" spans="1:7" x14ac:dyDescent="0.25">
      <c r="A42" s="2">
        <v>45576</v>
      </c>
      <c r="B42">
        <v>5</v>
      </c>
      <c r="C42" t="s">
        <v>171</v>
      </c>
      <c r="D42">
        <v>14</v>
      </c>
      <c r="E42" t="s">
        <v>202</v>
      </c>
      <c r="F42" s="1">
        <v>45576.635416666664</v>
      </c>
      <c r="G42" s="1">
        <v>45576.9375</v>
      </c>
    </row>
    <row r="43" spans="1:7" x14ac:dyDescent="0.25">
      <c r="A43" s="2">
        <v>45576</v>
      </c>
      <c r="B43">
        <v>5</v>
      </c>
      <c r="C43" t="s">
        <v>171</v>
      </c>
      <c r="D43">
        <v>14</v>
      </c>
      <c r="E43" t="s">
        <v>203</v>
      </c>
      <c r="F43" s="1">
        <v>45576.583333333336</v>
      </c>
      <c r="G43" s="1">
        <v>45576.885416666664</v>
      </c>
    </row>
    <row r="44" spans="1:7" x14ac:dyDescent="0.25">
      <c r="A44" s="2">
        <v>45576</v>
      </c>
      <c r="B44">
        <v>5</v>
      </c>
      <c r="C44" t="s">
        <v>172</v>
      </c>
      <c r="D44">
        <v>15</v>
      </c>
      <c r="E44" t="s">
        <v>203</v>
      </c>
      <c r="F44" s="1">
        <v>45576.885416666664</v>
      </c>
      <c r="G44" s="1">
        <v>45577.291666666664</v>
      </c>
    </row>
    <row r="45" spans="1:7" x14ac:dyDescent="0.25">
      <c r="A45" s="2">
        <v>45576</v>
      </c>
      <c r="B45">
        <v>5</v>
      </c>
      <c r="C45" t="s">
        <v>172</v>
      </c>
      <c r="D45">
        <v>15</v>
      </c>
      <c r="E45" t="s">
        <v>201</v>
      </c>
      <c r="F45" s="1">
        <v>45576.9375</v>
      </c>
      <c r="G45" s="1">
        <v>45577.291666666664</v>
      </c>
    </row>
    <row r="46" spans="1:7" x14ac:dyDescent="0.25">
      <c r="A46" s="2">
        <v>45576</v>
      </c>
      <c r="B46">
        <v>5</v>
      </c>
      <c r="C46" t="s">
        <v>172</v>
      </c>
      <c r="D46">
        <v>15</v>
      </c>
      <c r="E46" t="s">
        <v>202</v>
      </c>
      <c r="F46" s="1">
        <v>45576.9375</v>
      </c>
      <c r="G46" s="1">
        <v>45577.291666666664</v>
      </c>
    </row>
    <row r="47" spans="1:7" x14ac:dyDescent="0.25">
      <c r="A47" s="2">
        <v>45577</v>
      </c>
      <c r="B47">
        <v>6</v>
      </c>
      <c r="C47" t="s">
        <v>6</v>
      </c>
      <c r="D47">
        <v>16</v>
      </c>
      <c r="E47" t="s">
        <v>203</v>
      </c>
      <c r="F47" s="1">
        <v>45577.291666666664</v>
      </c>
      <c r="G47" s="1">
        <v>45577.583333333336</v>
      </c>
    </row>
    <row r="48" spans="1:7" x14ac:dyDescent="0.25">
      <c r="A48" s="2">
        <v>45577</v>
      </c>
      <c r="B48">
        <v>6</v>
      </c>
      <c r="C48" t="s">
        <v>6</v>
      </c>
      <c r="D48">
        <v>16</v>
      </c>
      <c r="E48" t="s">
        <v>202</v>
      </c>
      <c r="F48" s="1">
        <v>45577.291666666664</v>
      </c>
      <c r="G48" s="1">
        <v>45577.635416666664</v>
      </c>
    </row>
    <row r="49" spans="1:7" x14ac:dyDescent="0.25">
      <c r="A49" s="2">
        <v>45577</v>
      </c>
      <c r="B49">
        <v>6</v>
      </c>
      <c r="C49" t="s">
        <v>6</v>
      </c>
      <c r="D49">
        <v>16</v>
      </c>
      <c r="E49" t="s">
        <v>201</v>
      </c>
      <c r="F49" s="1">
        <v>45577.291666666664</v>
      </c>
      <c r="G49" s="1">
        <v>45577.635416666664</v>
      </c>
    </row>
    <row r="50" spans="1:7" x14ac:dyDescent="0.25">
      <c r="A50" s="2">
        <v>45577</v>
      </c>
      <c r="B50">
        <v>6</v>
      </c>
      <c r="C50" t="s">
        <v>171</v>
      </c>
      <c r="D50">
        <v>17</v>
      </c>
      <c r="E50" t="s">
        <v>201</v>
      </c>
      <c r="F50" s="1">
        <v>45577.635416666664</v>
      </c>
      <c r="G50" s="1">
        <v>45577.9375</v>
      </c>
    </row>
    <row r="51" spans="1:7" x14ac:dyDescent="0.25">
      <c r="A51" s="2">
        <v>45577</v>
      </c>
      <c r="B51">
        <v>6</v>
      </c>
      <c r="C51" t="s">
        <v>171</v>
      </c>
      <c r="D51">
        <v>17</v>
      </c>
      <c r="E51" t="s">
        <v>202</v>
      </c>
      <c r="F51" s="1">
        <v>45577.635416666664</v>
      </c>
      <c r="G51" s="1">
        <v>45577.9375</v>
      </c>
    </row>
    <row r="52" spans="1:7" x14ac:dyDescent="0.25">
      <c r="A52" s="2">
        <v>45577</v>
      </c>
      <c r="B52">
        <v>6</v>
      </c>
      <c r="C52" t="s">
        <v>171</v>
      </c>
      <c r="D52">
        <v>17</v>
      </c>
      <c r="E52" t="s">
        <v>203</v>
      </c>
      <c r="F52" s="1">
        <v>45577.583333333336</v>
      </c>
      <c r="G52" s="1">
        <v>45577.885416666664</v>
      </c>
    </row>
    <row r="53" spans="1:7" x14ac:dyDescent="0.25">
      <c r="A53" s="2">
        <v>45577</v>
      </c>
      <c r="B53">
        <v>6</v>
      </c>
      <c r="C53" t="s">
        <v>172</v>
      </c>
      <c r="D53">
        <v>18</v>
      </c>
      <c r="E53" t="s">
        <v>201</v>
      </c>
      <c r="F53" s="1">
        <v>45577.9375</v>
      </c>
      <c r="G53" s="1">
        <v>45578.291666666664</v>
      </c>
    </row>
    <row r="54" spans="1:7" x14ac:dyDescent="0.25">
      <c r="A54" s="2">
        <v>45577</v>
      </c>
      <c r="B54">
        <v>6</v>
      </c>
      <c r="C54" t="s">
        <v>172</v>
      </c>
      <c r="D54">
        <v>18</v>
      </c>
      <c r="E54" t="s">
        <v>202</v>
      </c>
      <c r="F54" s="1">
        <v>45577.9375</v>
      </c>
      <c r="G54" s="1">
        <v>45578.291666666664</v>
      </c>
    </row>
    <row r="55" spans="1:7" x14ac:dyDescent="0.25">
      <c r="A55" s="2">
        <v>45577</v>
      </c>
      <c r="B55">
        <v>6</v>
      </c>
      <c r="C55" t="s">
        <v>172</v>
      </c>
      <c r="D55">
        <v>18</v>
      </c>
      <c r="E55" t="s">
        <v>203</v>
      </c>
      <c r="F55" s="1">
        <v>45577.885416666664</v>
      </c>
      <c r="G55" s="1">
        <v>45578.291666666664</v>
      </c>
    </row>
    <row r="56" spans="1:7" x14ac:dyDescent="0.25">
      <c r="A56" s="2">
        <v>45578</v>
      </c>
      <c r="B56">
        <v>7</v>
      </c>
      <c r="C56" t="s">
        <v>6</v>
      </c>
      <c r="D56">
        <v>19</v>
      </c>
      <c r="E56" t="s">
        <v>203</v>
      </c>
      <c r="F56" s="1">
        <v>45578.291666666664</v>
      </c>
      <c r="G56" s="1">
        <v>45578.583333333336</v>
      </c>
    </row>
    <row r="57" spans="1:7" x14ac:dyDescent="0.25">
      <c r="A57" s="2">
        <v>45578</v>
      </c>
      <c r="B57">
        <v>7</v>
      </c>
      <c r="C57" t="s">
        <v>6</v>
      </c>
      <c r="D57">
        <v>19</v>
      </c>
      <c r="E57" t="s">
        <v>201</v>
      </c>
      <c r="F57" s="1">
        <v>45578.291666666664</v>
      </c>
      <c r="G57" s="1">
        <v>45578.635416666664</v>
      </c>
    </row>
    <row r="58" spans="1:7" x14ac:dyDescent="0.25">
      <c r="A58" s="2">
        <v>45578</v>
      </c>
      <c r="B58">
        <v>7</v>
      </c>
      <c r="C58" t="s">
        <v>6</v>
      </c>
      <c r="D58">
        <v>19</v>
      </c>
      <c r="E58" t="s">
        <v>202</v>
      </c>
      <c r="F58" s="1">
        <v>45578.291666666664</v>
      </c>
      <c r="G58" s="1">
        <v>45578.635416666664</v>
      </c>
    </row>
    <row r="59" spans="1:7" x14ac:dyDescent="0.25">
      <c r="A59" s="2">
        <v>45578</v>
      </c>
      <c r="B59">
        <v>7</v>
      </c>
      <c r="C59" t="s">
        <v>171</v>
      </c>
      <c r="D59">
        <v>20</v>
      </c>
      <c r="E59" t="s">
        <v>202</v>
      </c>
      <c r="F59" s="1">
        <v>45578.635416666664</v>
      </c>
      <c r="G59" s="1">
        <v>45578.9375</v>
      </c>
    </row>
    <row r="60" spans="1:7" x14ac:dyDescent="0.25">
      <c r="A60" s="2">
        <v>45578</v>
      </c>
      <c r="B60">
        <v>7</v>
      </c>
      <c r="C60" t="s">
        <v>171</v>
      </c>
      <c r="D60">
        <v>20</v>
      </c>
      <c r="E60" t="s">
        <v>203</v>
      </c>
      <c r="F60" s="1">
        <v>45578.583333333336</v>
      </c>
      <c r="G60" s="1">
        <v>45578.885416666664</v>
      </c>
    </row>
    <row r="61" spans="1:7" x14ac:dyDescent="0.25">
      <c r="A61" s="2">
        <v>45578</v>
      </c>
      <c r="B61">
        <v>7</v>
      </c>
      <c r="C61" t="s">
        <v>171</v>
      </c>
      <c r="D61">
        <v>20</v>
      </c>
      <c r="E61" t="s">
        <v>201</v>
      </c>
      <c r="F61" s="1">
        <v>45578.635416666664</v>
      </c>
      <c r="G61" s="1">
        <v>45578.9375</v>
      </c>
    </row>
    <row r="62" spans="1:7" x14ac:dyDescent="0.25">
      <c r="A62" s="2">
        <v>45578</v>
      </c>
      <c r="B62">
        <v>7</v>
      </c>
      <c r="C62" t="s">
        <v>172</v>
      </c>
      <c r="D62">
        <v>21</v>
      </c>
      <c r="E62" t="s">
        <v>202</v>
      </c>
      <c r="F62" s="1">
        <v>45578.9375</v>
      </c>
      <c r="G62" s="1">
        <v>45579.291666666664</v>
      </c>
    </row>
    <row r="63" spans="1:7" x14ac:dyDescent="0.25">
      <c r="A63" s="2">
        <v>45578</v>
      </c>
      <c r="B63">
        <v>7</v>
      </c>
      <c r="C63" t="s">
        <v>172</v>
      </c>
      <c r="D63">
        <v>21</v>
      </c>
      <c r="E63" t="s">
        <v>203</v>
      </c>
      <c r="F63" s="1">
        <v>45578.885416666664</v>
      </c>
      <c r="G63" s="1">
        <v>45579.291666666664</v>
      </c>
    </row>
    <row r="64" spans="1:7" x14ac:dyDescent="0.25">
      <c r="A64" s="2">
        <v>45578</v>
      </c>
      <c r="B64">
        <v>7</v>
      </c>
      <c r="C64" t="s">
        <v>172</v>
      </c>
      <c r="D64">
        <v>21</v>
      </c>
      <c r="E64" t="s">
        <v>201</v>
      </c>
      <c r="F64" s="1">
        <v>45578.9375</v>
      </c>
      <c r="G64" s="1">
        <v>45579.291666666664</v>
      </c>
    </row>
    <row r="65" spans="1:7" x14ac:dyDescent="0.25">
      <c r="A65" s="2">
        <v>45579</v>
      </c>
      <c r="B65">
        <v>8</v>
      </c>
      <c r="C65" t="s">
        <v>6</v>
      </c>
      <c r="D65">
        <v>22</v>
      </c>
      <c r="E65" t="s">
        <v>201</v>
      </c>
      <c r="F65" s="1">
        <v>45579.291666666664</v>
      </c>
      <c r="G65" s="1">
        <v>45579.635416666664</v>
      </c>
    </row>
    <row r="66" spans="1:7" x14ac:dyDescent="0.25">
      <c r="A66" s="2">
        <v>45579</v>
      </c>
      <c r="B66">
        <v>8</v>
      </c>
      <c r="C66" t="s">
        <v>6</v>
      </c>
      <c r="D66">
        <v>22</v>
      </c>
      <c r="E66" t="s">
        <v>202</v>
      </c>
      <c r="F66" s="1">
        <v>45579.291666666664</v>
      </c>
      <c r="G66" s="1">
        <v>45579.635416666664</v>
      </c>
    </row>
    <row r="67" spans="1:7" x14ac:dyDescent="0.25">
      <c r="A67" s="2">
        <v>45579</v>
      </c>
      <c r="B67">
        <v>8</v>
      </c>
      <c r="C67" t="s">
        <v>6</v>
      </c>
      <c r="D67">
        <v>22</v>
      </c>
      <c r="E67" t="s">
        <v>203</v>
      </c>
      <c r="F67" s="1">
        <v>45579.291666666664</v>
      </c>
      <c r="G67" s="1">
        <v>45579.583333333336</v>
      </c>
    </row>
    <row r="68" spans="1:7" x14ac:dyDescent="0.25">
      <c r="A68" s="2">
        <v>45579</v>
      </c>
      <c r="B68">
        <v>8</v>
      </c>
      <c r="C68" t="s">
        <v>171</v>
      </c>
      <c r="D68">
        <v>23</v>
      </c>
      <c r="E68" t="s">
        <v>201</v>
      </c>
      <c r="F68" s="1">
        <v>45579.635416666664</v>
      </c>
      <c r="G68" s="1">
        <v>45579.9375</v>
      </c>
    </row>
    <row r="69" spans="1:7" x14ac:dyDescent="0.25">
      <c r="A69" s="2">
        <v>45579</v>
      </c>
      <c r="B69">
        <v>8</v>
      </c>
      <c r="C69" t="s">
        <v>171</v>
      </c>
      <c r="D69">
        <v>23</v>
      </c>
      <c r="E69" t="s">
        <v>202</v>
      </c>
      <c r="F69" s="1">
        <v>45579.635416666664</v>
      </c>
      <c r="G69" s="1">
        <v>45579.9375</v>
      </c>
    </row>
    <row r="70" spans="1:7" x14ac:dyDescent="0.25">
      <c r="A70" s="2">
        <v>45579</v>
      </c>
      <c r="B70">
        <v>8</v>
      </c>
      <c r="C70" t="s">
        <v>171</v>
      </c>
      <c r="D70">
        <v>23</v>
      </c>
      <c r="E70" t="s">
        <v>203</v>
      </c>
      <c r="F70" s="1">
        <v>45579.583333333336</v>
      </c>
      <c r="G70" s="1">
        <v>45579.885416666664</v>
      </c>
    </row>
    <row r="71" spans="1:7" x14ac:dyDescent="0.25">
      <c r="A71" s="2">
        <v>45579</v>
      </c>
      <c r="B71">
        <v>8</v>
      </c>
      <c r="C71" t="s">
        <v>172</v>
      </c>
      <c r="D71">
        <v>24</v>
      </c>
      <c r="E71" t="s">
        <v>201</v>
      </c>
      <c r="F71" s="1">
        <v>45579.9375</v>
      </c>
      <c r="G71" s="1">
        <v>45580.291666666664</v>
      </c>
    </row>
    <row r="72" spans="1:7" x14ac:dyDescent="0.25">
      <c r="A72" s="2">
        <v>45579</v>
      </c>
      <c r="B72">
        <v>8</v>
      </c>
      <c r="C72" t="s">
        <v>172</v>
      </c>
      <c r="D72">
        <v>24</v>
      </c>
      <c r="E72" t="s">
        <v>202</v>
      </c>
      <c r="F72" s="1">
        <v>45579.9375</v>
      </c>
      <c r="G72" s="1">
        <v>45580.291666666664</v>
      </c>
    </row>
    <row r="73" spans="1:7" x14ac:dyDescent="0.25">
      <c r="A73" s="2">
        <v>45579</v>
      </c>
      <c r="B73">
        <v>8</v>
      </c>
      <c r="C73" t="s">
        <v>172</v>
      </c>
      <c r="D73">
        <v>24</v>
      </c>
      <c r="E73" t="s">
        <v>203</v>
      </c>
      <c r="F73" s="1">
        <v>45579.885416666664</v>
      </c>
      <c r="G73" s="1">
        <v>45580.291666666664</v>
      </c>
    </row>
    <row r="74" spans="1:7" x14ac:dyDescent="0.25">
      <c r="A74" s="2">
        <v>45580</v>
      </c>
      <c r="B74">
        <v>9</v>
      </c>
      <c r="C74" t="s">
        <v>6</v>
      </c>
      <c r="D74">
        <v>25</v>
      </c>
      <c r="E74" t="s">
        <v>201</v>
      </c>
      <c r="F74" s="1">
        <v>45580.291666666664</v>
      </c>
      <c r="G74" s="1">
        <v>45580.635416666664</v>
      </c>
    </row>
    <row r="75" spans="1:7" x14ac:dyDescent="0.25">
      <c r="A75" s="2">
        <v>45580</v>
      </c>
      <c r="B75">
        <v>9</v>
      </c>
      <c r="C75" t="s">
        <v>6</v>
      </c>
      <c r="D75">
        <v>25</v>
      </c>
      <c r="E75" t="s">
        <v>202</v>
      </c>
      <c r="F75" s="1">
        <v>45580.291666666664</v>
      </c>
      <c r="G75" s="1">
        <v>45580.635416666664</v>
      </c>
    </row>
    <row r="76" spans="1:7" x14ac:dyDescent="0.25">
      <c r="A76" s="2">
        <v>45580</v>
      </c>
      <c r="B76">
        <v>9</v>
      </c>
      <c r="C76" t="s">
        <v>6</v>
      </c>
      <c r="D76">
        <v>25</v>
      </c>
      <c r="E76" t="s">
        <v>203</v>
      </c>
      <c r="F76" s="1">
        <v>45580.291666666664</v>
      </c>
      <c r="G76" s="1">
        <v>45580.583333333336</v>
      </c>
    </row>
    <row r="77" spans="1:7" x14ac:dyDescent="0.25">
      <c r="A77" s="2">
        <v>45580</v>
      </c>
      <c r="B77">
        <v>9</v>
      </c>
      <c r="C77" t="s">
        <v>171</v>
      </c>
      <c r="D77">
        <v>26</v>
      </c>
      <c r="E77" t="s">
        <v>202</v>
      </c>
      <c r="F77" s="1">
        <v>45580.635416666664</v>
      </c>
      <c r="G77" s="1">
        <v>45580.9375</v>
      </c>
    </row>
    <row r="78" spans="1:7" x14ac:dyDescent="0.25">
      <c r="A78" s="2">
        <v>45580</v>
      </c>
      <c r="B78">
        <v>9</v>
      </c>
      <c r="C78" t="s">
        <v>171</v>
      </c>
      <c r="D78">
        <v>26</v>
      </c>
      <c r="E78" t="s">
        <v>203</v>
      </c>
      <c r="F78" s="1">
        <v>45580.583333333336</v>
      </c>
      <c r="G78" s="1">
        <v>45580.885416666664</v>
      </c>
    </row>
    <row r="79" spans="1:7" x14ac:dyDescent="0.25">
      <c r="A79" s="2">
        <v>45580</v>
      </c>
      <c r="B79">
        <v>9</v>
      </c>
      <c r="C79" t="s">
        <v>171</v>
      </c>
      <c r="D79">
        <v>26</v>
      </c>
      <c r="E79" t="s">
        <v>201</v>
      </c>
      <c r="F79" s="1">
        <v>45580.635416666664</v>
      </c>
      <c r="G79" s="1">
        <v>45580.9375</v>
      </c>
    </row>
    <row r="80" spans="1:7" x14ac:dyDescent="0.25">
      <c r="A80" s="2">
        <v>45580</v>
      </c>
      <c r="B80">
        <v>9</v>
      </c>
      <c r="C80" t="s">
        <v>172</v>
      </c>
      <c r="D80">
        <v>27</v>
      </c>
      <c r="E80" t="s">
        <v>201</v>
      </c>
      <c r="F80" s="1">
        <v>45580.9375</v>
      </c>
      <c r="G80" s="1">
        <v>45581.291666666664</v>
      </c>
    </row>
    <row r="81" spans="1:7" x14ac:dyDescent="0.25">
      <c r="A81" s="2">
        <v>45580</v>
      </c>
      <c r="B81">
        <v>9</v>
      </c>
      <c r="C81" t="s">
        <v>172</v>
      </c>
      <c r="D81">
        <v>27</v>
      </c>
      <c r="E81" t="s">
        <v>202</v>
      </c>
      <c r="F81" s="1">
        <v>45580.9375</v>
      </c>
      <c r="G81" s="1">
        <v>45581.291666666664</v>
      </c>
    </row>
    <row r="82" spans="1:7" x14ac:dyDescent="0.25">
      <c r="A82" s="2">
        <v>45580</v>
      </c>
      <c r="B82">
        <v>9</v>
      </c>
      <c r="C82" t="s">
        <v>172</v>
      </c>
      <c r="D82">
        <v>27</v>
      </c>
      <c r="E82" t="s">
        <v>203</v>
      </c>
      <c r="F82" s="1">
        <v>45580.885416666664</v>
      </c>
      <c r="G82" s="1">
        <v>45581.291666666664</v>
      </c>
    </row>
    <row r="83" spans="1:7" x14ac:dyDescent="0.25">
      <c r="A83" s="2">
        <v>45581</v>
      </c>
      <c r="B83">
        <v>10</v>
      </c>
      <c r="C83" t="s">
        <v>6</v>
      </c>
      <c r="D83">
        <v>28</v>
      </c>
      <c r="E83" t="s">
        <v>201</v>
      </c>
      <c r="F83" s="1">
        <v>45581.291666666664</v>
      </c>
      <c r="G83" s="1">
        <v>45581.635416666664</v>
      </c>
    </row>
    <row r="84" spans="1:7" x14ac:dyDescent="0.25">
      <c r="A84" s="2">
        <v>45581</v>
      </c>
      <c r="B84">
        <v>10</v>
      </c>
      <c r="C84" t="s">
        <v>6</v>
      </c>
      <c r="D84">
        <v>28</v>
      </c>
      <c r="E84" t="s">
        <v>202</v>
      </c>
      <c r="F84" s="1">
        <v>45581.291666666664</v>
      </c>
      <c r="G84" s="1">
        <v>45581.635416666664</v>
      </c>
    </row>
    <row r="85" spans="1:7" x14ac:dyDescent="0.25">
      <c r="A85" s="2">
        <v>45581</v>
      </c>
      <c r="B85">
        <v>10</v>
      </c>
      <c r="C85" t="s">
        <v>6</v>
      </c>
      <c r="D85">
        <v>28</v>
      </c>
      <c r="E85" t="s">
        <v>203</v>
      </c>
      <c r="F85" s="1">
        <v>45581.291666666664</v>
      </c>
      <c r="G85" s="1">
        <v>45581.583333333336</v>
      </c>
    </row>
    <row r="86" spans="1:7" x14ac:dyDescent="0.25">
      <c r="A86" s="2">
        <v>45581</v>
      </c>
      <c r="B86">
        <v>10</v>
      </c>
      <c r="C86" t="s">
        <v>171</v>
      </c>
      <c r="D86">
        <v>29</v>
      </c>
      <c r="E86" t="s">
        <v>202</v>
      </c>
      <c r="F86" s="1">
        <v>45581.635416666664</v>
      </c>
      <c r="G86" s="1">
        <v>45581.9375</v>
      </c>
    </row>
    <row r="87" spans="1:7" x14ac:dyDescent="0.25">
      <c r="A87" s="2">
        <v>45581</v>
      </c>
      <c r="B87">
        <v>10</v>
      </c>
      <c r="C87" t="s">
        <v>171</v>
      </c>
      <c r="D87">
        <v>29</v>
      </c>
      <c r="E87" t="s">
        <v>201</v>
      </c>
      <c r="F87" s="1">
        <v>45581.635416666664</v>
      </c>
      <c r="G87" s="1">
        <v>45581.9375</v>
      </c>
    </row>
    <row r="88" spans="1:7" x14ac:dyDescent="0.25">
      <c r="A88" s="2">
        <v>45581</v>
      </c>
      <c r="B88">
        <v>10</v>
      </c>
      <c r="C88" t="s">
        <v>171</v>
      </c>
      <c r="D88">
        <v>29</v>
      </c>
      <c r="E88" t="s">
        <v>203</v>
      </c>
      <c r="F88" s="1">
        <v>45581.583333333336</v>
      </c>
      <c r="G88" s="1">
        <v>45581.885416666664</v>
      </c>
    </row>
    <row r="89" spans="1:7" x14ac:dyDescent="0.25">
      <c r="A89" s="2">
        <v>45581</v>
      </c>
      <c r="B89">
        <v>10</v>
      </c>
      <c r="C89" t="s">
        <v>172</v>
      </c>
      <c r="D89">
        <v>30</v>
      </c>
      <c r="E89" t="s">
        <v>201</v>
      </c>
      <c r="F89" s="1">
        <v>45581.9375</v>
      </c>
      <c r="G89" s="1">
        <v>45582.291666666664</v>
      </c>
    </row>
    <row r="90" spans="1:7" x14ac:dyDescent="0.25">
      <c r="A90" s="2">
        <v>45581</v>
      </c>
      <c r="B90">
        <v>10</v>
      </c>
      <c r="C90" t="s">
        <v>172</v>
      </c>
      <c r="D90">
        <v>30</v>
      </c>
      <c r="E90" t="s">
        <v>202</v>
      </c>
      <c r="F90" s="1">
        <v>45581.9375</v>
      </c>
      <c r="G90" s="1">
        <v>45582.291666666664</v>
      </c>
    </row>
    <row r="91" spans="1:7" x14ac:dyDescent="0.25">
      <c r="A91" s="2">
        <v>45581</v>
      </c>
      <c r="B91">
        <v>10</v>
      </c>
      <c r="C91" t="s">
        <v>172</v>
      </c>
      <c r="D91">
        <v>30</v>
      </c>
      <c r="E91" t="s">
        <v>203</v>
      </c>
      <c r="F91" s="1">
        <v>45581.885416666664</v>
      </c>
      <c r="G91" s="1">
        <v>45582.291666666664</v>
      </c>
    </row>
    <row r="92" spans="1:7" x14ac:dyDescent="0.25">
      <c r="A92" s="2">
        <v>45582</v>
      </c>
      <c r="B92">
        <v>11</v>
      </c>
      <c r="C92" t="s">
        <v>6</v>
      </c>
      <c r="D92">
        <v>31</v>
      </c>
      <c r="E92" t="s">
        <v>202</v>
      </c>
      <c r="F92" s="1">
        <v>45582.291666666664</v>
      </c>
      <c r="G92" s="1">
        <v>45582.635416666664</v>
      </c>
    </row>
    <row r="93" spans="1:7" x14ac:dyDescent="0.25">
      <c r="A93" s="2">
        <v>45582</v>
      </c>
      <c r="B93">
        <v>11</v>
      </c>
      <c r="C93" t="s">
        <v>6</v>
      </c>
      <c r="D93">
        <v>31</v>
      </c>
      <c r="E93" t="s">
        <v>203</v>
      </c>
      <c r="F93" s="1">
        <v>45582.291666666664</v>
      </c>
      <c r="G93" s="1">
        <v>45582.583333333336</v>
      </c>
    </row>
    <row r="94" spans="1:7" x14ac:dyDescent="0.25">
      <c r="A94" s="2">
        <v>45582</v>
      </c>
      <c r="B94">
        <v>11</v>
      </c>
      <c r="C94" t="s">
        <v>6</v>
      </c>
      <c r="D94">
        <v>31</v>
      </c>
      <c r="E94" t="s">
        <v>201</v>
      </c>
      <c r="F94" s="1">
        <v>45582.291666666664</v>
      </c>
      <c r="G94" s="1">
        <v>45582.635416666664</v>
      </c>
    </row>
    <row r="95" spans="1:7" x14ac:dyDescent="0.25">
      <c r="A95" s="2">
        <v>45582</v>
      </c>
      <c r="B95">
        <v>11</v>
      </c>
      <c r="C95" t="s">
        <v>171</v>
      </c>
      <c r="D95">
        <v>32</v>
      </c>
      <c r="E95" t="s">
        <v>203</v>
      </c>
      <c r="F95" s="1">
        <v>45582.583333333336</v>
      </c>
      <c r="G95" s="1">
        <v>45582.885416666664</v>
      </c>
    </row>
    <row r="96" spans="1:7" x14ac:dyDescent="0.25">
      <c r="A96" s="2">
        <v>45582</v>
      </c>
      <c r="B96">
        <v>11</v>
      </c>
      <c r="C96" t="s">
        <v>171</v>
      </c>
      <c r="D96">
        <v>32</v>
      </c>
      <c r="E96" t="s">
        <v>201</v>
      </c>
      <c r="F96" s="1">
        <v>45582.635416666664</v>
      </c>
      <c r="G96" s="1">
        <v>45582.9375</v>
      </c>
    </row>
    <row r="97" spans="1:7" x14ac:dyDescent="0.25">
      <c r="A97" s="2">
        <v>45582</v>
      </c>
      <c r="B97">
        <v>11</v>
      </c>
      <c r="C97" t="s">
        <v>171</v>
      </c>
      <c r="D97">
        <v>32</v>
      </c>
      <c r="E97" t="s">
        <v>202</v>
      </c>
      <c r="F97" s="1">
        <v>45582.635416666664</v>
      </c>
      <c r="G97" s="1">
        <v>45582.9375</v>
      </c>
    </row>
    <row r="98" spans="1:7" x14ac:dyDescent="0.25">
      <c r="A98" s="2">
        <v>45582</v>
      </c>
      <c r="B98">
        <v>11</v>
      </c>
      <c r="C98" t="s">
        <v>172</v>
      </c>
      <c r="D98">
        <v>33</v>
      </c>
      <c r="E98" t="s">
        <v>201</v>
      </c>
      <c r="F98" s="1">
        <v>45582.9375</v>
      </c>
      <c r="G98" s="1">
        <v>45583.291666666664</v>
      </c>
    </row>
    <row r="99" spans="1:7" x14ac:dyDescent="0.25">
      <c r="A99" s="2">
        <v>45582</v>
      </c>
      <c r="B99">
        <v>11</v>
      </c>
      <c r="C99" t="s">
        <v>172</v>
      </c>
      <c r="D99">
        <v>33</v>
      </c>
      <c r="E99" t="s">
        <v>202</v>
      </c>
      <c r="F99" s="1">
        <v>45582.9375</v>
      </c>
      <c r="G99" s="1">
        <v>45583.291666666664</v>
      </c>
    </row>
    <row r="100" spans="1:7" x14ac:dyDescent="0.25">
      <c r="A100" s="2">
        <v>45582</v>
      </c>
      <c r="B100">
        <v>11</v>
      </c>
      <c r="C100" t="s">
        <v>172</v>
      </c>
      <c r="D100">
        <v>33</v>
      </c>
      <c r="E100" t="s">
        <v>203</v>
      </c>
      <c r="F100" s="1">
        <v>45582.885416666664</v>
      </c>
      <c r="G100" s="1">
        <v>45583.291666666664</v>
      </c>
    </row>
    <row r="101" spans="1:7" x14ac:dyDescent="0.25">
      <c r="A101" s="2">
        <v>45583</v>
      </c>
      <c r="B101">
        <v>12</v>
      </c>
      <c r="C101" t="s">
        <v>6</v>
      </c>
      <c r="D101">
        <v>34</v>
      </c>
      <c r="E101" t="s">
        <v>201</v>
      </c>
      <c r="F101" s="1">
        <v>45583.291666666664</v>
      </c>
      <c r="G101" s="1">
        <v>45583.635416666664</v>
      </c>
    </row>
    <row r="102" spans="1:7" x14ac:dyDescent="0.25">
      <c r="A102" s="2">
        <v>45583</v>
      </c>
      <c r="B102">
        <v>12</v>
      </c>
      <c r="C102" t="s">
        <v>6</v>
      </c>
      <c r="D102">
        <v>34</v>
      </c>
      <c r="E102" t="s">
        <v>202</v>
      </c>
      <c r="F102" s="1">
        <v>45583.291666666664</v>
      </c>
      <c r="G102" s="1">
        <v>45583.635416666664</v>
      </c>
    </row>
    <row r="103" spans="1:7" x14ac:dyDescent="0.25">
      <c r="A103" s="2">
        <v>45583</v>
      </c>
      <c r="B103">
        <v>12</v>
      </c>
      <c r="C103" t="s">
        <v>6</v>
      </c>
      <c r="D103">
        <v>34</v>
      </c>
      <c r="E103" t="s">
        <v>203</v>
      </c>
      <c r="F103" s="1">
        <v>45583.291666666664</v>
      </c>
      <c r="G103" s="1">
        <v>45583.583333333336</v>
      </c>
    </row>
    <row r="104" spans="1:7" x14ac:dyDescent="0.25">
      <c r="A104" s="2">
        <v>45583</v>
      </c>
      <c r="B104">
        <v>12</v>
      </c>
      <c r="C104" t="s">
        <v>171</v>
      </c>
      <c r="D104">
        <v>35</v>
      </c>
      <c r="E104" t="s">
        <v>201</v>
      </c>
      <c r="F104" s="1">
        <v>45583.635416666664</v>
      </c>
      <c r="G104" s="1">
        <v>45583.9375</v>
      </c>
    </row>
    <row r="105" spans="1:7" x14ac:dyDescent="0.25">
      <c r="A105" s="2">
        <v>45583</v>
      </c>
      <c r="B105">
        <v>12</v>
      </c>
      <c r="C105" t="s">
        <v>171</v>
      </c>
      <c r="D105">
        <v>35</v>
      </c>
      <c r="E105" t="s">
        <v>202</v>
      </c>
      <c r="F105" s="1">
        <v>45583.635416666664</v>
      </c>
      <c r="G105" s="1">
        <v>45583.9375</v>
      </c>
    </row>
    <row r="106" spans="1:7" x14ac:dyDescent="0.25">
      <c r="A106" s="2">
        <v>45583</v>
      </c>
      <c r="B106">
        <v>12</v>
      </c>
      <c r="C106" t="s">
        <v>171</v>
      </c>
      <c r="D106">
        <v>35</v>
      </c>
      <c r="E106" t="s">
        <v>203</v>
      </c>
      <c r="F106" s="1">
        <v>45583.583333333336</v>
      </c>
      <c r="G106" s="1">
        <v>45583.885416666664</v>
      </c>
    </row>
    <row r="107" spans="1:7" x14ac:dyDescent="0.25">
      <c r="A107" s="2">
        <v>45583</v>
      </c>
      <c r="B107">
        <v>12</v>
      </c>
      <c r="C107" t="s">
        <v>172</v>
      </c>
      <c r="D107">
        <v>36</v>
      </c>
      <c r="E107" t="s">
        <v>203</v>
      </c>
      <c r="F107" s="1">
        <v>45583.885416666664</v>
      </c>
      <c r="G107" s="1">
        <v>45584.291666666664</v>
      </c>
    </row>
    <row r="108" spans="1:7" x14ac:dyDescent="0.25">
      <c r="A108" s="2">
        <v>45583</v>
      </c>
      <c r="B108">
        <v>12</v>
      </c>
      <c r="C108" t="s">
        <v>172</v>
      </c>
      <c r="D108">
        <v>36</v>
      </c>
      <c r="E108" t="s">
        <v>201</v>
      </c>
      <c r="F108" s="1">
        <v>45583.9375</v>
      </c>
      <c r="G108" s="1">
        <v>45584.291666666664</v>
      </c>
    </row>
    <row r="109" spans="1:7" x14ac:dyDescent="0.25">
      <c r="A109" s="2">
        <v>45583</v>
      </c>
      <c r="B109">
        <v>12</v>
      </c>
      <c r="C109" t="s">
        <v>172</v>
      </c>
      <c r="D109">
        <v>36</v>
      </c>
      <c r="E109" t="s">
        <v>202</v>
      </c>
      <c r="F109" s="1">
        <v>45583.9375</v>
      </c>
      <c r="G109" s="1">
        <v>45584.291666666664</v>
      </c>
    </row>
    <row r="110" spans="1:7" x14ac:dyDescent="0.25">
      <c r="A110" s="2">
        <v>45584</v>
      </c>
      <c r="B110">
        <v>13</v>
      </c>
      <c r="C110" t="s">
        <v>6</v>
      </c>
      <c r="D110">
        <v>37</v>
      </c>
      <c r="E110" t="s">
        <v>203</v>
      </c>
      <c r="F110" s="1">
        <v>45584.291666666664</v>
      </c>
      <c r="G110" s="1">
        <v>45584.583333333336</v>
      </c>
    </row>
    <row r="111" spans="1:7" x14ac:dyDescent="0.25">
      <c r="A111" s="2">
        <v>45584</v>
      </c>
      <c r="B111">
        <v>13</v>
      </c>
      <c r="C111" t="s">
        <v>6</v>
      </c>
      <c r="D111">
        <v>37</v>
      </c>
      <c r="E111" t="s">
        <v>201</v>
      </c>
      <c r="F111" s="1">
        <v>45584.291666666664</v>
      </c>
      <c r="G111" s="1">
        <v>45584.635416666664</v>
      </c>
    </row>
    <row r="112" spans="1:7" x14ac:dyDescent="0.25">
      <c r="A112" s="2">
        <v>45584</v>
      </c>
      <c r="B112">
        <v>13</v>
      </c>
      <c r="C112" t="s">
        <v>6</v>
      </c>
      <c r="D112">
        <v>37</v>
      </c>
      <c r="E112" t="s">
        <v>202</v>
      </c>
      <c r="F112" s="1">
        <v>45584.291666666664</v>
      </c>
      <c r="G112" s="1">
        <v>45584.635416666664</v>
      </c>
    </row>
    <row r="113" spans="1:7" x14ac:dyDescent="0.25">
      <c r="A113" s="2">
        <v>45584</v>
      </c>
      <c r="B113">
        <v>13</v>
      </c>
      <c r="C113" t="s">
        <v>171</v>
      </c>
      <c r="D113">
        <v>38</v>
      </c>
      <c r="E113" t="s">
        <v>201</v>
      </c>
      <c r="F113" s="1">
        <v>45584.635416666664</v>
      </c>
      <c r="G113" s="1">
        <v>45584.9375</v>
      </c>
    </row>
    <row r="114" spans="1:7" x14ac:dyDescent="0.25">
      <c r="A114" s="2">
        <v>45584</v>
      </c>
      <c r="B114">
        <v>13</v>
      </c>
      <c r="C114" t="s">
        <v>171</v>
      </c>
      <c r="D114">
        <v>38</v>
      </c>
      <c r="E114" t="s">
        <v>202</v>
      </c>
      <c r="F114" s="1">
        <v>45584.635416666664</v>
      </c>
      <c r="G114" s="1">
        <v>45584.9375</v>
      </c>
    </row>
    <row r="115" spans="1:7" x14ac:dyDescent="0.25">
      <c r="A115" s="2">
        <v>45584</v>
      </c>
      <c r="B115">
        <v>13</v>
      </c>
      <c r="C115" t="s">
        <v>171</v>
      </c>
      <c r="D115">
        <v>38</v>
      </c>
      <c r="E115" t="s">
        <v>203</v>
      </c>
      <c r="F115" s="1">
        <v>45584.583333333336</v>
      </c>
      <c r="G115" s="1">
        <v>45584.885416666664</v>
      </c>
    </row>
    <row r="116" spans="1:7" x14ac:dyDescent="0.25">
      <c r="A116" s="2">
        <v>45584</v>
      </c>
      <c r="B116">
        <v>13</v>
      </c>
      <c r="C116" t="s">
        <v>172</v>
      </c>
      <c r="D116">
        <v>39</v>
      </c>
      <c r="E116" t="s">
        <v>201</v>
      </c>
      <c r="F116" s="1">
        <v>45584.9375</v>
      </c>
      <c r="G116" s="1">
        <v>45585.291666666664</v>
      </c>
    </row>
    <row r="117" spans="1:7" x14ac:dyDescent="0.25">
      <c r="A117" s="2">
        <v>45584</v>
      </c>
      <c r="B117">
        <v>13</v>
      </c>
      <c r="C117" t="s">
        <v>172</v>
      </c>
      <c r="D117">
        <v>39</v>
      </c>
      <c r="E117" t="s">
        <v>202</v>
      </c>
      <c r="F117" s="1">
        <v>45584.9375</v>
      </c>
      <c r="G117" s="1">
        <v>45585.291666666664</v>
      </c>
    </row>
    <row r="118" spans="1:7" x14ac:dyDescent="0.25">
      <c r="A118" s="2">
        <v>45584</v>
      </c>
      <c r="B118">
        <v>13</v>
      </c>
      <c r="C118" t="s">
        <v>172</v>
      </c>
      <c r="D118">
        <v>39</v>
      </c>
      <c r="E118" t="s">
        <v>203</v>
      </c>
      <c r="F118" s="1">
        <v>45584.885416666664</v>
      </c>
      <c r="G118" s="1">
        <v>45585.291666666664</v>
      </c>
    </row>
    <row r="119" spans="1:7" x14ac:dyDescent="0.25">
      <c r="A119" s="2">
        <v>45585</v>
      </c>
      <c r="B119">
        <v>14</v>
      </c>
      <c r="C119" t="s">
        <v>6</v>
      </c>
      <c r="D119">
        <v>40</v>
      </c>
      <c r="E119" t="s">
        <v>202</v>
      </c>
      <c r="F119" s="1">
        <v>45585.291666666664</v>
      </c>
      <c r="G119" s="1">
        <v>45585.635416666664</v>
      </c>
    </row>
    <row r="120" spans="1:7" x14ac:dyDescent="0.25">
      <c r="A120" s="2">
        <v>45585</v>
      </c>
      <c r="B120">
        <v>14</v>
      </c>
      <c r="C120" t="s">
        <v>6</v>
      </c>
      <c r="D120">
        <v>40</v>
      </c>
      <c r="E120" t="s">
        <v>201</v>
      </c>
      <c r="F120" s="1">
        <v>45585.291666666664</v>
      </c>
      <c r="G120" s="1">
        <v>45585.635416666664</v>
      </c>
    </row>
    <row r="121" spans="1:7" x14ac:dyDescent="0.25">
      <c r="A121" s="2">
        <v>45585</v>
      </c>
      <c r="B121">
        <v>14</v>
      </c>
      <c r="C121" t="s">
        <v>6</v>
      </c>
      <c r="D121">
        <v>40</v>
      </c>
      <c r="E121" t="s">
        <v>203</v>
      </c>
      <c r="F121" s="1">
        <v>45585.291666666664</v>
      </c>
      <c r="G121" s="1">
        <v>45585.583333333336</v>
      </c>
    </row>
    <row r="122" spans="1:7" x14ac:dyDescent="0.25">
      <c r="A122" s="2">
        <v>45585</v>
      </c>
      <c r="B122">
        <v>14</v>
      </c>
      <c r="C122" t="s">
        <v>171</v>
      </c>
      <c r="D122">
        <v>41</v>
      </c>
      <c r="E122" t="s">
        <v>202</v>
      </c>
      <c r="F122" s="1">
        <v>45585.635416666664</v>
      </c>
      <c r="G122" s="1">
        <v>45585.9375</v>
      </c>
    </row>
    <row r="123" spans="1:7" x14ac:dyDescent="0.25">
      <c r="A123" s="2">
        <v>45585</v>
      </c>
      <c r="B123">
        <v>14</v>
      </c>
      <c r="C123" t="s">
        <v>171</v>
      </c>
      <c r="D123">
        <v>41</v>
      </c>
      <c r="E123" t="s">
        <v>201</v>
      </c>
      <c r="F123" s="1">
        <v>45585.635416666664</v>
      </c>
      <c r="G123" s="1">
        <v>45585.9375</v>
      </c>
    </row>
    <row r="124" spans="1:7" x14ac:dyDescent="0.25">
      <c r="A124" s="2">
        <v>45585</v>
      </c>
      <c r="B124">
        <v>14</v>
      </c>
      <c r="C124" t="s">
        <v>171</v>
      </c>
      <c r="D124">
        <v>41</v>
      </c>
      <c r="E124" t="s">
        <v>203</v>
      </c>
      <c r="F124" s="1">
        <v>45585.583333333336</v>
      </c>
      <c r="G124" s="1">
        <v>45585.885416666664</v>
      </c>
    </row>
    <row r="125" spans="1:7" x14ac:dyDescent="0.25">
      <c r="A125" s="2">
        <v>45585</v>
      </c>
      <c r="B125">
        <v>14</v>
      </c>
      <c r="C125" t="s">
        <v>172</v>
      </c>
      <c r="D125">
        <v>42</v>
      </c>
      <c r="E125" t="s">
        <v>202</v>
      </c>
      <c r="F125" s="1">
        <v>45585.9375</v>
      </c>
      <c r="G125" s="1">
        <v>45586.291666666664</v>
      </c>
    </row>
    <row r="126" spans="1:7" x14ac:dyDescent="0.25">
      <c r="A126" s="2">
        <v>45585</v>
      </c>
      <c r="B126">
        <v>14</v>
      </c>
      <c r="C126" t="s">
        <v>172</v>
      </c>
      <c r="D126">
        <v>42</v>
      </c>
      <c r="E126" t="s">
        <v>201</v>
      </c>
      <c r="F126" s="1">
        <v>45585.9375</v>
      </c>
      <c r="G126" s="1">
        <v>45586.291666666664</v>
      </c>
    </row>
    <row r="127" spans="1:7" x14ac:dyDescent="0.25">
      <c r="A127" s="2">
        <v>45585</v>
      </c>
      <c r="B127">
        <v>14</v>
      </c>
      <c r="C127" t="s">
        <v>172</v>
      </c>
      <c r="D127">
        <v>42</v>
      </c>
      <c r="E127" t="s">
        <v>203</v>
      </c>
      <c r="F127" s="1">
        <v>45585.885416666664</v>
      </c>
      <c r="G127" s="1">
        <v>45586.291666666664</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185A2-EE19-4859-A682-132CC1793291}">
  <dimension ref="A1:E127"/>
  <sheetViews>
    <sheetView workbookViewId="0">
      <selection sqref="A1:E127"/>
    </sheetView>
  </sheetViews>
  <sheetFormatPr defaultRowHeight="15" x14ac:dyDescent="0.25"/>
  <cols>
    <col min="1" max="1" width="10.7109375" bestFit="1" customWidth="1"/>
    <col min="2" max="2" width="6.5703125" bestFit="1" customWidth="1"/>
    <col min="3" max="3" width="8.28515625" bestFit="1" customWidth="1"/>
    <col min="5" max="5" width="11.140625" bestFit="1" customWidth="1"/>
  </cols>
  <sheetData>
    <row r="1" spans="1:5" x14ac:dyDescent="0.25">
      <c r="A1" t="s">
        <v>56</v>
      </c>
      <c r="B1" t="s">
        <v>198</v>
      </c>
      <c r="C1" t="s">
        <v>174</v>
      </c>
      <c r="D1" t="s">
        <v>199</v>
      </c>
      <c r="E1" t="s">
        <v>200</v>
      </c>
    </row>
    <row r="2" spans="1:5" x14ac:dyDescent="0.25">
      <c r="A2" s="2">
        <v>45572</v>
      </c>
      <c r="B2">
        <v>1</v>
      </c>
      <c r="C2" t="s">
        <v>6</v>
      </c>
      <c r="D2">
        <v>1</v>
      </c>
      <c r="E2" t="s">
        <v>201</v>
      </c>
    </row>
    <row r="3" spans="1:5" x14ac:dyDescent="0.25">
      <c r="A3" s="2">
        <v>45572</v>
      </c>
      <c r="B3">
        <v>1</v>
      </c>
      <c r="C3" t="s">
        <v>6</v>
      </c>
      <c r="D3">
        <v>1</v>
      </c>
      <c r="E3" t="s">
        <v>202</v>
      </c>
    </row>
    <row r="4" spans="1:5" x14ac:dyDescent="0.25">
      <c r="A4" s="2">
        <v>45572</v>
      </c>
      <c r="B4">
        <v>1</v>
      </c>
      <c r="C4" t="s">
        <v>6</v>
      </c>
      <c r="D4">
        <v>1</v>
      </c>
      <c r="E4" t="s">
        <v>203</v>
      </c>
    </row>
    <row r="5" spans="1:5" x14ac:dyDescent="0.25">
      <c r="A5" s="2">
        <v>45572</v>
      </c>
      <c r="B5">
        <v>1</v>
      </c>
      <c r="C5" t="s">
        <v>171</v>
      </c>
      <c r="D5">
        <v>2</v>
      </c>
      <c r="E5" t="s">
        <v>201</v>
      </c>
    </row>
    <row r="6" spans="1:5" x14ac:dyDescent="0.25">
      <c r="A6" s="2">
        <v>45572</v>
      </c>
      <c r="B6">
        <v>1</v>
      </c>
      <c r="C6" t="s">
        <v>171</v>
      </c>
      <c r="D6">
        <v>2</v>
      </c>
      <c r="E6" t="s">
        <v>202</v>
      </c>
    </row>
    <row r="7" spans="1:5" x14ac:dyDescent="0.25">
      <c r="A7" s="2">
        <v>45572</v>
      </c>
      <c r="B7">
        <v>1</v>
      </c>
      <c r="C7" t="s">
        <v>171</v>
      </c>
      <c r="D7">
        <v>2</v>
      </c>
      <c r="E7" t="s">
        <v>203</v>
      </c>
    </row>
    <row r="8" spans="1:5" x14ac:dyDescent="0.25">
      <c r="A8" s="2">
        <v>45572</v>
      </c>
      <c r="B8">
        <v>1</v>
      </c>
      <c r="C8" t="s">
        <v>172</v>
      </c>
      <c r="D8">
        <v>3</v>
      </c>
      <c r="E8" t="s">
        <v>201</v>
      </c>
    </row>
    <row r="9" spans="1:5" x14ac:dyDescent="0.25">
      <c r="A9" s="2">
        <v>45572</v>
      </c>
      <c r="B9">
        <v>1</v>
      </c>
      <c r="C9" t="s">
        <v>172</v>
      </c>
      <c r="D9">
        <v>3</v>
      </c>
      <c r="E9" t="s">
        <v>202</v>
      </c>
    </row>
    <row r="10" spans="1:5" x14ac:dyDescent="0.25">
      <c r="A10" s="2">
        <v>45572</v>
      </c>
      <c r="B10">
        <v>1</v>
      </c>
      <c r="C10" t="s">
        <v>172</v>
      </c>
      <c r="D10">
        <v>3</v>
      </c>
      <c r="E10" t="s">
        <v>203</v>
      </c>
    </row>
    <row r="11" spans="1:5" x14ac:dyDescent="0.25">
      <c r="A11" s="2">
        <v>45573</v>
      </c>
      <c r="B11">
        <v>2</v>
      </c>
      <c r="C11" t="s">
        <v>6</v>
      </c>
      <c r="D11">
        <v>4</v>
      </c>
      <c r="E11" t="s">
        <v>201</v>
      </c>
    </row>
    <row r="12" spans="1:5" x14ac:dyDescent="0.25">
      <c r="A12" s="2">
        <v>45573</v>
      </c>
      <c r="B12">
        <v>2</v>
      </c>
      <c r="C12" t="s">
        <v>6</v>
      </c>
      <c r="D12">
        <v>4</v>
      </c>
      <c r="E12" t="s">
        <v>202</v>
      </c>
    </row>
    <row r="13" spans="1:5" x14ac:dyDescent="0.25">
      <c r="A13" s="2">
        <v>45573</v>
      </c>
      <c r="B13">
        <v>2</v>
      </c>
      <c r="C13" t="s">
        <v>6</v>
      </c>
      <c r="D13">
        <v>4</v>
      </c>
      <c r="E13" t="s">
        <v>203</v>
      </c>
    </row>
    <row r="14" spans="1:5" x14ac:dyDescent="0.25">
      <c r="A14" s="2">
        <v>45573</v>
      </c>
      <c r="B14">
        <v>2</v>
      </c>
      <c r="C14" t="s">
        <v>171</v>
      </c>
      <c r="D14">
        <v>5</v>
      </c>
      <c r="E14" t="s">
        <v>201</v>
      </c>
    </row>
    <row r="15" spans="1:5" x14ac:dyDescent="0.25">
      <c r="A15" s="2">
        <v>45573</v>
      </c>
      <c r="B15">
        <v>2</v>
      </c>
      <c r="C15" t="s">
        <v>171</v>
      </c>
      <c r="D15">
        <v>5</v>
      </c>
      <c r="E15" t="s">
        <v>202</v>
      </c>
    </row>
    <row r="16" spans="1:5" x14ac:dyDescent="0.25">
      <c r="A16" s="2">
        <v>45573</v>
      </c>
      <c r="B16">
        <v>2</v>
      </c>
      <c r="C16" t="s">
        <v>171</v>
      </c>
      <c r="D16">
        <v>5</v>
      </c>
      <c r="E16" t="s">
        <v>203</v>
      </c>
    </row>
    <row r="17" spans="1:5" x14ac:dyDescent="0.25">
      <c r="A17" s="2">
        <v>45573</v>
      </c>
      <c r="B17">
        <v>2</v>
      </c>
      <c r="C17" t="s">
        <v>172</v>
      </c>
      <c r="D17">
        <v>6</v>
      </c>
      <c r="E17" t="s">
        <v>201</v>
      </c>
    </row>
    <row r="18" spans="1:5" x14ac:dyDescent="0.25">
      <c r="A18" s="2">
        <v>45573</v>
      </c>
      <c r="B18">
        <v>2</v>
      </c>
      <c r="C18" t="s">
        <v>172</v>
      </c>
      <c r="D18">
        <v>6</v>
      </c>
      <c r="E18" t="s">
        <v>202</v>
      </c>
    </row>
    <row r="19" spans="1:5" x14ac:dyDescent="0.25">
      <c r="A19" s="2">
        <v>45573</v>
      </c>
      <c r="B19">
        <v>2</v>
      </c>
      <c r="C19" t="s">
        <v>172</v>
      </c>
      <c r="D19">
        <v>6</v>
      </c>
      <c r="E19" t="s">
        <v>203</v>
      </c>
    </row>
    <row r="20" spans="1:5" x14ac:dyDescent="0.25">
      <c r="A20" s="2">
        <v>45574</v>
      </c>
      <c r="B20">
        <v>3</v>
      </c>
      <c r="C20" t="s">
        <v>6</v>
      </c>
      <c r="D20">
        <v>7</v>
      </c>
      <c r="E20" t="s">
        <v>201</v>
      </c>
    </row>
    <row r="21" spans="1:5" x14ac:dyDescent="0.25">
      <c r="A21" s="2">
        <v>45574</v>
      </c>
      <c r="B21">
        <v>3</v>
      </c>
      <c r="C21" t="s">
        <v>6</v>
      </c>
      <c r="D21">
        <v>7</v>
      </c>
      <c r="E21" t="s">
        <v>202</v>
      </c>
    </row>
    <row r="22" spans="1:5" x14ac:dyDescent="0.25">
      <c r="A22" s="2">
        <v>45574</v>
      </c>
      <c r="B22">
        <v>3</v>
      </c>
      <c r="C22" t="s">
        <v>6</v>
      </c>
      <c r="D22">
        <v>7</v>
      </c>
      <c r="E22" t="s">
        <v>203</v>
      </c>
    </row>
    <row r="23" spans="1:5" x14ac:dyDescent="0.25">
      <c r="A23" s="2">
        <v>45574</v>
      </c>
      <c r="B23">
        <v>3</v>
      </c>
      <c r="C23" t="s">
        <v>171</v>
      </c>
      <c r="D23">
        <v>8</v>
      </c>
      <c r="E23" t="s">
        <v>201</v>
      </c>
    </row>
    <row r="24" spans="1:5" x14ac:dyDescent="0.25">
      <c r="A24" s="2">
        <v>45574</v>
      </c>
      <c r="B24">
        <v>3</v>
      </c>
      <c r="C24" t="s">
        <v>171</v>
      </c>
      <c r="D24">
        <v>8</v>
      </c>
      <c r="E24" t="s">
        <v>202</v>
      </c>
    </row>
    <row r="25" spans="1:5" x14ac:dyDescent="0.25">
      <c r="A25" s="2">
        <v>45574</v>
      </c>
      <c r="B25">
        <v>3</v>
      </c>
      <c r="C25" t="s">
        <v>171</v>
      </c>
      <c r="D25">
        <v>8</v>
      </c>
      <c r="E25" t="s">
        <v>203</v>
      </c>
    </row>
    <row r="26" spans="1:5" x14ac:dyDescent="0.25">
      <c r="A26" s="2">
        <v>45574</v>
      </c>
      <c r="B26">
        <v>3</v>
      </c>
      <c r="C26" t="s">
        <v>172</v>
      </c>
      <c r="D26">
        <v>9</v>
      </c>
      <c r="E26" t="s">
        <v>201</v>
      </c>
    </row>
    <row r="27" spans="1:5" x14ac:dyDescent="0.25">
      <c r="A27" s="2">
        <v>45574</v>
      </c>
      <c r="B27">
        <v>3</v>
      </c>
      <c r="C27" t="s">
        <v>172</v>
      </c>
      <c r="D27">
        <v>9</v>
      </c>
      <c r="E27" t="s">
        <v>202</v>
      </c>
    </row>
    <row r="28" spans="1:5" x14ac:dyDescent="0.25">
      <c r="A28" s="2">
        <v>45574</v>
      </c>
      <c r="B28">
        <v>3</v>
      </c>
      <c r="C28" t="s">
        <v>172</v>
      </c>
      <c r="D28">
        <v>9</v>
      </c>
      <c r="E28" t="s">
        <v>203</v>
      </c>
    </row>
    <row r="29" spans="1:5" x14ac:dyDescent="0.25">
      <c r="A29" s="2">
        <v>45575</v>
      </c>
      <c r="B29">
        <v>4</v>
      </c>
      <c r="C29" t="s">
        <v>6</v>
      </c>
      <c r="D29">
        <v>10</v>
      </c>
      <c r="E29" t="s">
        <v>201</v>
      </c>
    </row>
    <row r="30" spans="1:5" x14ac:dyDescent="0.25">
      <c r="A30" s="2">
        <v>45575</v>
      </c>
      <c r="B30">
        <v>4</v>
      </c>
      <c r="C30" t="s">
        <v>6</v>
      </c>
      <c r="D30">
        <v>10</v>
      </c>
      <c r="E30" t="s">
        <v>202</v>
      </c>
    </row>
    <row r="31" spans="1:5" x14ac:dyDescent="0.25">
      <c r="A31" s="2">
        <v>45575</v>
      </c>
      <c r="B31">
        <v>4</v>
      </c>
      <c r="C31" t="s">
        <v>6</v>
      </c>
      <c r="D31">
        <v>10</v>
      </c>
      <c r="E31" t="s">
        <v>203</v>
      </c>
    </row>
    <row r="32" spans="1:5" x14ac:dyDescent="0.25">
      <c r="A32" s="2">
        <v>45575</v>
      </c>
      <c r="B32">
        <v>4</v>
      </c>
      <c r="C32" t="s">
        <v>171</v>
      </c>
      <c r="D32">
        <v>11</v>
      </c>
      <c r="E32" t="s">
        <v>201</v>
      </c>
    </row>
    <row r="33" spans="1:5" x14ac:dyDescent="0.25">
      <c r="A33" s="2">
        <v>45575</v>
      </c>
      <c r="B33">
        <v>4</v>
      </c>
      <c r="C33" t="s">
        <v>171</v>
      </c>
      <c r="D33">
        <v>11</v>
      </c>
      <c r="E33" t="s">
        <v>202</v>
      </c>
    </row>
    <row r="34" spans="1:5" x14ac:dyDescent="0.25">
      <c r="A34" s="2">
        <v>45575</v>
      </c>
      <c r="B34">
        <v>4</v>
      </c>
      <c r="C34" t="s">
        <v>171</v>
      </c>
      <c r="D34">
        <v>11</v>
      </c>
      <c r="E34" t="s">
        <v>203</v>
      </c>
    </row>
    <row r="35" spans="1:5" x14ac:dyDescent="0.25">
      <c r="A35" s="2">
        <v>45575</v>
      </c>
      <c r="B35">
        <v>4</v>
      </c>
      <c r="C35" t="s">
        <v>172</v>
      </c>
      <c r="D35">
        <v>12</v>
      </c>
      <c r="E35" t="s">
        <v>201</v>
      </c>
    </row>
    <row r="36" spans="1:5" x14ac:dyDescent="0.25">
      <c r="A36" s="2">
        <v>45575</v>
      </c>
      <c r="B36">
        <v>4</v>
      </c>
      <c r="C36" t="s">
        <v>172</v>
      </c>
      <c r="D36">
        <v>12</v>
      </c>
      <c r="E36" t="s">
        <v>202</v>
      </c>
    </row>
    <row r="37" spans="1:5" x14ac:dyDescent="0.25">
      <c r="A37" s="2">
        <v>45575</v>
      </c>
      <c r="B37">
        <v>4</v>
      </c>
      <c r="C37" t="s">
        <v>172</v>
      </c>
      <c r="D37">
        <v>12</v>
      </c>
      <c r="E37" t="s">
        <v>203</v>
      </c>
    </row>
    <row r="38" spans="1:5" x14ac:dyDescent="0.25">
      <c r="A38" s="2">
        <v>45576</v>
      </c>
      <c r="B38">
        <v>5</v>
      </c>
      <c r="C38" t="s">
        <v>6</v>
      </c>
      <c r="D38">
        <v>13</v>
      </c>
      <c r="E38" t="s">
        <v>201</v>
      </c>
    </row>
    <row r="39" spans="1:5" x14ac:dyDescent="0.25">
      <c r="A39" s="2">
        <v>45576</v>
      </c>
      <c r="B39">
        <v>5</v>
      </c>
      <c r="C39" t="s">
        <v>6</v>
      </c>
      <c r="D39">
        <v>13</v>
      </c>
      <c r="E39" t="s">
        <v>202</v>
      </c>
    </row>
    <row r="40" spans="1:5" x14ac:dyDescent="0.25">
      <c r="A40" s="2">
        <v>45576</v>
      </c>
      <c r="B40">
        <v>5</v>
      </c>
      <c r="C40" t="s">
        <v>6</v>
      </c>
      <c r="D40">
        <v>13</v>
      </c>
      <c r="E40" t="s">
        <v>203</v>
      </c>
    </row>
    <row r="41" spans="1:5" x14ac:dyDescent="0.25">
      <c r="A41" s="2">
        <v>45576</v>
      </c>
      <c r="B41">
        <v>5</v>
      </c>
      <c r="C41" t="s">
        <v>171</v>
      </c>
      <c r="D41">
        <v>14</v>
      </c>
      <c r="E41" t="s">
        <v>201</v>
      </c>
    </row>
    <row r="42" spans="1:5" x14ac:dyDescent="0.25">
      <c r="A42" s="2">
        <v>45576</v>
      </c>
      <c r="B42">
        <v>5</v>
      </c>
      <c r="C42" t="s">
        <v>171</v>
      </c>
      <c r="D42">
        <v>14</v>
      </c>
      <c r="E42" t="s">
        <v>202</v>
      </c>
    </row>
    <row r="43" spans="1:5" x14ac:dyDescent="0.25">
      <c r="A43" s="2">
        <v>45576</v>
      </c>
      <c r="B43">
        <v>5</v>
      </c>
      <c r="C43" t="s">
        <v>171</v>
      </c>
      <c r="D43">
        <v>14</v>
      </c>
      <c r="E43" t="s">
        <v>203</v>
      </c>
    </row>
    <row r="44" spans="1:5" x14ac:dyDescent="0.25">
      <c r="A44" s="2">
        <v>45576</v>
      </c>
      <c r="B44">
        <v>5</v>
      </c>
      <c r="C44" t="s">
        <v>172</v>
      </c>
      <c r="D44">
        <v>15</v>
      </c>
      <c r="E44" t="s">
        <v>201</v>
      </c>
    </row>
    <row r="45" spans="1:5" x14ac:dyDescent="0.25">
      <c r="A45" s="2">
        <v>45576</v>
      </c>
      <c r="B45">
        <v>5</v>
      </c>
      <c r="C45" t="s">
        <v>172</v>
      </c>
      <c r="D45">
        <v>15</v>
      </c>
      <c r="E45" t="s">
        <v>202</v>
      </c>
    </row>
    <row r="46" spans="1:5" x14ac:dyDescent="0.25">
      <c r="A46" s="2">
        <v>45576</v>
      </c>
      <c r="B46">
        <v>5</v>
      </c>
      <c r="C46" t="s">
        <v>172</v>
      </c>
      <c r="D46">
        <v>15</v>
      </c>
      <c r="E46" t="s">
        <v>203</v>
      </c>
    </row>
    <row r="47" spans="1:5" x14ac:dyDescent="0.25">
      <c r="A47" s="2">
        <v>45577</v>
      </c>
      <c r="B47">
        <v>6</v>
      </c>
      <c r="C47" t="s">
        <v>6</v>
      </c>
      <c r="D47">
        <v>16</v>
      </c>
      <c r="E47" t="s">
        <v>201</v>
      </c>
    </row>
    <row r="48" spans="1:5" x14ac:dyDescent="0.25">
      <c r="A48" s="2">
        <v>45577</v>
      </c>
      <c r="B48">
        <v>6</v>
      </c>
      <c r="C48" t="s">
        <v>6</v>
      </c>
      <c r="D48">
        <v>16</v>
      </c>
      <c r="E48" t="s">
        <v>202</v>
      </c>
    </row>
    <row r="49" spans="1:5" x14ac:dyDescent="0.25">
      <c r="A49" s="2">
        <v>45577</v>
      </c>
      <c r="B49">
        <v>6</v>
      </c>
      <c r="C49" t="s">
        <v>6</v>
      </c>
      <c r="D49">
        <v>16</v>
      </c>
      <c r="E49" t="s">
        <v>203</v>
      </c>
    </row>
    <row r="50" spans="1:5" x14ac:dyDescent="0.25">
      <c r="A50" s="2">
        <v>45577</v>
      </c>
      <c r="B50">
        <v>6</v>
      </c>
      <c r="C50" t="s">
        <v>171</v>
      </c>
      <c r="D50">
        <v>17</v>
      </c>
      <c r="E50" t="s">
        <v>201</v>
      </c>
    </row>
    <row r="51" spans="1:5" x14ac:dyDescent="0.25">
      <c r="A51" s="2">
        <v>45577</v>
      </c>
      <c r="B51">
        <v>6</v>
      </c>
      <c r="C51" t="s">
        <v>171</v>
      </c>
      <c r="D51">
        <v>17</v>
      </c>
      <c r="E51" t="s">
        <v>202</v>
      </c>
    </row>
    <row r="52" spans="1:5" x14ac:dyDescent="0.25">
      <c r="A52" s="2">
        <v>45577</v>
      </c>
      <c r="B52">
        <v>6</v>
      </c>
      <c r="C52" t="s">
        <v>171</v>
      </c>
      <c r="D52">
        <v>17</v>
      </c>
      <c r="E52" t="s">
        <v>203</v>
      </c>
    </row>
    <row r="53" spans="1:5" x14ac:dyDescent="0.25">
      <c r="A53" s="2">
        <v>45577</v>
      </c>
      <c r="B53">
        <v>6</v>
      </c>
      <c r="C53" t="s">
        <v>172</v>
      </c>
      <c r="D53">
        <v>18</v>
      </c>
      <c r="E53" t="s">
        <v>201</v>
      </c>
    </row>
    <row r="54" spans="1:5" x14ac:dyDescent="0.25">
      <c r="A54" s="2">
        <v>45577</v>
      </c>
      <c r="B54">
        <v>6</v>
      </c>
      <c r="C54" t="s">
        <v>172</v>
      </c>
      <c r="D54">
        <v>18</v>
      </c>
      <c r="E54" t="s">
        <v>202</v>
      </c>
    </row>
    <row r="55" spans="1:5" x14ac:dyDescent="0.25">
      <c r="A55" s="2">
        <v>45577</v>
      </c>
      <c r="B55">
        <v>6</v>
      </c>
      <c r="C55" t="s">
        <v>172</v>
      </c>
      <c r="D55">
        <v>18</v>
      </c>
      <c r="E55" t="s">
        <v>203</v>
      </c>
    </row>
    <row r="56" spans="1:5" x14ac:dyDescent="0.25">
      <c r="A56" s="2">
        <v>45578</v>
      </c>
      <c r="B56">
        <v>7</v>
      </c>
      <c r="C56" t="s">
        <v>6</v>
      </c>
      <c r="D56">
        <v>19</v>
      </c>
      <c r="E56" t="s">
        <v>201</v>
      </c>
    </row>
    <row r="57" spans="1:5" x14ac:dyDescent="0.25">
      <c r="A57" s="2">
        <v>45578</v>
      </c>
      <c r="B57">
        <v>7</v>
      </c>
      <c r="C57" t="s">
        <v>6</v>
      </c>
      <c r="D57">
        <v>19</v>
      </c>
      <c r="E57" t="s">
        <v>202</v>
      </c>
    </row>
    <row r="58" spans="1:5" x14ac:dyDescent="0.25">
      <c r="A58" s="2">
        <v>45578</v>
      </c>
      <c r="B58">
        <v>7</v>
      </c>
      <c r="C58" t="s">
        <v>6</v>
      </c>
      <c r="D58">
        <v>19</v>
      </c>
      <c r="E58" t="s">
        <v>203</v>
      </c>
    </row>
    <row r="59" spans="1:5" x14ac:dyDescent="0.25">
      <c r="A59" s="2">
        <v>45578</v>
      </c>
      <c r="B59">
        <v>7</v>
      </c>
      <c r="C59" t="s">
        <v>171</v>
      </c>
      <c r="D59">
        <v>20</v>
      </c>
      <c r="E59" t="s">
        <v>201</v>
      </c>
    </row>
    <row r="60" spans="1:5" x14ac:dyDescent="0.25">
      <c r="A60" s="2">
        <v>45578</v>
      </c>
      <c r="B60">
        <v>7</v>
      </c>
      <c r="C60" t="s">
        <v>171</v>
      </c>
      <c r="D60">
        <v>20</v>
      </c>
      <c r="E60" t="s">
        <v>202</v>
      </c>
    </row>
    <row r="61" spans="1:5" x14ac:dyDescent="0.25">
      <c r="A61" s="2">
        <v>45578</v>
      </c>
      <c r="B61">
        <v>7</v>
      </c>
      <c r="C61" t="s">
        <v>171</v>
      </c>
      <c r="D61">
        <v>20</v>
      </c>
      <c r="E61" t="s">
        <v>203</v>
      </c>
    </row>
    <row r="62" spans="1:5" x14ac:dyDescent="0.25">
      <c r="A62" s="2">
        <v>45578</v>
      </c>
      <c r="B62">
        <v>7</v>
      </c>
      <c r="C62" t="s">
        <v>172</v>
      </c>
      <c r="D62">
        <v>21</v>
      </c>
      <c r="E62" t="s">
        <v>201</v>
      </c>
    </row>
    <row r="63" spans="1:5" x14ac:dyDescent="0.25">
      <c r="A63" s="2">
        <v>45578</v>
      </c>
      <c r="B63">
        <v>7</v>
      </c>
      <c r="C63" t="s">
        <v>172</v>
      </c>
      <c r="D63">
        <v>21</v>
      </c>
      <c r="E63" t="s">
        <v>202</v>
      </c>
    </row>
    <row r="64" spans="1:5" x14ac:dyDescent="0.25">
      <c r="A64" s="2">
        <v>45578</v>
      </c>
      <c r="B64">
        <v>7</v>
      </c>
      <c r="C64" t="s">
        <v>172</v>
      </c>
      <c r="D64">
        <v>21</v>
      </c>
      <c r="E64" t="s">
        <v>203</v>
      </c>
    </row>
    <row r="65" spans="1:5" x14ac:dyDescent="0.25">
      <c r="A65" s="2">
        <v>45579</v>
      </c>
      <c r="B65">
        <v>8</v>
      </c>
      <c r="C65" t="s">
        <v>6</v>
      </c>
      <c r="D65">
        <v>22</v>
      </c>
      <c r="E65" t="s">
        <v>201</v>
      </c>
    </row>
    <row r="66" spans="1:5" x14ac:dyDescent="0.25">
      <c r="A66" s="2">
        <v>45579</v>
      </c>
      <c r="B66">
        <v>8</v>
      </c>
      <c r="C66" t="s">
        <v>6</v>
      </c>
      <c r="D66">
        <v>22</v>
      </c>
      <c r="E66" t="s">
        <v>202</v>
      </c>
    </row>
    <row r="67" spans="1:5" x14ac:dyDescent="0.25">
      <c r="A67" s="2">
        <v>45579</v>
      </c>
      <c r="B67">
        <v>8</v>
      </c>
      <c r="C67" t="s">
        <v>6</v>
      </c>
      <c r="D67">
        <v>22</v>
      </c>
      <c r="E67" t="s">
        <v>203</v>
      </c>
    </row>
    <row r="68" spans="1:5" x14ac:dyDescent="0.25">
      <c r="A68" s="2">
        <v>45579</v>
      </c>
      <c r="B68">
        <v>8</v>
      </c>
      <c r="C68" t="s">
        <v>171</v>
      </c>
      <c r="D68">
        <v>23</v>
      </c>
      <c r="E68" t="s">
        <v>201</v>
      </c>
    </row>
    <row r="69" spans="1:5" x14ac:dyDescent="0.25">
      <c r="A69" s="2">
        <v>45579</v>
      </c>
      <c r="B69">
        <v>8</v>
      </c>
      <c r="C69" t="s">
        <v>171</v>
      </c>
      <c r="D69">
        <v>23</v>
      </c>
      <c r="E69" t="s">
        <v>202</v>
      </c>
    </row>
    <row r="70" spans="1:5" x14ac:dyDescent="0.25">
      <c r="A70" s="2">
        <v>45579</v>
      </c>
      <c r="B70">
        <v>8</v>
      </c>
      <c r="C70" t="s">
        <v>171</v>
      </c>
      <c r="D70">
        <v>23</v>
      </c>
      <c r="E70" t="s">
        <v>203</v>
      </c>
    </row>
    <row r="71" spans="1:5" x14ac:dyDescent="0.25">
      <c r="A71" s="2">
        <v>45579</v>
      </c>
      <c r="B71">
        <v>8</v>
      </c>
      <c r="C71" t="s">
        <v>172</v>
      </c>
      <c r="D71">
        <v>24</v>
      </c>
      <c r="E71" t="s">
        <v>201</v>
      </c>
    </row>
    <row r="72" spans="1:5" x14ac:dyDescent="0.25">
      <c r="A72" s="2">
        <v>45579</v>
      </c>
      <c r="B72">
        <v>8</v>
      </c>
      <c r="C72" t="s">
        <v>172</v>
      </c>
      <c r="D72">
        <v>24</v>
      </c>
      <c r="E72" t="s">
        <v>202</v>
      </c>
    </row>
    <row r="73" spans="1:5" x14ac:dyDescent="0.25">
      <c r="A73" s="2">
        <v>45579</v>
      </c>
      <c r="B73">
        <v>8</v>
      </c>
      <c r="C73" t="s">
        <v>172</v>
      </c>
      <c r="D73">
        <v>24</v>
      </c>
      <c r="E73" t="s">
        <v>203</v>
      </c>
    </row>
    <row r="74" spans="1:5" x14ac:dyDescent="0.25">
      <c r="A74" s="2">
        <v>45580</v>
      </c>
      <c r="B74">
        <v>9</v>
      </c>
      <c r="C74" t="s">
        <v>6</v>
      </c>
      <c r="D74">
        <v>25</v>
      </c>
      <c r="E74" t="s">
        <v>201</v>
      </c>
    </row>
    <row r="75" spans="1:5" x14ac:dyDescent="0.25">
      <c r="A75" s="2">
        <v>45580</v>
      </c>
      <c r="B75">
        <v>9</v>
      </c>
      <c r="C75" t="s">
        <v>6</v>
      </c>
      <c r="D75">
        <v>25</v>
      </c>
      <c r="E75" t="s">
        <v>202</v>
      </c>
    </row>
    <row r="76" spans="1:5" x14ac:dyDescent="0.25">
      <c r="A76" s="2">
        <v>45580</v>
      </c>
      <c r="B76">
        <v>9</v>
      </c>
      <c r="C76" t="s">
        <v>6</v>
      </c>
      <c r="D76">
        <v>25</v>
      </c>
      <c r="E76" t="s">
        <v>203</v>
      </c>
    </row>
    <row r="77" spans="1:5" x14ac:dyDescent="0.25">
      <c r="A77" s="2">
        <v>45580</v>
      </c>
      <c r="B77">
        <v>9</v>
      </c>
      <c r="C77" t="s">
        <v>171</v>
      </c>
      <c r="D77">
        <v>26</v>
      </c>
      <c r="E77" t="s">
        <v>201</v>
      </c>
    </row>
    <row r="78" spans="1:5" x14ac:dyDescent="0.25">
      <c r="A78" s="2">
        <v>45580</v>
      </c>
      <c r="B78">
        <v>9</v>
      </c>
      <c r="C78" t="s">
        <v>171</v>
      </c>
      <c r="D78">
        <v>26</v>
      </c>
      <c r="E78" t="s">
        <v>202</v>
      </c>
    </row>
    <row r="79" spans="1:5" x14ac:dyDescent="0.25">
      <c r="A79" s="2">
        <v>45580</v>
      </c>
      <c r="B79">
        <v>9</v>
      </c>
      <c r="C79" t="s">
        <v>171</v>
      </c>
      <c r="D79">
        <v>26</v>
      </c>
      <c r="E79" t="s">
        <v>203</v>
      </c>
    </row>
    <row r="80" spans="1:5" x14ac:dyDescent="0.25">
      <c r="A80" s="2">
        <v>45580</v>
      </c>
      <c r="B80">
        <v>9</v>
      </c>
      <c r="C80" t="s">
        <v>172</v>
      </c>
      <c r="D80">
        <v>27</v>
      </c>
      <c r="E80" t="s">
        <v>201</v>
      </c>
    </row>
    <row r="81" spans="1:5" x14ac:dyDescent="0.25">
      <c r="A81" s="2">
        <v>45580</v>
      </c>
      <c r="B81">
        <v>9</v>
      </c>
      <c r="C81" t="s">
        <v>172</v>
      </c>
      <c r="D81">
        <v>27</v>
      </c>
      <c r="E81" t="s">
        <v>202</v>
      </c>
    </row>
    <row r="82" spans="1:5" x14ac:dyDescent="0.25">
      <c r="A82" s="2">
        <v>45580</v>
      </c>
      <c r="B82">
        <v>9</v>
      </c>
      <c r="C82" t="s">
        <v>172</v>
      </c>
      <c r="D82">
        <v>27</v>
      </c>
      <c r="E82" t="s">
        <v>203</v>
      </c>
    </row>
    <row r="83" spans="1:5" x14ac:dyDescent="0.25">
      <c r="A83" s="2">
        <v>45581</v>
      </c>
      <c r="B83">
        <v>10</v>
      </c>
      <c r="C83" t="s">
        <v>6</v>
      </c>
      <c r="D83">
        <v>28</v>
      </c>
      <c r="E83" t="s">
        <v>201</v>
      </c>
    </row>
    <row r="84" spans="1:5" x14ac:dyDescent="0.25">
      <c r="A84" s="2">
        <v>45581</v>
      </c>
      <c r="B84">
        <v>10</v>
      </c>
      <c r="C84" t="s">
        <v>6</v>
      </c>
      <c r="D84">
        <v>28</v>
      </c>
      <c r="E84" t="s">
        <v>202</v>
      </c>
    </row>
    <row r="85" spans="1:5" x14ac:dyDescent="0.25">
      <c r="A85" s="2">
        <v>45581</v>
      </c>
      <c r="B85">
        <v>10</v>
      </c>
      <c r="C85" t="s">
        <v>6</v>
      </c>
      <c r="D85">
        <v>28</v>
      </c>
      <c r="E85" t="s">
        <v>203</v>
      </c>
    </row>
    <row r="86" spans="1:5" x14ac:dyDescent="0.25">
      <c r="A86" s="2">
        <v>45581</v>
      </c>
      <c r="B86">
        <v>10</v>
      </c>
      <c r="C86" t="s">
        <v>171</v>
      </c>
      <c r="D86">
        <v>29</v>
      </c>
      <c r="E86" t="s">
        <v>201</v>
      </c>
    </row>
    <row r="87" spans="1:5" x14ac:dyDescent="0.25">
      <c r="A87" s="2">
        <v>45581</v>
      </c>
      <c r="B87">
        <v>10</v>
      </c>
      <c r="C87" t="s">
        <v>171</v>
      </c>
      <c r="D87">
        <v>29</v>
      </c>
      <c r="E87" t="s">
        <v>202</v>
      </c>
    </row>
    <row r="88" spans="1:5" x14ac:dyDescent="0.25">
      <c r="A88" s="2">
        <v>45581</v>
      </c>
      <c r="B88">
        <v>10</v>
      </c>
      <c r="C88" t="s">
        <v>171</v>
      </c>
      <c r="D88">
        <v>29</v>
      </c>
      <c r="E88" t="s">
        <v>203</v>
      </c>
    </row>
    <row r="89" spans="1:5" x14ac:dyDescent="0.25">
      <c r="A89" s="2">
        <v>45581</v>
      </c>
      <c r="B89">
        <v>10</v>
      </c>
      <c r="C89" t="s">
        <v>172</v>
      </c>
      <c r="D89">
        <v>30</v>
      </c>
      <c r="E89" t="s">
        <v>201</v>
      </c>
    </row>
    <row r="90" spans="1:5" x14ac:dyDescent="0.25">
      <c r="A90" s="2">
        <v>45581</v>
      </c>
      <c r="B90">
        <v>10</v>
      </c>
      <c r="C90" t="s">
        <v>172</v>
      </c>
      <c r="D90">
        <v>30</v>
      </c>
      <c r="E90" t="s">
        <v>202</v>
      </c>
    </row>
    <row r="91" spans="1:5" x14ac:dyDescent="0.25">
      <c r="A91" s="2">
        <v>45581</v>
      </c>
      <c r="B91">
        <v>10</v>
      </c>
      <c r="C91" t="s">
        <v>172</v>
      </c>
      <c r="D91">
        <v>30</v>
      </c>
      <c r="E91" t="s">
        <v>203</v>
      </c>
    </row>
    <row r="92" spans="1:5" x14ac:dyDescent="0.25">
      <c r="A92" s="2">
        <v>45582</v>
      </c>
      <c r="B92">
        <v>11</v>
      </c>
      <c r="C92" t="s">
        <v>6</v>
      </c>
      <c r="D92">
        <v>31</v>
      </c>
      <c r="E92" t="s">
        <v>201</v>
      </c>
    </row>
    <row r="93" spans="1:5" x14ac:dyDescent="0.25">
      <c r="A93" s="2">
        <v>45582</v>
      </c>
      <c r="B93">
        <v>11</v>
      </c>
      <c r="C93" t="s">
        <v>6</v>
      </c>
      <c r="D93">
        <v>31</v>
      </c>
      <c r="E93" t="s">
        <v>202</v>
      </c>
    </row>
    <row r="94" spans="1:5" x14ac:dyDescent="0.25">
      <c r="A94" s="2">
        <v>45582</v>
      </c>
      <c r="B94">
        <v>11</v>
      </c>
      <c r="C94" t="s">
        <v>6</v>
      </c>
      <c r="D94">
        <v>31</v>
      </c>
      <c r="E94" t="s">
        <v>203</v>
      </c>
    </row>
    <row r="95" spans="1:5" x14ac:dyDescent="0.25">
      <c r="A95" s="2">
        <v>45582</v>
      </c>
      <c r="B95">
        <v>11</v>
      </c>
      <c r="C95" t="s">
        <v>171</v>
      </c>
      <c r="D95">
        <v>32</v>
      </c>
      <c r="E95" t="s">
        <v>201</v>
      </c>
    </row>
    <row r="96" spans="1:5" x14ac:dyDescent="0.25">
      <c r="A96" s="2">
        <v>45582</v>
      </c>
      <c r="B96">
        <v>11</v>
      </c>
      <c r="C96" t="s">
        <v>171</v>
      </c>
      <c r="D96">
        <v>32</v>
      </c>
      <c r="E96" t="s">
        <v>202</v>
      </c>
    </row>
    <row r="97" spans="1:5" x14ac:dyDescent="0.25">
      <c r="A97" s="2">
        <v>45582</v>
      </c>
      <c r="B97">
        <v>11</v>
      </c>
      <c r="C97" t="s">
        <v>171</v>
      </c>
      <c r="D97">
        <v>32</v>
      </c>
      <c r="E97" t="s">
        <v>203</v>
      </c>
    </row>
    <row r="98" spans="1:5" x14ac:dyDescent="0.25">
      <c r="A98" s="2">
        <v>45582</v>
      </c>
      <c r="B98">
        <v>11</v>
      </c>
      <c r="C98" t="s">
        <v>172</v>
      </c>
      <c r="D98">
        <v>33</v>
      </c>
      <c r="E98" t="s">
        <v>201</v>
      </c>
    </row>
    <row r="99" spans="1:5" x14ac:dyDescent="0.25">
      <c r="A99" s="2">
        <v>45582</v>
      </c>
      <c r="B99">
        <v>11</v>
      </c>
      <c r="C99" t="s">
        <v>172</v>
      </c>
      <c r="D99">
        <v>33</v>
      </c>
      <c r="E99" t="s">
        <v>202</v>
      </c>
    </row>
    <row r="100" spans="1:5" x14ac:dyDescent="0.25">
      <c r="A100" s="2">
        <v>45582</v>
      </c>
      <c r="B100">
        <v>11</v>
      </c>
      <c r="C100" t="s">
        <v>172</v>
      </c>
      <c r="D100">
        <v>33</v>
      </c>
      <c r="E100" t="s">
        <v>203</v>
      </c>
    </row>
    <row r="101" spans="1:5" x14ac:dyDescent="0.25">
      <c r="A101" s="2">
        <v>45583</v>
      </c>
      <c r="B101">
        <v>12</v>
      </c>
      <c r="C101" t="s">
        <v>6</v>
      </c>
      <c r="D101">
        <v>34</v>
      </c>
      <c r="E101" t="s">
        <v>201</v>
      </c>
    </row>
    <row r="102" spans="1:5" x14ac:dyDescent="0.25">
      <c r="A102" s="2">
        <v>45583</v>
      </c>
      <c r="B102">
        <v>12</v>
      </c>
      <c r="C102" t="s">
        <v>6</v>
      </c>
      <c r="D102">
        <v>34</v>
      </c>
      <c r="E102" t="s">
        <v>202</v>
      </c>
    </row>
    <row r="103" spans="1:5" x14ac:dyDescent="0.25">
      <c r="A103" s="2">
        <v>45583</v>
      </c>
      <c r="B103">
        <v>12</v>
      </c>
      <c r="C103" t="s">
        <v>6</v>
      </c>
      <c r="D103">
        <v>34</v>
      </c>
      <c r="E103" t="s">
        <v>203</v>
      </c>
    </row>
    <row r="104" spans="1:5" x14ac:dyDescent="0.25">
      <c r="A104" s="2">
        <v>45583</v>
      </c>
      <c r="B104">
        <v>12</v>
      </c>
      <c r="C104" t="s">
        <v>171</v>
      </c>
      <c r="D104">
        <v>35</v>
      </c>
      <c r="E104" t="s">
        <v>201</v>
      </c>
    </row>
    <row r="105" spans="1:5" x14ac:dyDescent="0.25">
      <c r="A105" s="2">
        <v>45583</v>
      </c>
      <c r="B105">
        <v>12</v>
      </c>
      <c r="C105" t="s">
        <v>171</v>
      </c>
      <c r="D105">
        <v>35</v>
      </c>
      <c r="E105" t="s">
        <v>202</v>
      </c>
    </row>
    <row r="106" spans="1:5" x14ac:dyDescent="0.25">
      <c r="A106" s="2">
        <v>45583</v>
      </c>
      <c r="B106">
        <v>12</v>
      </c>
      <c r="C106" t="s">
        <v>171</v>
      </c>
      <c r="D106">
        <v>35</v>
      </c>
      <c r="E106" t="s">
        <v>203</v>
      </c>
    </row>
    <row r="107" spans="1:5" x14ac:dyDescent="0.25">
      <c r="A107" s="2">
        <v>45583</v>
      </c>
      <c r="B107">
        <v>12</v>
      </c>
      <c r="C107" t="s">
        <v>172</v>
      </c>
      <c r="D107">
        <v>36</v>
      </c>
      <c r="E107" t="s">
        <v>201</v>
      </c>
    </row>
    <row r="108" spans="1:5" x14ac:dyDescent="0.25">
      <c r="A108" s="2">
        <v>45583</v>
      </c>
      <c r="B108">
        <v>12</v>
      </c>
      <c r="C108" t="s">
        <v>172</v>
      </c>
      <c r="D108">
        <v>36</v>
      </c>
      <c r="E108" t="s">
        <v>202</v>
      </c>
    </row>
    <row r="109" spans="1:5" x14ac:dyDescent="0.25">
      <c r="A109" s="2">
        <v>45583</v>
      </c>
      <c r="B109">
        <v>12</v>
      </c>
      <c r="C109" t="s">
        <v>172</v>
      </c>
      <c r="D109">
        <v>36</v>
      </c>
      <c r="E109" t="s">
        <v>203</v>
      </c>
    </row>
    <row r="110" spans="1:5" x14ac:dyDescent="0.25">
      <c r="A110" s="2">
        <v>45584</v>
      </c>
      <c r="B110">
        <v>13</v>
      </c>
      <c r="C110" t="s">
        <v>6</v>
      </c>
      <c r="D110">
        <v>37</v>
      </c>
      <c r="E110" t="s">
        <v>201</v>
      </c>
    </row>
    <row r="111" spans="1:5" x14ac:dyDescent="0.25">
      <c r="A111" s="2">
        <v>45584</v>
      </c>
      <c r="B111">
        <v>13</v>
      </c>
      <c r="C111" t="s">
        <v>6</v>
      </c>
      <c r="D111">
        <v>37</v>
      </c>
      <c r="E111" t="s">
        <v>202</v>
      </c>
    </row>
    <row r="112" spans="1:5" x14ac:dyDescent="0.25">
      <c r="A112" s="2">
        <v>45584</v>
      </c>
      <c r="B112">
        <v>13</v>
      </c>
      <c r="C112" t="s">
        <v>6</v>
      </c>
      <c r="D112">
        <v>37</v>
      </c>
      <c r="E112" t="s">
        <v>203</v>
      </c>
    </row>
    <row r="113" spans="1:5" x14ac:dyDescent="0.25">
      <c r="A113" s="2">
        <v>45584</v>
      </c>
      <c r="B113">
        <v>13</v>
      </c>
      <c r="C113" t="s">
        <v>171</v>
      </c>
      <c r="D113">
        <v>38</v>
      </c>
      <c r="E113" t="s">
        <v>201</v>
      </c>
    </row>
    <row r="114" spans="1:5" x14ac:dyDescent="0.25">
      <c r="A114" s="2">
        <v>45584</v>
      </c>
      <c r="B114">
        <v>13</v>
      </c>
      <c r="C114" t="s">
        <v>171</v>
      </c>
      <c r="D114">
        <v>38</v>
      </c>
      <c r="E114" t="s">
        <v>202</v>
      </c>
    </row>
    <row r="115" spans="1:5" x14ac:dyDescent="0.25">
      <c r="A115" s="2">
        <v>45584</v>
      </c>
      <c r="B115">
        <v>13</v>
      </c>
      <c r="C115" t="s">
        <v>171</v>
      </c>
      <c r="D115">
        <v>38</v>
      </c>
      <c r="E115" t="s">
        <v>203</v>
      </c>
    </row>
    <row r="116" spans="1:5" x14ac:dyDescent="0.25">
      <c r="A116" s="2">
        <v>45584</v>
      </c>
      <c r="B116">
        <v>13</v>
      </c>
      <c r="C116" t="s">
        <v>172</v>
      </c>
      <c r="D116">
        <v>39</v>
      </c>
      <c r="E116" t="s">
        <v>201</v>
      </c>
    </row>
    <row r="117" spans="1:5" x14ac:dyDescent="0.25">
      <c r="A117" s="2">
        <v>45584</v>
      </c>
      <c r="B117">
        <v>13</v>
      </c>
      <c r="C117" t="s">
        <v>172</v>
      </c>
      <c r="D117">
        <v>39</v>
      </c>
      <c r="E117" t="s">
        <v>202</v>
      </c>
    </row>
    <row r="118" spans="1:5" x14ac:dyDescent="0.25">
      <c r="A118" s="2">
        <v>45584</v>
      </c>
      <c r="B118">
        <v>13</v>
      </c>
      <c r="C118" t="s">
        <v>172</v>
      </c>
      <c r="D118">
        <v>39</v>
      </c>
      <c r="E118" t="s">
        <v>203</v>
      </c>
    </row>
    <row r="119" spans="1:5" x14ac:dyDescent="0.25">
      <c r="A119" s="2">
        <v>45585</v>
      </c>
      <c r="B119">
        <v>14</v>
      </c>
      <c r="C119" t="s">
        <v>6</v>
      </c>
      <c r="D119">
        <v>40</v>
      </c>
      <c r="E119" t="s">
        <v>201</v>
      </c>
    </row>
    <row r="120" spans="1:5" x14ac:dyDescent="0.25">
      <c r="A120" s="2">
        <v>45585</v>
      </c>
      <c r="B120">
        <v>14</v>
      </c>
      <c r="C120" t="s">
        <v>6</v>
      </c>
      <c r="D120">
        <v>40</v>
      </c>
      <c r="E120" t="s">
        <v>202</v>
      </c>
    </row>
    <row r="121" spans="1:5" x14ac:dyDescent="0.25">
      <c r="A121" s="2">
        <v>45585</v>
      </c>
      <c r="B121">
        <v>14</v>
      </c>
      <c r="C121" t="s">
        <v>6</v>
      </c>
      <c r="D121">
        <v>40</v>
      </c>
      <c r="E121" t="s">
        <v>203</v>
      </c>
    </row>
    <row r="122" spans="1:5" x14ac:dyDescent="0.25">
      <c r="A122" s="2">
        <v>45585</v>
      </c>
      <c r="B122">
        <v>14</v>
      </c>
      <c r="C122" t="s">
        <v>171</v>
      </c>
      <c r="D122">
        <v>41</v>
      </c>
      <c r="E122" t="s">
        <v>201</v>
      </c>
    </row>
    <row r="123" spans="1:5" x14ac:dyDescent="0.25">
      <c r="A123" s="2">
        <v>45585</v>
      </c>
      <c r="B123">
        <v>14</v>
      </c>
      <c r="C123" t="s">
        <v>171</v>
      </c>
      <c r="D123">
        <v>41</v>
      </c>
      <c r="E123" t="s">
        <v>202</v>
      </c>
    </row>
    <row r="124" spans="1:5" x14ac:dyDescent="0.25">
      <c r="A124" s="2">
        <v>45585</v>
      </c>
      <c r="B124">
        <v>14</v>
      </c>
      <c r="C124" t="s">
        <v>171</v>
      </c>
      <c r="D124">
        <v>41</v>
      </c>
      <c r="E124" t="s">
        <v>203</v>
      </c>
    </row>
    <row r="125" spans="1:5" x14ac:dyDescent="0.25">
      <c r="A125" s="2">
        <v>45585</v>
      </c>
      <c r="B125">
        <v>14</v>
      </c>
      <c r="C125" t="s">
        <v>172</v>
      </c>
      <c r="D125">
        <v>42</v>
      </c>
      <c r="E125" t="s">
        <v>201</v>
      </c>
    </row>
    <row r="126" spans="1:5" x14ac:dyDescent="0.25">
      <c r="A126" s="2">
        <v>45585</v>
      </c>
      <c r="B126">
        <v>14</v>
      </c>
      <c r="C126" t="s">
        <v>172</v>
      </c>
      <c r="D126">
        <v>42</v>
      </c>
      <c r="E126" t="s">
        <v>202</v>
      </c>
    </row>
    <row r="127" spans="1:5" x14ac:dyDescent="0.25">
      <c r="A127" s="2">
        <v>45585</v>
      </c>
      <c r="B127">
        <v>14</v>
      </c>
      <c r="C127" t="s">
        <v>172</v>
      </c>
      <c r="D127">
        <v>42</v>
      </c>
      <c r="E127" t="s">
        <v>203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8C88-4E6C-4B34-9D8D-E8AFD644FDC0}">
  <dimension ref="A1:Y74"/>
  <sheetViews>
    <sheetView topLeftCell="G1" workbookViewId="0">
      <selection activeCell="K8" sqref="K8:Y34"/>
    </sheetView>
  </sheetViews>
  <sheetFormatPr defaultRowHeight="15" x14ac:dyDescent="0.25"/>
  <cols>
    <col min="1" max="2" width="11.140625" bestFit="1" customWidth="1"/>
    <col min="3" max="3" width="24.7109375" bestFit="1" customWidth="1"/>
    <col min="4" max="4" width="81.140625" bestFit="1" customWidth="1"/>
    <col min="5" max="5" width="22.7109375" bestFit="1" customWidth="1"/>
    <col min="6" max="6" width="34.28515625" bestFit="1" customWidth="1"/>
    <col min="7" max="7" width="30.140625" bestFit="1" customWidth="1"/>
    <col min="8" max="9" width="12" bestFit="1" customWidth="1"/>
    <col min="10" max="10" width="12.140625" bestFit="1" customWidth="1"/>
    <col min="11" max="11" width="27.5703125" bestFit="1" customWidth="1"/>
    <col min="12" max="17" width="12.140625" bestFit="1" customWidth="1"/>
    <col min="18" max="18" width="27.5703125" bestFit="1" customWidth="1"/>
    <col min="19" max="25" width="12.140625" bestFit="1" customWidth="1"/>
  </cols>
  <sheetData>
    <row r="1" spans="1:25" x14ac:dyDescent="0.25">
      <c r="A1" t="s">
        <v>57</v>
      </c>
      <c r="B1" t="s">
        <v>58</v>
      </c>
      <c r="C1" t="s">
        <v>59</v>
      </c>
      <c r="D1" t="s">
        <v>60</v>
      </c>
      <c r="E1" t="s">
        <v>61</v>
      </c>
      <c r="F1" t="s">
        <v>62</v>
      </c>
      <c r="G1" t="s">
        <v>63</v>
      </c>
      <c r="H1" t="s">
        <v>64</v>
      </c>
      <c r="I1" t="s">
        <v>65</v>
      </c>
      <c r="J1" t="s">
        <v>66</v>
      </c>
      <c r="K1" t="s">
        <v>67</v>
      </c>
      <c r="L1" t="s">
        <v>68</v>
      </c>
      <c r="M1" t="s">
        <v>69</v>
      </c>
      <c r="N1" t="s">
        <v>70</v>
      </c>
      <c r="O1" t="s">
        <v>71</v>
      </c>
      <c r="P1" t="s">
        <v>72</v>
      </c>
      <c r="Q1" t="s">
        <v>73</v>
      </c>
      <c r="R1" t="s">
        <v>74</v>
      </c>
      <c r="S1" t="s">
        <v>75</v>
      </c>
      <c r="T1" t="s">
        <v>76</v>
      </c>
      <c r="U1" t="s">
        <v>77</v>
      </c>
      <c r="V1" t="s">
        <v>78</v>
      </c>
      <c r="W1" t="s">
        <v>79</v>
      </c>
      <c r="X1" t="s">
        <v>80</v>
      </c>
      <c r="Y1" t="s">
        <v>81</v>
      </c>
    </row>
    <row r="2" spans="1:25" x14ac:dyDescent="0.25">
      <c r="C2" t="s">
        <v>98</v>
      </c>
      <c r="D2" t="s">
        <v>130</v>
      </c>
      <c r="E2" t="s">
        <v>24</v>
      </c>
      <c r="F2" t="s">
        <v>147</v>
      </c>
      <c r="G2" t="s">
        <v>38</v>
      </c>
      <c r="H2">
        <v>0.35416666666666674</v>
      </c>
      <c r="I2">
        <v>0.6875</v>
      </c>
      <c r="J2">
        <v>0.33333333333333326</v>
      </c>
      <c r="K2">
        <v>2</v>
      </c>
      <c r="L2">
        <v>2</v>
      </c>
      <c r="M2">
        <v>2</v>
      </c>
      <c r="N2">
        <v>2</v>
      </c>
      <c r="O2">
        <v>1</v>
      </c>
      <c r="R2">
        <v>2</v>
      </c>
      <c r="S2">
        <v>2</v>
      </c>
      <c r="T2">
        <v>2</v>
      </c>
      <c r="U2">
        <v>2</v>
      </c>
      <c r="V2">
        <v>1</v>
      </c>
    </row>
    <row r="3" spans="1:25" x14ac:dyDescent="0.25">
      <c r="C3" t="s">
        <v>98</v>
      </c>
      <c r="D3" t="s">
        <v>130</v>
      </c>
      <c r="E3" t="s">
        <v>24</v>
      </c>
      <c r="F3" t="s">
        <v>148</v>
      </c>
      <c r="G3" t="s">
        <v>38</v>
      </c>
      <c r="H3">
        <v>0.35416666666666674</v>
      </c>
      <c r="I3">
        <v>0.70833333333333326</v>
      </c>
      <c r="J3">
        <v>0.35416666666666674</v>
      </c>
      <c r="O3">
        <v>1</v>
      </c>
      <c r="V3">
        <v>1</v>
      </c>
    </row>
    <row r="4" spans="1:25" x14ac:dyDescent="0.25">
      <c r="C4" t="s">
        <v>98</v>
      </c>
      <c r="D4" t="s">
        <v>130</v>
      </c>
      <c r="E4" t="s">
        <v>24</v>
      </c>
      <c r="F4" t="s">
        <v>149</v>
      </c>
      <c r="G4" t="s">
        <v>38</v>
      </c>
      <c r="H4">
        <v>0.29166666666666674</v>
      </c>
      <c r="I4">
        <v>0.625</v>
      </c>
      <c r="J4">
        <v>0.33333333333333326</v>
      </c>
      <c r="K4">
        <v>1</v>
      </c>
      <c r="L4">
        <v>1</v>
      </c>
      <c r="M4">
        <v>1</v>
      </c>
      <c r="N4">
        <v>1</v>
      </c>
      <c r="R4">
        <v>1</v>
      </c>
      <c r="S4">
        <v>1</v>
      </c>
      <c r="T4">
        <v>1</v>
      </c>
      <c r="U4">
        <v>1</v>
      </c>
    </row>
    <row r="5" spans="1:25" x14ac:dyDescent="0.25">
      <c r="C5" t="s">
        <v>98</v>
      </c>
      <c r="D5" t="s">
        <v>130</v>
      </c>
      <c r="E5" t="s">
        <v>24</v>
      </c>
      <c r="F5" t="s">
        <v>134</v>
      </c>
      <c r="G5" t="s">
        <v>34</v>
      </c>
      <c r="H5">
        <v>0.3125</v>
      </c>
      <c r="I5">
        <v>0.66666666666666674</v>
      </c>
      <c r="J5">
        <v>0.35416666666666674</v>
      </c>
      <c r="K5">
        <v>1</v>
      </c>
      <c r="L5">
        <v>1</v>
      </c>
      <c r="M5">
        <v>1</v>
      </c>
      <c r="R5">
        <v>1</v>
      </c>
      <c r="S5">
        <v>1</v>
      </c>
      <c r="T5">
        <v>1</v>
      </c>
    </row>
    <row r="6" spans="1:25" x14ac:dyDescent="0.25">
      <c r="C6" t="s">
        <v>98</v>
      </c>
      <c r="D6" t="s">
        <v>130</v>
      </c>
      <c r="E6" t="s">
        <v>24</v>
      </c>
      <c r="F6" t="s">
        <v>135</v>
      </c>
      <c r="G6" t="s">
        <v>34</v>
      </c>
      <c r="H6">
        <v>0.3125</v>
      </c>
      <c r="I6">
        <v>0.625</v>
      </c>
      <c r="J6">
        <v>0.3125</v>
      </c>
      <c r="N6">
        <v>1</v>
      </c>
      <c r="O6">
        <v>1</v>
      </c>
      <c r="U6">
        <v>1</v>
      </c>
      <c r="V6">
        <v>1</v>
      </c>
    </row>
    <row r="7" spans="1:25" x14ac:dyDescent="0.25">
      <c r="C7" t="s">
        <v>98</v>
      </c>
      <c r="D7" t="s">
        <v>141</v>
      </c>
      <c r="E7" t="s">
        <v>24</v>
      </c>
      <c r="F7" t="s">
        <v>143</v>
      </c>
      <c r="G7" t="s">
        <v>36</v>
      </c>
      <c r="H7">
        <v>0.35416666666666674</v>
      </c>
      <c r="I7">
        <v>0.70833333333333326</v>
      </c>
      <c r="J7">
        <v>0.35416666666666674</v>
      </c>
      <c r="K7">
        <v>1</v>
      </c>
      <c r="L7">
        <v>1</v>
      </c>
      <c r="M7">
        <v>1</v>
      </c>
      <c r="N7">
        <v>1</v>
      </c>
      <c r="O7">
        <v>1</v>
      </c>
      <c r="R7">
        <v>1</v>
      </c>
      <c r="S7">
        <v>1</v>
      </c>
      <c r="T7">
        <v>1</v>
      </c>
      <c r="U7">
        <v>1</v>
      </c>
    </row>
    <row r="8" spans="1:25" x14ac:dyDescent="0.25">
      <c r="C8" t="s">
        <v>98</v>
      </c>
      <c r="D8" t="s">
        <v>99</v>
      </c>
      <c r="E8" t="s">
        <v>22</v>
      </c>
      <c r="F8" t="s">
        <v>137</v>
      </c>
      <c r="G8" t="s">
        <v>8</v>
      </c>
      <c r="H8">
        <v>0.94791666666666674</v>
      </c>
      <c r="I8">
        <v>0.28125</v>
      </c>
      <c r="J8">
        <v>0.33333333333333326</v>
      </c>
      <c r="K8">
        <v>1</v>
      </c>
      <c r="L8">
        <v>1</v>
      </c>
      <c r="M8">
        <v>1</v>
      </c>
      <c r="N8">
        <v>1</v>
      </c>
      <c r="O8">
        <v>1</v>
      </c>
      <c r="P8">
        <v>1</v>
      </c>
      <c r="Q8">
        <v>1</v>
      </c>
      <c r="R8">
        <v>1</v>
      </c>
      <c r="S8">
        <v>1</v>
      </c>
      <c r="T8">
        <v>1</v>
      </c>
      <c r="U8">
        <v>1</v>
      </c>
      <c r="V8">
        <v>1</v>
      </c>
      <c r="W8">
        <v>1</v>
      </c>
      <c r="X8">
        <v>1</v>
      </c>
    </row>
    <row r="9" spans="1:25" x14ac:dyDescent="0.25">
      <c r="C9" t="s">
        <v>98</v>
      </c>
      <c r="D9" t="s">
        <v>99</v>
      </c>
      <c r="E9" t="s">
        <v>22</v>
      </c>
      <c r="F9" t="s">
        <v>138</v>
      </c>
      <c r="G9" t="s">
        <v>8</v>
      </c>
      <c r="H9">
        <v>0.94791666666666674</v>
      </c>
      <c r="I9">
        <v>0.28125</v>
      </c>
      <c r="J9">
        <v>0.33333333333333326</v>
      </c>
      <c r="K9">
        <v>1</v>
      </c>
      <c r="L9">
        <v>1</v>
      </c>
      <c r="M9">
        <v>1</v>
      </c>
      <c r="N9">
        <v>1</v>
      </c>
      <c r="O9">
        <v>1</v>
      </c>
      <c r="P9">
        <v>1</v>
      </c>
      <c r="Q9">
        <v>1</v>
      </c>
      <c r="R9">
        <v>1</v>
      </c>
      <c r="S9">
        <v>1</v>
      </c>
      <c r="T9">
        <v>1</v>
      </c>
      <c r="U9">
        <v>1</v>
      </c>
      <c r="V9">
        <v>1</v>
      </c>
      <c r="W9">
        <v>1</v>
      </c>
      <c r="X9">
        <v>1</v>
      </c>
    </row>
    <row r="10" spans="1:25" x14ac:dyDescent="0.25">
      <c r="C10" t="s">
        <v>98</v>
      </c>
      <c r="D10" t="s">
        <v>99</v>
      </c>
      <c r="E10" t="s">
        <v>22</v>
      </c>
      <c r="F10" t="s">
        <v>105</v>
      </c>
      <c r="G10" t="s">
        <v>8</v>
      </c>
      <c r="H10">
        <v>0.27083333333333326</v>
      </c>
      <c r="I10">
        <v>0.60416666666666674</v>
      </c>
      <c r="J10">
        <v>0.33333333333333326</v>
      </c>
      <c r="K10">
        <v>1</v>
      </c>
      <c r="L10">
        <v>1</v>
      </c>
      <c r="M10">
        <v>1</v>
      </c>
      <c r="N10">
        <v>1</v>
      </c>
      <c r="O10">
        <v>1</v>
      </c>
      <c r="P10">
        <v>1</v>
      </c>
      <c r="Q10">
        <v>1</v>
      </c>
      <c r="R10">
        <v>1</v>
      </c>
      <c r="S10">
        <v>1</v>
      </c>
      <c r="T10">
        <v>1</v>
      </c>
      <c r="U10">
        <v>1</v>
      </c>
      <c r="V10">
        <v>1</v>
      </c>
      <c r="W10">
        <v>1</v>
      </c>
      <c r="X10">
        <v>1</v>
      </c>
    </row>
    <row r="11" spans="1:25" x14ac:dyDescent="0.25">
      <c r="C11" t="s">
        <v>98</v>
      </c>
      <c r="D11" t="s">
        <v>99</v>
      </c>
      <c r="E11" t="s">
        <v>22</v>
      </c>
      <c r="F11" t="s">
        <v>106</v>
      </c>
      <c r="G11" t="s">
        <v>8</v>
      </c>
      <c r="H11">
        <v>0.27083333333333326</v>
      </c>
      <c r="I11">
        <v>0.60416666666666674</v>
      </c>
      <c r="J11">
        <v>0.33333333333333326</v>
      </c>
      <c r="K11">
        <v>1</v>
      </c>
      <c r="L11">
        <v>1</v>
      </c>
      <c r="M11">
        <v>1</v>
      </c>
      <c r="N11">
        <v>1</v>
      </c>
      <c r="O11">
        <v>1</v>
      </c>
      <c r="P11">
        <v>1</v>
      </c>
      <c r="Q11">
        <v>1</v>
      </c>
      <c r="R11">
        <v>1</v>
      </c>
      <c r="S11">
        <v>1</v>
      </c>
      <c r="T11">
        <v>1</v>
      </c>
      <c r="U11">
        <v>1</v>
      </c>
      <c r="V11">
        <v>1</v>
      </c>
      <c r="W11">
        <v>1</v>
      </c>
      <c r="X11">
        <v>1</v>
      </c>
    </row>
    <row r="12" spans="1:25" x14ac:dyDescent="0.25">
      <c r="C12" t="s">
        <v>98</v>
      </c>
      <c r="D12" t="s">
        <v>99</v>
      </c>
      <c r="E12" t="s">
        <v>22</v>
      </c>
      <c r="F12" t="s">
        <v>107</v>
      </c>
      <c r="G12" t="s">
        <v>8</v>
      </c>
      <c r="H12">
        <v>0.27083333333333326</v>
      </c>
      <c r="I12">
        <v>0.60416666666666674</v>
      </c>
      <c r="J12">
        <v>0.33333333333333326</v>
      </c>
      <c r="K12">
        <v>1</v>
      </c>
      <c r="L12">
        <v>1</v>
      </c>
      <c r="M12">
        <v>1</v>
      </c>
      <c r="N12">
        <v>1</v>
      </c>
      <c r="O12">
        <v>1</v>
      </c>
      <c r="P12">
        <v>1</v>
      </c>
      <c r="Q12">
        <v>1</v>
      </c>
      <c r="R12">
        <v>1</v>
      </c>
      <c r="S12">
        <v>1</v>
      </c>
      <c r="T12">
        <v>1</v>
      </c>
      <c r="U12">
        <v>1</v>
      </c>
      <c r="V12">
        <v>1</v>
      </c>
      <c r="W12">
        <v>1</v>
      </c>
      <c r="X12">
        <v>1</v>
      </c>
    </row>
    <row r="13" spans="1:25" x14ac:dyDescent="0.25">
      <c r="C13" t="s">
        <v>98</v>
      </c>
      <c r="D13" t="s">
        <v>99</v>
      </c>
      <c r="E13" t="s">
        <v>22</v>
      </c>
      <c r="F13" t="s">
        <v>111</v>
      </c>
      <c r="G13" t="s">
        <v>8</v>
      </c>
      <c r="H13">
        <v>0.27083333333333326</v>
      </c>
      <c r="I13">
        <v>0.625</v>
      </c>
      <c r="J13">
        <v>0.35416666666666674</v>
      </c>
      <c r="K13">
        <v>1</v>
      </c>
      <c r="L13">
        <v>1</v>
      </c>
      <c r="M13">
        <v>1</v>
      </c>
      <c r="N13">
        <v>1</v>
      </c>
      <c r="O13">
        <v>1</v>
      </c>
      <c r="P13">
        <v>1</v>
      </c>
      <c r="Q13">
        <v>1</v>
      </c>
      <c r="R13">
        <v>1</v>
      </c>
      <c r="S13">
        <v>1</v>
      </c>
      <c r="T13">
        <v>1</v>
      </c>
      <c r="U13">
        <v>1</v>
      </c>
      <c r="V13">
        <v>1</v>
      </c>
      <c r="W13">
        <v>1</v>
      </c>
      <c r="X13">
        <v>1</v>
      </c>
    </row>
    <row r="14" spans="1:25" x14ac:dyDescent="0.25">
      <c r="C14" t="s">
        <v>98</v>
      </c>
      <c r="D14" t="s">
        <v>99</v>
      </c>
      <c r="E14" t="s">
        <v>22</v>
      </c>
      <c r="F14" t="s">
        <v>117</v>
      </c>
      <c r="G14" t="s">
        <v>8</v>
      </c>
      <c r="H14">
        <v>0.60416666666666674</v>
      </c>
      <c r="I14">
        <v>0.91666666666666674</v>
      </c>
      <c r="J14">
        <v>0.3125</v>
      </c>
      <c r="K14">
        <v>1</v>
      </c>
      <c r="L14">
        <v>1</v>
      </c>
      <c r="M14">
        <v>1</v>
      </c>
      <c r="N14">
        <v>1</v>
      </c>
      <c r="O14">
        <v>1</v>
      </c>
      <c r="P14">
        <v>1</v>
      </c>
      <c r="Q14">
        <v>1</v>
      </c>
      <c r="R14">
        <v>1</v>
      </c>
      <c r="S14">
        <v>1</v>
      </c>
      <c r="T14">
        <v>1</v>
      </c>
      <c r="U14">
        <v>1</v>
      </c>
      <c r="V14">
        <v>1</v>
      </c>
      <c r="W14">
        <v>1</v>
      </c>
      <c r="X14">
        <v>1</v>
      </c>
    </row>
    <row r="15" spans="1:25" x14ac:dyDescent="0.25">
      <c r="C15" t="s">
        <v>98</v>
      </c>
      <c r="D15" t="s">
        <v>99</v>
      </c>
      <c r="E15" t="s">
        <v>22</v>
      </c>
      <c r="F15" t="s">
        <v>121</v>
      </c>
      <c r="G15" t="s">
        <v>8</v>
      </c>
      <c r="H15">
        <v>0.60416666666666674</v>
      </c>
      <c r="I15">
        <v>0.95833333333333326</v>
      </c>
      <c r="J15">
        <v>0.35416666666666674</v>
      </c>
      <c r="K15">
        <v>1</v>
      </c>
      <c r="L15">
        <v>1</v>
      </c>
      <c r="M15">
        <v>1</v>
      </c>
      <c r="N15">
        <v>1</v>
      </c>
      <c r="O15">
        <v>1</v>
      </c>
      <c r="P15">
        <v>1</v>
      </c>
      <c r="Q15">
        <v>1</v>
      </c>
      <c r="R15">
        <v>1</v>
      </c>
      <c r="S15">
        <v>1</v>
      </c>
      <c r="T15">
        <v>1</v>
      </c>
      <c r="U15">
        <v>1</v>
      </c>
      <c r="V15">
        <v>1</v>
      </c>
      <c r="W15">
        <v>1</v>
      </c>
      <c r="X15">
        <v>1</v>
      </c>
    </row>
    <row r="16" spans="1:25" x14ac:dyDescent="0.25">
      <c r="C16" t="s">
        <v>98</v>
      </c>
      <c r="D16" t="s">
        <v>99</v>
      </c>
      <c r="E16" t="s">
        <v>22</v>
      </c>
      <c r="F16" t="s">
        <v>122</v>
      </c>
      <c r="G16" t="s">
        <v>8</v>
      </c>
      <c r="H16">
        <v>0.60416666666666674</v>
      </c>
      <c r="I16">
        <v>0.95833333333333326</v>
      </c>
      <c r="J16">
        <v>0.35416666666666674</v>
      </c>
      <c r="K16">
        <v>1</v>
      </c>
      <c r="L16">
        <v>1</v>
      </c>
      <c r="M16">
        <v>1</v>
      </c>
      <c r="N16">
        <v>1</v>
      </c>
      <c r="O16">
        <v>1</v>
      </c>
      <c r="P16">
        <v>1</v>
      </c>
      <c r="Q16">
        <v>1</v>
      </c>
      <c r="R16">
        <v>1</v>
      </c>
      <c r="S16">
        <v>1</v>
      </c>
      <c r="T16">
        <v>1</v>
      </c>
      <c r="U16">
        <v>1</v>
      </c>
      <c r="V16">
        <v>1</v>
      </c>
      <c r="W16">
        <v>1</v>
      </c>
      <c r="X16">
        <v>1</v>
      </c>
    </row>
    <row r="17" spans="3:24" x14ac:dyDescent="0.25">
      <c r="C17" t="s">
        <v>98</v>
      </c>
      <c r="D17" t="s">
        <v>99</v>
      </c>
      <c r="E17" t="s">
        <v>7</v>
      </c>
      <c r="F17" t="s">
        <v>126</v>
      </c>
      <c r="G17" t="s">
        <v>8</v>
      </c>
      <c r="H17">
        <v>0.94791666666666674</v>
      </c>
      <c r="I17">
        <v>0.28125</v>
      </c>
      <c r="J17">
        <v>0.33333333333333326</v>
      </c>
      <c r="K17">
        <v>1</v>
      </c>
      <c r="L17">
        <v>1</v>
      </c>
      <c r="M17">
        <v>1</v>
      </c>
      <c r="N17">
        <v>1</v>
      </c>
      <c r="O17">
        <v>1</v>
      </c>
      <c r="P17">
        <v>1</v>
      </c>
      <c r="Q17">
        <v>1</v>
      </c>
      <c r="R17">
        <v>1</v>
      </c>
      <c r="S17">
        <v>1</v>
      </c>
      <c r="T17">
        <v>1</v>
      </c>
      <c r="U17">
        <v>1</v>
      </c>
      <c r="V17">
        <v>1</v>
      </c>
      <c r="W17">
        <v>1</v>
      </c>
      <c r="X17">
        <v>1</v>
      </c>
    </row>
    <row r="18" spans="3:24" x14ac:dyDescent="0.25">
      <c r="C18" t="s">
        <v>98</v>
      </c>
      <c r="D18" t="s">
        <v>99</v>
      </c>
      <c r="E18" t="s">
        <v>7</v>
      </c>
      <c r="F18" t="s">
        <v>136</v>
      </c>
      <c r="G18" t="s">
        <v>8</v>
      </c>
      <c r="H18">
        <v>0.94791666666666674</v>
      </c>
      <c r="I18">
        <v>0.28125</v>
      </c>
      <c r="J18">
        <v>0.33333333333333326</v>
      </c>
      <c r="K18">
        <v>1</v>
      </c>
      <c r="L18">
        <v>1</v>
      </c>
      <c r="M18">
        <v>1</v>
      </c>
      <c r="N18">
        <v>1</v>
      </c>
      <c r="O18">
        <v>1</v>
      </c>
      <c r="P18">
        <v>1</v>
      </c>
      <c r="Q18">
        <v>1</v>
      </c>
      <c r="R18">
        <v>1</v>
      </c>
      <c r="S18">
        <v>1</v>
      </c>
      <c r="T18">
        <v>1</v>
      </c>
      <c r="U18">
        <v>1</v>
      </c>
      <c r="V18">
        <v>1</v>
      </c>
      <c r="W18">
        <v>1</v>
      </c>
      <c r="X18">
        <v>1</v>
      </c>
    </row>
    <row r="19" spans="3:24" x14ac:dyDescent="0.25">
      <c r="C19" t="s">
        <v>98</v>
      </c>
      <c r="D19" t="s">
        <v>99</v>
      </c>
      <c r="E19" t="s">
        <v>7</v>
      </c>
      <c r="F19" t="s">
        <v>102</v>
      </c>
      <c r="G19" t="s">
        <v>8</v>
      </c>
      <c r="H19">
        <v>0.27083333333333326</v>
      </c>
      <c r="I19">
        <v>0.60416666666666674</v>
      </c>
      <c r="J19">
        <v>0.33333333333333326</v>
      </c>
      <c r="K19">
        <v>1</v>
      </c>
      <c r="L19">
        <v>1</v>
      </c>
      <c r="M19">
        <v>1</v>
      </c>
      <c r="N19">
        <v>1</v>
      </c>
      <c r="O19">
        <v>1</v>
      </c>
      <c r="P19">
        <v>1</v>
      </c>
      <c r="Q19">
        <v>1</v>
      </c>
      <c r="R19">
        <v>1</v>
      </c>
      <c r="S19">
        <v>1</v>
      </c>
      <c r="T19">
        <v>1</v>
      </c>
      <c r="U19">
        <v>1</v>
      </c>
      <c r="V19">
        <v>1</v>
      </c>
      <c r="W19">
        <v>1</v>
      </c>
      <c r="X19">
        <v>1</v>
      </c>
    </row>
    <row r="20" spans="3:24" x14ac:dyDescent="0.25">
      <c r="C20" t="s">
        <v>98</v>
      </c>
      <c r="D20" t="s">
        <v>99</v>
      </c>
      <c r="E20" t="s">
        <v>7</v>
      </c>
      <c r="F20" t="s">
        <v>103</v>
      </c>
      <c r="G20" t="s">
        <v>8</v>
      </c>
      <c r="H20">
        <v>0.27083333333333326</v>
      </c>
      <c r="I20">
        <v>0.60416666666666674</v>
      </c>
      <c r="J20">
        <v>0.33333333333333326</v>
      </c>
      <c r="K20">
        <v>1</v>
      </c>
      <c r="L20">
        <v>1</v>
      </c>
      <c r="M20">
        <v>1</v>
      </c>
      <c r="N20">
        <v>1</v>
      </c>
      <c r="O20">
        <v>1</v>
      </c>
      <c r="P20">
        <v>1</v>
      </c>
      <c r="Q20">
        <v>1</v>
      </c>
      <c r="R20">
        <v>1</v>
      </c>
      <c r="S20">
        <v>1</v>
      </c>
      <c r="T20">
        <v>1</v>
      </c>
      <c r="U20">
        <v>1</v>
      </c>
      <c r="V20">
        <v>1</v>
      </c>
      <c r="W20">
        <v>1</v>
      </c>
      <c r="X20">
        <v>1</v>
      </c>
    </row>
    <row r="21" spans="3:24" x14ac:dyDescent="0.25">
      <c r="C21" t="s">
        <v>98</v>
      </c>
      <c r="D21" t="s">
        <v>99</v>
      </c>
      <c r="E21" t="s">
        <v>7</v>
      </c>
      <c r="F21" t="s">
        <v>104</v>
      </c>
      <c r="G21" t="s">
        <v>8</v>
      </c>
      <c r="H21">
        <v>0.27083333333333326</v>
      </c>
      <c r="I21">
        <v>0.60416666666666674</v>
      </c>
      <c r="J21">
        <v>0.33333333333333326</v>
      </c>
      <c r="K21">
        <v>1</v>
      </c>
      <c r="L21">
        <v>1</v>
      </c>
      <c r="M21">
        <v>1</v>
      </c>
      <c r="N21">
        <v>1</v>
      </c>
      <c r="O21">
        <v>1</v>
      </c>
      <c r="P21">
        <v>1</v>
      </c>
      <c r="Q21">
        <v>1</v>
      </c>
      <c r="R21">
        <v>1</v>
      </c>
      <c r="S21">
        <v>1</v>
      </c>
      <c r="T21">
        <v>1</v>
      </c>
      <c r="U21">
        <v>1</v>
      </c>
      <c r="V21">
        <v>1</v>
      </c>
      <c r="W21">
        <v>1</v>
      </c>
      <c r="X21">
        <v>1</v>
      </c>
    </row>
    <row r="22" spans="3:24" x14ac:dyDescent="0.25">
      <c r="C22" t="s">
        <v>98</v>
      </c>
      <c r="D22" t="s">
        <v>99</v>
      </c>
      <c r="E22" t="s">
        <v>7</v>
      </c>
      <c r="F22" t="s">
        <v>110</v>
      </c>
      <c r="G22" t="s">
        <v>8</v>
      </c>
      <c r="H22">
        <v>0.27083333333333326</v>
      </c>
      <c r="I22">
        <v>0.625</v>
      </c>
      <c r="J22">
        <v>0.35416666666666674</v>
      </c>
      <c r="K22">
        <v>1</v>
      </c>
      <c r="L22">
        <v>1</v>
      </c>
      <c r="M22">
        <v>1</v>
      </c>
      <c r="N22">
        <v>1</v>
      </c>
      <c r="O22">
        <v>1</v>
      </c>
      <c r="P22">
        <v>1</v>
      </c>
      <c r="Q22">
        <v>1</v>
      </c>
      <c r="R22">
        <v>1</v>
      </c>
      <c r="S22">
        <v>1</v>
      </c>
      <c r="T22">
        <v>1</v>
      </c>
      <c r="U22">
        <v>1</v>
      </c>
      <c r="V22">
        <v>1</v>
      </c>
      <c r="W22">
        <v>1</v>
      </c>
      <c r="X22">
        <v>1</v>
      </c>
    </row>
    <row r="23" spans="3:24" x14ac:dyDescent="0.25">
      <c r="C23" t="s">
        <v>98</v>
      </c>
      <c r="D23" t="s">
        <v>99</v>
      </c>
      <c r="E23" t="s">
        <v>7</v>
      </c>
      <c r="F23" t="s">
        <v>115</v>
      </c>
      <c r="G23" t="s">
        <v>8</v>
      </c>
      <c r="H23">
        <v>0.5</v>
      </c>
      <c r="I23">
        <v>0.83333333333333326</v>
      </c>
      <c r="J23">
        <v>0.33333333333333326</v>
      </c>
      <c r="K23">
        <v>1</v>
      </c>
      <c r="L23">
        <v>1</v>
      </c>
      <c r="M23">
        <v>1</v>
      </c>
      <c r="N23">
        <v>1</v>
      </c>
      <c r="O23">
        <v>1</v>
      </c>
      <c r="P23">
        <v>1</v>
      </c>
      <c r="Q23">
        <v>1</v>
      </c>
      <c r="R23">
        <v>1</v>
      </c>
      <c r="S23">
        <v>1</v>
      </c>
      <c r="T23">
        <v>1</v>
      </c>
      <c r="U23">
        <v>1</v>
      </c>
      <c r="V23">
        <v>1</v>
      </c>
      <c r="W23">
        <v>1</v>
      </c>
      <c r="X23">
        <v>1</v>
      </c>
    </row>
    <row r="24" spans="3:24" x14ac:dyDescent="0.25">
      <c r="C24" t="s">
        <v>98</v>
      </c>
      <c r="D24" t="s">
        <v>99</v>
      </c>
      <c r="E24" t="s">
        <v>7</v>
      </c>
      <c r="F24" t="s">
        <v>116</v>
      </c>
      <c r="G24" t="s">
        <v>8</v>
      </c>
      <c r="H24">
        <v>0.60416666666666674</v>
      </c>
      <c r="I24">
        <v>0.91666666666666674</v>
      </c>
      <c r="J24">
        <v>0.3125</v>
      </c>
      <c r="K24">
        <v>1</v>
      </c>
      <c r="L24">
        <v>1</v>
      </c>
      <c r="M24">
        <v>1</v>
      </c>
      <c r="N24">
        <v>1</v>
      </c>
      <c r="O24">
        <v>1</v>
      </c>
      <c r="P24">
        <v>1</v>
      </c>
      <c r="Q24">
        <v>1</v>
      </c>
      <c r="R24">
        <v>1</v>
      </c>
      <c r="S24">
        <v>1</v>
      </c>
      <c r="T24">
        <v>1</v>
      </c>
      <c r="U24">
        <v>1</v>
      </c>
      <c r="V24">
        <v>1</v>
      </c>
      <c r="W24">
        <v>1</v>
      </c>
      <c r="X24">
        <v>1</v>
      </c>
    </row>
    <row r="25" spans="3:24" x14ac:dyDescent="0.25">
      <c r="C25" t="s">
        <v>98</v>
      </c>
      <c r="D25" t="s">
        <v>99</v>
      </c>
      <c r="E25" t="s">
        <v>7</v>
      </c>
      <c r="F25" t="s">
        <v>119</v>
      </c>
      <c r="G25" t="s">
        <v>8</v>
      </c>
      <c r="H25">
        <v>0.60416666666666674</v>
      </c>
      <c r="I25">
        <v>0.95833333333333326</v>
      </c>
      <c r="J25">
        <v>0.35416666666666674</v>
      </c>
      <c r="K25">
        <v>1</v>
      </c>
      <c r="L25">
        <v>1</v>
      </c>
      <c r="M25">
        <v>1</v>
      </c>
      <c r="N25">
        <v>1</v>
      </c>
      <c r="O25">
        <v>1</v>
      </c>
      <c r="P25">
        <v>1</v>
      </c>
      <c r="Q25">
        <v>1</v>
      </c>
      <c r="R25">
        <v>1</v>
      </c>
      <c r="S25">
        <v>1</v>
      </c>
      <c r="T25">
        <v>1</v>
      </c>
      <c r="U25">
        <v>1</v>
      </c>
      <c r="V25">
        <v>1</v>
      </c>
      <c r="W25">
        <v>1</v>
      </c>
      <c r="X25">
        <v>1</v>
      </c>
    </row>
    <row r="26" spans="3:24" x14ac:dyDescent="0.25">
      <c r="C26" t="s">
        <v>98</v>
      </c>
      <c r="D26" t="s">
        <v>99</v>
      </c>
      <c r="E26" t="s">
        <v>7</v>
      </c>
      <c r="F26" t="s">
        <v>120</v>
      </c>
      <c r="G26" t="s">
        <v>8</v>
      </c>
      <c r="H26">
        <v>0.60416666666666674</v>
      </c>
      <c r="I26">
        <v>0.95833333333333326</v>
      </c>
      <c r="J26">
        <v>0.35416666666666674</v>
      </c>
      <c r="K26">
        <v>1</v>
      </c>
      <c r="L26">
        <v>1</v>
      </c>
      <c r="M26">
        <v>1</v>
      </c>
      <c r="N26">
        <v>1</v>
      </c>
      <c r="O26">
        <v>1</v>
      </c>
      <c r="P26">
        <v>1</v>
      </c>
      <c r="Q26">
        <v>1</v>
      </c>
      <c r="R26">
        <v>1</v>
      </c>
      <c r="S26">
        <v>1</v>
      </c>
      <c r="T26">
        <v>1</v>
      </c>
      <c r="U26">
        <v>1</v>
      </c>
      <c r="V26">
        <v>1</v>
      </c>
      <c r="W26">
        <v>1</v>
      </c>
      <c r="X26">
        <v>1</v>
      </c>
    </row>
    <row r="27" spans="3:24" x14ac:dyDescent="0.25">
      <c r="C27" t="s">
        <v>98</v>
      </c>
      <c r="D27" t="s">
        <v>99</v>
      </c>
      <c r="E27" t="s">
        <v>23</v>
      </c>
      <c r="F27" t="s">
        <v>139</v>
      </c>
      <c r="G27" t="s">
        <v>8</v>
      </c>
      <c r="H27">
        <v>0.94791666666666674</v>
      </c>
      <c r="I27">
        <v>0.28125</v>
      </c>
      <c r="J27">
        <v>0.33333333333333326</v>
      </c>
      <c r="K27">
        <v>1</v>
      </c>
      <c r="L27">
        <v>1</v>
      </c>
      <c r="M27">
        <v>1</v>
      </c>
      <c r="N27">
        <v>1</v>
      </c>
      <c r="O27">
        <v>1</v>
      </c>
      <c r="P27">
        <v>1</v>
      </c>
      <c r="Q27">
        <v>1</v>
      </c>
      <c r="R27">
        <v>1</v>
      </c>
      <c r="S27">
        <v>1</v>
      </c>
      <c r="T27">
        <v>1</v>
      </c>
      <c r="U27">
        <v>1</v>
      </c>
      <c r="V27">
        <v>1</v>
      </c>
      <c r="W27">
        <v>1</v>
      </c>
      <c r="X27">
        <v>1</v>
      </c>
    </row>
    <row r="28" spans="3:24" x14ac:dyDescent="0.25">
      <c r="C28" t="s">
        <v>98</v>
      </c>
      <c r="D28" t="s">
        <v>99</v>
      </c>
      <c r="E28" t="s">
        <v>23</v>
      </c>
      <c r="F28" t="s">
        <v>100</v>
      </c>
      <c r="G28" t="s">
        <v>8</v>
      </c>
      <c r="H28">
        <v>0.27083333333333326</v>
      </c>
      <c r="I28">
        <v>0.54166666666666674</v>
      </c>
      <c r="J28">
        <v>0.27083333333333326</v>
      </c>
      <c r="K28">
        <v>1</v>
      </c>
      <c r="L28">
        <v>1</v>
      </c>
      <c r="M28">
        <v>1</v>
      </c>
      <c r="N28">
        <v>1</v>
      </c>
      <c r="O28">
        <v>1</v>
      </c>
      <c r="P28">
        <v>1</v>
      </c>
      <c r="Q28">
        <v>1</v>
      </c>
      <c r="R28">
        <v>1</v>
      </c>
      <c r="S28">
        <v>1</v>
      </c>
      <c r="T28">
        <v>1</v>
      </c>
      <c r="U28">
        <v>1</v>
      </c>
      <c r="V28">
        <v>1</v>
      </c>
      <c r="W28">
        <v>1</v>
      </c>
      <c r="X28">
        <v>1</v>
      </c>
    </row>
    <row r="29" spans="3:24" x14ac:dyDescent="0.25">
      <c r="C29" t="s">
        <v>98</v>
      </c>
      <c r="D29" t="s">
        <v>99</v>
      </c>
      <c r="E29" t="s">
        <v>23</v>
      </c>
      <c r="F29" t="s">
        <v>108</v>
      </c>
      <c r="G29" t="s">
        <v>8</v>
      </c>
      <c r="H29">
        <v>0.27083333333333326</v>
      </c>
      <c r="I29">
        <v>0.60416666666666674</v>
      </c>
      <c r="J29">
        <v>0.33333333333333326</v>
      </c>
      <c r="K29">
        <v>1</v>
      </c>
      <c r="L29">
        <v>1</v>
      </c>
      <c r="M29">
        <v>1</v>
      </c>
      <c r="N29">
        <v>1</v>
      </c>
      <c r="O29">
        <v>1</v>
      </c>
      <c r="P29">
        <v>1</v>
      </c>
      <c r="Q29">
        <v>1</v>
      </c>
      <c r="R29">
        <v>1</v>
      </c>
      <c r="S29">
        <v>1</v>
      </c>
      <c r="T29">
        <v>1</v>
      </c>
      <c r="U29">
        <v>1</v>
      </c>
      <c r="V29">
        <v>1</v>
      </c>
      <c r="W29">
        <v>1</v>
      </c>
      <c r="X29">
        <v>1</v>
      </c>
    </row>
    <row r="30" spans="3:24" x14ac:dyDescent="0.25">
      <c r="C30" t="s">
        <v>98</v>
      </c>
      <c r="D30" t="s">
        <v>99</v>
      </c>
      <c r="E30" t="s">
        <v>23</v>
      </c>
      <c r="F30" t="s">
        <v>109</v>
      </c>
      <c r="G30" t="s">
        <v>8</v>
      </c>
      <c r="H30">
        <v>0.27083333333333326</v>
      </c>
      <c r="I30">
        <v>0.60416666666666674</v>
      </c>
      <c r="J30">
        <v>0.33333333333333326</v>
      </c>
      <c r="K30">
        <v>1</v>
      </c>
      <c r="L30">
        <v>1</v>
      </c>
      <c r="M30">
        <v>1</v>
      </c>
      <c r="N30">
        <v>1</v>
      </c>
      <c r="O30">
        <v>1</v>
      </c>
      <c r="P30">
        <v>1</v>
      </c>
      <c r="Q30">
        <v>1</v>
      </c>
      <c r="R30">
        <v>1</v>
      </c>
      <c r="S30">
        <v>1</v>
      </c>
      <c r="T30">
        <v>1</v>
      </c>
      <c r="U30">
        <v>1</v>
      </c>
      <c r="V30">
        <v>1</v>
      </c>
      <c r="W30">
        <v>1</v>
      </c>
      <c r="X30">
        <v>1</v>
      </c>
    </row>
    <row r="31" spans="3:24" x14ac:dyDescent="0.25">
      <c r="C31" t="s">
        <v>98</v>
      </c>
      <c r="D31" t="s">
        <v>99</v>
      </c>
      <c r="E31" t="s">
        <v>23</v>
      </c>
      <c r="F31" t="s">
        <v>112</v>
      </c>
      <c r="G31" t="s">
        <v>8</v>
      </c>
      <c r="H31">
        <v>0.27083333333333326</v>
      </c>
      <c r="I31">
        <v>0.625</v>
      </c>
      <c r="J31">
        <v>0.35416666666666674</v>
      </c>
      <c r="K31">
        <v>1</v>
      </c>
      <c r="L31">
        <v>1</v>
      </c>
      <c r="M31">
        <v>1</v>
      </c>
      <c r="N31">
        <v>1</v>
      </c>
      <c r="O31">
        <v>1</v>
      </c>
      <c r="P31">
        <v>1</v>
      </c>
      <c r="Q31">
        <v>1</v>
      </c>
      <c r="R31">
        <v>1</v>
      </c>
      <c r="S31">
        <v>1</v>
      </c>
      <c r="T31">
        <v>1</v>
      </c>
      <c r="U31">
        <v>1</v>
      </c>
      <c r="V31">
        <v>1</v>
      </c>
      <c r="W31">
        <v>1</v>
      </c>
      <c r="X31">
        <v>1</v>
      </c>
    </row>
    <row r="32" spans="3:24" x14ac:dyDescent="0.25">
      <c r="C32" t="s">
        <v>98</v>
      </c>
      <c r="D32" t="s">
        <v>99</v>
      </c>
      <c r="E32" t="s">
        <v>23</v>
      </c>
      <c r="F32" t="s">
        <v>118</v>
      </c>
      <c r="G32" t="s">
        <v>8</v>
      </c>
      <c r="H32">
        <v>0.60416666666666674</v>
      </c>
      <c r="I32">
        <v>0.91666666666666674</v>
      </c>
      <c r="J32">
        <v>0.3125</v>
      </c>
      <c r="K32">
        <v>1</v>
      </c>
      <c r="L32">
        <v>1</v>
      </c>
      <c r="M32">
        <v>1</v>
      </c>
      <c r="N32">
        <v>1</v>
      </c>
      <c r="O32">
        <v>1</v>
      </c>
      <c r="P32">
        <v>1</v>
      </c>
      <c r="Q32">
        <v>1</v>
      </c>
      <c r="R32">
        <v>1</v>
      </c>
      <c r="S32">
        <v>1</v>
      </c>
      <c r="T32">
        <v>1</v>
      </c>
      <c r="U32">
        <v>1</v>
      </c>
      <c r="V32">
        <v>1</v>
      </c>
      <c r="W32">
        <v>1</v>
      </c>
      <c r="X32">
        <v>1</v>
      </c>
    </row>
    <row r="33" spans="3:24" x14ac:dyDescent="0.25">
      <c r="C33" t="s">
        <v>98</v>
      </c>
      <c r="D33" t="s">
        <v>99</v>
      </c>
      <c r="E33" t="s">
        <v>23</v>
      </c>
      <c r="F33" t="s">
        <v>123</v>
      </c>
      <c r="G33" t="s">
        <v>8</v>
      </c>
      <c r="H33">
        <v>0.60416666666666674</v>
      </c>
      <c r="I33">
        <v>0.95833333333333326</v>
      </c>
      <c r="J33">
        <v>0.35416666666666674</v>
      </c>
      <c r="K33">
        <v>1</v>
      </c>
      <c r="L33">
        <v>1</v>
      </c>
      <c r="M33">
        <v>1</v>
      </c>
      <c r="N33">
        <v>1</v>
      </c>
      <c r="O33">
        <v>1</v>
      </c>
      <c r="P33">
        <v>1</v>
      </c>
      <c r="Q33">
        <v>1</v>
      </c>
      <c r="R33">
        <v>1</v>
      </c>
      <c r="S33">
        <v>1</v>
      </c>
      <c r="T33">
        <v>1</v>
      </c>
      <c r="U33">
        <v>1</v>
      </c>
      <c r="V33">
        <v>1</v>
      </c>
      <c r="W33">
        <v>1</v>
      </c>
      <c r="X33">
        <v>1</v>
      </c>
    </row>
    <row r="34" spans="3:24" x14ac:dyDescent="0.25">
      <c r="C34" t="s">
        <v>98</v>
      </c>
      <c r="D34" t="s">
        <v>99</v>
      </c>
      <c r="E34" t="s">
        <v>23</v>
      </c>
      <c r="F34" t="s">
        <v>124</v>
      </c>
      <c r="G34" t="s">
        <v>8</v>
      </c>
      <c r="H34">
        <v>0.60416666666666674</v>
      </c>
      <c r="I34">
        <v>0.95833333333333326</v>
      </c>
      <c r="J34">
        <v>0.35416666666666674</v>
      </c>
      <c r="K34">
        <v>1</v>
      </c>
      <c r="L34">
        <v>1</v>
      </c>
      <c r="M34">
        <v>1</v>
      </c>
      <c r="N34">
        <v>1</v>
      </c>
      <c r="O34">
        <v>1</v>
      </c>
      <c r="P34">
        <v>1</v>
      </c>
      <c r="Q34">
        <v>1</v>
      </c>
      <c r="R34">
        <v>1</v>
      </c>
      <c r="S34">
        <v>1</v>
      </c>
      <c r="T34">
        <v>1</v>
      </c>
      <c r="U34">
        <v>1</v>
      </c>
      <c r="V34">
        <v>1</v>
      </c>
      <c r="W34">
        <v>1</v>
      </c>
      <c r="X34">
        <v>1</v>
      </c>
    </row>
    <row r="35" spans="3:24" x14ac:dyDescent="0.25">
      <c r="C35" t="s">
        <v>98</v>
      </c>
      <c r="D35" t="s">
        <v>165</v>
      </c>
      <c r="E35" t="s">
        <v>24</v>
      </c>
      <c r="F35" t="s">
        <v>167</v>
      </c>
      <c r="G35" t="s">
        <v>44</v>
      </c>
      <c r="H35">
        <v>0.27083333333333326</v>
      </c>
      <c r="I35">
        <v>0.58333333333333326</v>
      </c>
      <c r="J35">
        <v>0.3125</v>
      </c>
      <c r="K35">
        <v>1</v>
      </c>
      <c r="L35">
        <v>1</v>
      </c>
      <c r="M35">
        <v>1</v>
      </c>
      <c r="N35">
        <v>1</v>
      </c>
      <c r="O35">
        <v>1</v>
      </c>
      <c r="P35">
        <v>1</v>
      </c>
      <c r="Q35">
        <v>1</v>
      </c>
      <c r="R35">
        <v>1</v>
      </c>
      <c r="S35">
        <v>1</v>
      </c>
      <c r="T35">
        <v>1</v>
      </c>
      <c r="U35">
        <v>1</v>
      </c>
      <c r="V35">
        <v>1</v>
      </c>
      <c r="W35">
        <v>1</v>
      </c>
      <c r="X35">
        <v>1</v>
      </c>
    </row>
    <row r="36" spans="3:24" x14ac:dyDescent="0.25">
      <c r="C36" t="s">
        <v>98</v>
      </c>
      <c r="D36" t="s">
        <v>165</v>
      </c>
      <c r="E36" t="s">
        <v>24</v>
      </c>
      <c r="F36" t="s">
        <v>168</v>
      </c>
      <c r="G36" t="s">
        <v>44</v>
      </c>
      <c r="H36">
        <v>0.29166666666666674</v>
      </c>
      <c r="I36">
        <v>0.625</v>
      </c>
      <c r="J36">
        <v>0.33333333333333326</v>
      </c>
      <c r="K36">
        <v>3</v>
      </c>
      <c r="L36">
        <v>3</v>
      </c>
      <c r="M36">
        <v>3</v>
      </c>
      <c r="N36">
        <v>3</v>
      </c>
      <c r="O36">
        <v>3</v>
      </c>
      <c r="P36">
        <v>3</v>
      </c>
      <c r="Q36">
        <v>3</v>
      </c>
      <c r="R36">
        <v>3</v>
      </c>
      <c r="S36">
        <v>3</v>
      </c>
      <c r="T36">
        <v>3</v>
      </c>
      <c r="U36">
        <v>3</v>
      </c>
      <c r="V36">
        <v>3</v>
      </c>
      <c r="W36">
        <v>3</v>
      </c>
      <c r="X36">
        <v>3</v>
      </c>
    </row>
    <row r="37" spans="3:24" x14ac:dyDescent="0.25">
      <c r="C37" t="s">
        <v>98</v>
      </c>
      <c r="D37" t="s">
        <v>165</v>
      </c>
      <c r="E37" t="s">
        <v>24</v>
      </c>
      <c r="F37" t="s">
        <v>169</v>
      </c>
      <c r="G37" t="s">
        <v>44</v>
      </c>
      <c r="H37">
        <v>0.58333333333333326</v>
      </c>
      <c r="I37">
        <v>0.79166666666666674</v>
      </c>
      <c r="J37">
        <v>0.20833333333333326</v>
      </c>
      <c r="K37">
        <v>1</v>
      </c>
      <c r="L37">
        <v>1</v>
      </c>
      <c r="M37">
        <v>1</v>
      </c>
      <c r="N37">
        <v>1</v>
      </c>
      <c r="O37">
        <v>1</v>
      </c>
      <c r="P37">
        <v>1</v>
      </c>
      <c r="Q37">
        <v>1</v>
      </c>
      <c r="R37">
        <v>1</v>
      </c>
      <c r="S37">
        <v>1</v>
      </c>
      <c r="T37">
        <v>1</v>
      </c>
      <c r="U37">
        <v>1</v>
      </c>
      <c r="V37">
        <v>1</v>
      </c>
      <c r="W37">
        <v>1</v>
      </c>
      <c r="X37">
        <v>1</v>
      </c>
    </row>
    <row r="38" spans="3:24" x14ac:dyDescent="0.25">
      <c r="C38" t="s">
        <v>98</v>
      </c>
      <c r="D38" t="s">
        <v>165</v>
      </c>
      <c r="E38" t="s">
        <v>24</v>
      </c>
      <c r="F38" t="s">
        <v>170</v>
      </c>
      <c r="G38" t="s">
        <v>44</v>
      </c>
      <c r="H38">
        <v>0.625</v>
      </c>
      <c r="I38">
        <v>0.79166666666666674</v>
      </c>
      <c r="J38">
        <v>0.16666666666666674</v>
      </c>
      <c r="K38">
        <v>2</v>
      </c>
      <c r="L38">
        <v>2</v>
      </c>
      <c r="M38">
        <v>2</v>
      </c>
      <c r="N38">
        <v>2</v>
      </c>
      <c r="O38">
        <v>2</v>
      </c>
      <c r="P38">
        <v>2</v>
      </c>
      <c r="Q38">
        <v>2</v>
      </c>
      <c r="R38">
        <v>2</v>
      </c>
      <c r="S38">
        <v>2</v>
      </c>
      <c r="T38">
        <v>2</v>
      </c>
      <c r="U38">
        <v>2</v>
      </c>
      <c r="V38">
        <v>2</v>
      </c>
      <c r="W38">
        <v>2</v>
      </c>
      <c r="X38">
        <v>2</v>
      </c>
    </row>
    <row r="39" spans="3:24" x14ac:dyDescent="0.25">
      <c r="C39" t="s">
        <v>98</v>
      </c>
      <c r="D39" t="s">
        <v>165</v>
      </c>
      <c r="E39" t="s">
        <v>24</v>
      </c>
      <c r="F39" t="s">
        <v>166</v>
      </c>
      <c r="G39" t="s">
        <v>43</v>
      </c>
      <c r="H39">
        <v>0.25</v>
      </c>
      <c r="I39">
        <v>0.58333333333333326</v>
      </c>
      <c r="J39">
        <v>0.33333333333333326</v>
      </c>
      <c r="K39">
        <v>1</v>
      </c>
      <c r="L39">
        <v>1</v>
      </c>
      <c r="M39">
        <v>1</v>
      </c>
      <c r="N39">
        <v>1</v>
      </c>
      <c r="O39">
        <v>1</v>
      </c>
      <c r="P39">
        <v>1</v>
      </c>
      <c r="Q39">
        <v>1</v>
      </c>
      <c r="R39">
        <v>1</v>
      </c>
      <c r="S39">
        <v>1</v>
      </c>
      <c r="T39">
        <v>1</v>
      </c>
      <c r="U39">
        <v>1</v>
      </c>
      <c r="V39">
        <v>1</v>
      </c>
      <c r="W39">
        <v>1</v>
      </c>
      <c r="X39">
        <v>1</v>
      </c>
    </row>
    <row r="40" spans="3:24" x14ac:dyDescent="0.25">
      <c r="C40" t="s">
        <v>98</v>
      </c>
      <c r="D40" t="s">
        <v>130</v>
      </c>
      <c r="E40" t="s">
        <v>24</v>
      </c>
      <c r="F40" t="s">
        <v>131</v>
      </c>
      <c r="G40" t="s">
        <v>32</v>
      </c>
      <c r="H40">
        <v>0.27083333333333326</v>
      </c>
      <c r="I40">
        <v>0.625</v>
      </c>
      <c r="J40">
        <v>0.35416666666666674</v>
      </c>
      <c r="K40">
        <v>1</v>
      </c>
      <c r="L40">
        <v>1</v>
      </c>
      <c r="M40">
        <v>1</v>
      </c>
      <c r="N40">
        <v>1</v>
      </c>
      <c r="R40">
        <v>1</v>
      </c>
      <c r="S40">
        <v>1</v>
      </c>
      <c r="T40">
        <v>1</v>
      </c>
      <c r="U40">
        <v>1</v>
      </c>
    </row>
    <row r="41" spans="3:24" x14ac:dyDescent="0.25">
      <c r="C41" t="s">
        <v>98</v>
      </c>
      <c r="D41" t="s">
        <v>99</v>
      </c>
      <c r="E41" t="s">
        <v>24</v>
      </c>
      <c r="F41" t="s">
        <v>101</v>
      </c>
      <c r="G41" t="s">
        <v>26</v>
      </c>
      <c r="H41">
        <v>0.27083333333333326</v>
      </c>
      <c r="I41">
        <v>0.58333333333333326</v>
      </c>
      <c r="J41">
        <v>0.3125</v>
      </c>
      <c r="N41">
        <v>1</v>
      </c>
      <c r="O41">
        <v>1</v>
      </c>
      <c r="U41">
        <v>1</v>
      </c>
      <c r="V41">
        <v>1</v>
      </c>
    </row>
    <row r="42" spans="3:24" x14ac:dyDescent="0.25">
      <c r="C42" t="s">
        <v>98</v>
      </c>
      <c r="D42" t="s">
        <v>99</v>
      </c>
      <c r="E42" t="s">
        <v>24</v>
      </c>
      <c r="F42" t="s">
        <v>114</v>
      </c>
      <c r="G42" t="s">
        <v>26</v>
      </c>
      <c r="H42">
        <v>0.27083333333333326</v>
      </c>
      <c r="I42">
        <v>0.625</v>
      </c>
      <c r="J42">
        <v>0.35416666666666674</v>
      </c>
      <c r="K42">
        <v>1</v>
      </c>
      <c r="L42">
        <v>1</v>
      </c>
      <c r="M42">
        <v>1</v>
      </c>
      <c r="R42">
        <v>1</v>
      </c>
      <c r="S42">
        <v>1</v>
      </c>
      <c r="T42">
        <v>1</v>
      </c>
    </row>
    <row r="43" spans="3:24" x14ac:dyDescent="0.25">
      <c r="C43" t="s">
        <v>98</v>
      </c>
      <c r="D43" t="s">
        <v>141</v>
      </c>
      <c r="E43" t="s">
        <v>24</v>
      </c>
      <c r="F43" t="s">
        <v>142</v>
      </c>
      <c r="G43" t="s">
        <v>35</v>
      </c>
      <c r="H43">
        <v>0.35416666666666674</v>
      </c>
      <c r="I43">
        <v>0.70833333333333326</v>
      </c>
      <c r="J43">
        <v>0.35416666666666674</v>
      </c>
      <c r="K43">
        <v>1</v>
      </c>
      <c r="L43">
        <v>1</v>
      </c>
      <c r="M43">
        <v>1</v>
      </c>
      <c r="N43">
        <v>1</v>
      </c>
      <c r="O43">
        <v>1</v>
      </c>
      <c r="R43">
        <v>1</v>
      </c>
      <c r="S43">
        <v>1</v>
      </c>
      <c r="T43">
        <v>1</v>
      </c>
      <c r="U43">
        <v>1</v>
      </c>
      <c r="V43">
        <v>1</v>
      </c>
    </row>
    <row r="44" spans="3:24" x14ac:dyDescent="0.25">
      <c r="C44" t="s">
        <v>98</v>
      </c>
      <c r="D44" t="s">
        <v>144</v>
      </c>
      <c r="E44" t="s">
        <v>24</v>
      </c>
      <c r="F44" t="s">
        <v>150</v>
      </c>
      <c r="G44" t="s">
        <v>39</v>
      </c>
      <c r="H44">
        <v>0.27083333333333326</v>
      </c>
      <c r="I44">
        <v>0.5625</v>
      </c>
      <c r="J44">
        <v>0.29166666666666674</v>
      </c>
      <c r="K44">
        <v>1</v>
      </c>
      <c r="L44">
        <v>1</v>
      </c>
      <c r="M44">
        <v>1</v>
      </c>
      <c r="N44">
        <v>1</v>
      </c>
      <c r="O44">
        <v>1</v>
      </c>
    </row>
    <row r="45" spans="3:24" x14ac:dyDescent="0.25">
      <c r="C45" t="s">
        <v>98</v>
      </c>
      <c r="D45" t="s">
        <v>144</v>
      </c>
      <c r="E45" t="s">
        <v>24</v>
      </c>
      <c r="F45" t="s">
        <v>151</v>
      </c>
      <c r="G45" t="s">
        <v>39</v>
      </c>
      <c r="H45">
        <v>0.27083333333333326</v>
      </c>
      <c r="I45">
        <v>0.58333333333333326</v>
      </c>
      <c r="J45">
        <v>0.3125</v>
      </c>
      <c r="S45">
        <v>1</v>
      </c>
      <c r="T45">
        <v>1</v>
      </c>
      <c r="U45">
        <v>1</v>
      </c>
    </row>
    <row r="46" spans="3:24" x14ac:dyDescent="0.25">
      <c r="C46" t="s">
        <v>98</v>
      </c>
      <c r="D46" t="s">
        <v>144</v>
      </c>
      <c r="E46" t="s">
        <v>24</v>
      </c>
      <c r="F46" t="s">
        <v>152</v>
      </c>
      <c r="G46" t="s">
        <v>39</v>
      </c>
      <c r="H46">
        <v>0.29166666666666674</v>
      </c>
      <c r="I46">
        <v>0.625</v>
      </c>
      <c r="J46">
        <v>0.33333333333333326</v>
      </c>
      <c r="O46">
        <v>1</v>
      </c>
      <c r="V46">
        <v>2</v>
      </c>
    </row>
    <row r="47" spans="3:24" x14ac:dyDescent="0.25">
      <c r="C47" t="s">
        <v>98</v>
      </c>
      <c r="D47" t="s">
        <v>157</v>
      </c>
      <c r="E47" t="s">
        <v>24</v>
      </c>
      <c r="F47" t="s">
        <v>158</v>
      </c>
      <c r="G47" t="s">
        <v>41</v>
      </c>
      <c r="H47">
        <v>0.29166666666666674</v>
      </c>
      <c r="I47">
        <v>0.64583333333333326</v>
      </c>
      <c r="J47">
        <v>0.35416666666666674</v>
      </c>
      <c r="O47">
        <v>1</v>
      </c>
      <c r="V47">
        <v>1</v>
      </c>
    </row>
    <row r="48" spans="3:24" x14ac:dyDescent="0.25">
      <c r="C48" t="s">
        <v>98</v>
      </c>
      <c r="D48" t="s">
        <v>157</v>
      </c>
      <c r="E48" t="s">
        <v>24</v>
      </c>
      <c r="F48" t="s">
        <v>159</v>
      </c>
      <c r="G48" t="s">
        <v>41</v>
      </c>
      <c r="H48">
        <v>0.375</v>
      </c>
      <c r="I48">
        <v>0.64583333333333326</v>
      </c>
      <c r="J48">
        <v>0.27083333333333326</v>
      </c>
      <c r="K48">
        <v>1</v>
      </c>
      <c r="L48">
        <v>1</v>
      </c>
      <c r="R48">
        <v>1</v>
      </c>
      <c r="S48">
        <v>1</v>
      </c>
    </row>
    <row r="49" spans="3:24" x14ac:dyDescent="0.25">
      <c r="C49" t="s">
        <v>98</v>
      </c>
      <c r="D49" t="s">
        <v>157</v>
      </c>
      <c r="E49" t="s">
        <v>24</v>
      </c>
      <c r="F49" t="s">
        <v>160</v>
      </c>
      <c r="G49" t="s">
        <v>41</v>
      </c>
      <c r="H49">
        <v>0.35416666666666674</v>
      </c>
      <c r="I49">
        <v>0.625</v>
      </c>
      <c r="J49">
        <v>0.27083333333333326</v>
      </c>
      <c r="M49">
        <v>1</v>
      </c>
      <c r="O49">
        <v>1</v>
      </c>
      <c r="T49">
        <v>1</v>
      </c>
      <c r="V49">
        <v>1</v>
      </c>
    </row>
    <row r="50" spans="3:24" x14ac:dyDescent="0.25">
      <c r="C50" t="s">
        <v>98</v>
      </c>
      <c r="D50" t="s">
        <v>157</v>
      </c>
      <c r="E50" t="s">
        <v>24</v>
      </c>
      <c r="F50" t="s">
        <v>161</v>
      </c>
      <c r="G50" t="s">
        <v>41</v>
      </c>
      <c r="H50">
        <v>0.29166666666666674</v>
      </c>
      <c r="I50">
        <v>0.625</v>
      </c>
      <c r="J50">
        <v>0.33333333333333326</v>
      </c>
      <c r="K50">
        <v>1</v>
      </c>
      <c r="L50">
        <v>1</v>
      </c>
      <c r="M50">
        <v>1</v>
      </c>
      <c r="N50">
        <v>1</v>
      </c>
      <c r="R50">
        <v>1</v>
      </c>
      <c r="S50">
        <v>1</v>
      </c>
      <c r="T50">
        <v>1</v>
      </c>
      <c r="U50">
        <v>1</v>
      </c>
    </row>
    <row r="51" spans="3:24" x14ac:dyDescent="0.25">
      <c r="C51" t="s">
        <v>98</v>
      </c>
      <c r="D51" t="s">
        <v>157</v>
      </c>
      <c r="E51" t="s">
        <v>24</v>
      </c>
      <c r="F51" t="s">
        <v>162</v>
      </c>
      <c r="G51" t="s">
        <v>41</v>
      </c>
      <c r="H51">
        <v>0.33333333333333326</v>
      </c>
      <c r="I51">
        <v>0.64583333333333326</v>
      </c>
      <c r="J51">
        <v>0.3125</v>
      </c>
      <c r="K51">
        <v>1</v>
      </c>
      <c r="R51">
        <v>1</v>
      </c>
    </row>
    <row r="52" spans="3:24" x14ac:dyDescent="0.25">
      <c r="C52" t="s">
        <v>98</v>
      </c>
      <c r="D52" t="s">
        <v>144</v>
      </c>
      <c r="E52" t="s">
        <v>24</v>
      </c>
      <c r="F52" t="s">
        <v>145</v>
      </c>
      <c r="G52" t="s">
        <v>37</v>
      </c>
      <c r="H52">
        <v>0.33333333333333326</v>
      </c>
      <c r="I52">
        <v>0.66666666666666674</v>
      </c>
      <c r="J52">
        <v>0.33333333333333326</v>
      </c>
      <c r="K52">
        <v>1</v>
      </c>
      <c r="R52">
        <v>1</v>
      </c>
    </row>
    <row r="53" spans="3:24" x14ac:dyDescent="0.25">
      <c r="C53" t="s">
        <v>98</v>
      </c>
      <c r="D53" t="s">
        <v>144</v>
      </c>
      <c r="E53" t="s">
        <v>24</v>
      </c>
      <c r="F53" t="s">
        <v>146</v>
      </c>
      <c r="G53" t="s">
        <v>37</v>
      </c>
      <c r="H53">
        <v>0.33333333333333326</v>
      </c>
      <c r="I53">
        <v>0.64583333333333326</v>
      </c>
      <c r="J53">
        <v>0.3125</v>
      </c>
      <c r="L53">
        <v>1</v>
      </c>
      <c r="M53">
        <v>1</v>
      </c>
      <c r="N53">
        <v>1</v>
      </c>
      <c r="O53">
        <v>1</v>
      </c>
      <c r="S53">
        <v>1</v>
      </c>
      <c r="T53">
        <v>1</v>
      </c>
      <c r="U53">
        <v>1</v>
      </c>
    </row>
    <row r="54" spans="3:24" x14ac:dyDescent="0.25">
      <c r="C54" t="s">
        <v>98</v>
      </c>
      <c r="D54" t="s">
        <v>144</v>
      </c>
      <c r="E54" t="s">
        <v>24</v>
      </c>
      <c r="F54" t="s">
        <v>153</v>
      </c>
      <c r="G54" t="s">
        <v>40</v>
      </c>
      <c r="H54">
        <v>0.27083333333333326</v>
      </c>
      <c r="I54">
        <v>0.5625</v>
      </c>
      <c r="J54">
        <v>0.29166666666666674</v>
      </c>
      <c r="N54">
        <v>1</v>
      </c>
      <c r="O54">
        <v>1</v>
      </c>
      <c r="R54">
        <v>2</v>
      </c>
      <c r="S54">
        <v>1</v>
      </c>
      <c r="T54">
        <v>1</v>
      </c>
      <c r="U54">
        <v>1</v>
      </c>
      <c r="V54">
        <v>2</v>
      </c>
    </row>
    <row r="55" spans="3:24" x14ac:dyDescent="0.25">
      <c r="C55" t="s">
        <v>98</v>
      </c>
      <c r="D55" t="s">
        <v>144</v>
      </c>
      <c r="E55" t="s">
        <v>24</v>
      </c>
      <c r="F55" t="s">
        <v>154</v>
      </c>
      <c r="G55" t="s">
        <v>40</v>
      </c>
      <c r="H55">
        <v>0.27083333333333326</v>
      </c>
      <c r="I55">
        <v>0.58333333333333326</v>
      </c>
      <c r="J55">
        <v>0.3125</v>
      </c>
      <c r="K55">
        <v>1</v>
      </c>
      <c r="L55">
        <v>1</v>
      </c>
      <c r="M55">
        <v>1</v>
      </c>
    </row>
    <row r="56" spans="3:24" x14ac:dyDescent="0.25">
      <c r="C56" t="s">
        <v>98</v>
      </c>
      <c r="D56" t="s">
        <v>144</v>
      </c>
      <c r="E56" t="s">
        <v>24</v>
      </c>
      <c r="F56" t="s">
        <v>155</v>
      </c>
      <c r="G56" t="s">
        <v>40</v>
      </c>
      <c r="H56">
        <v>0.29166666666666674</v>
      </c>
      <c r="I56">
        <v>0.58333333333333326</v>
      </c>
      <c r="J56">
        <v>0.29166666666666674</v>
      </c>
      <c r="K56">
        <v>1</v>
      </c>
      <c r="O56">
        <v>1</v>
      </c>
      <c r="R56">
        <v>1</v>
      </c>
      <c r="S56">
        <v>1</v>
      </c>
      <c r="T56">
        <v>1</v>
      </c>
      <c r="U56">
        <v>1</v>
      </c>
      <c r="V56">
        <v>1</v>
      </c>
    </row>
    <row r="57" spans="3:24" x14ac:dyDescent="0.25">
      <c r="C57" t="s">
        <v>98</v>
      </c>
      <c r="D57" t="s">
        <v>144</v>
      </c>
      <c r="E57" t="s">
        <v>24</v>
      </c>
      <c r="F57" t="s">
        <v>156</v>
      </c>
      <c r="G57" t="s">
        <v>40</v>
      </c>
      <c r="H57">
        <v>0.29166666666666674</v>
      </c>
      <c r="I57">
        <v>0.60416666666666674</v>
      </c>
      <c r="J57">
        <v>0.3125</v>
      </c>
      <c r="L57">
        <v>2</v>
      </c>
      <c r="M57">
        <v>1</v>
      </c>
      <c r="N57">
        <v>1</v>
      </c>
      <c r="U57">
        <v>1</v>
      </c>
      <c r="V57">
        <v>1</v>
      </c>
    </row>
    <row r="58" spans="3:24" x14ac:dyDescent="0.25">
      <c r="C58" t="s">
        <v>86</v>
      </c>
      <c r="D58" t="s">
        <v>87</v>
      </c>
      <c r="E58" t="s">
        <v>88</v>
      </c>
      <c r="F58" t="s">
        <v>89</v>
      </c>
      <c r="G58" t="s">
        <v>90</v>
      </c>
      <c r="H58" t="s">
        <v>1</v>
      </c>
      <c r="I58" t="s">
        <v>2</v>
      </c>
      <c r="J58" t="s">
        <v>29</v>
      </c>
      <c r="K58" t="s">
        <v>47</v>
      </c>
      <c r="L58" t="s">
        <v>48</v>
      </c>
      <c r="M58" t="s">
        <v>49</v>
      </c>
      <c r="N58" t="s">
        <v>50</v>
      </c>
      <c r="O58" t="s">
        <v>51</v>
      </c>
      <c r="P58" t="s">
        <v>52</v>
      </c>
      <c r="Q58" t="s">
        <v>53</v>
      </c>
      <c r="R58" t="s">
        <v>91</v>
      </c>
      <c r="S58" t="s">
        <v>92</v>
      </c>
      <c r="T58" t="s">
        <v>93</v>
      </c>
      <c r="U58" t="s">
        <v>94</v>
      </c>
      <c r="V58" t="s">
        <v>95</v>
      </c>
      <c r="W58" t="s">
        <v>96</v>
      </c>
      <c r="X58" t="s">
        <v>97</v>
      </c>
    </row>
    <row r="59" spans="3:24" x14ac:dyDescent="0.25">
      <c r="C59" t="s">
        <v>98</v>
      </c>
      <c r="D59" t="s">
        <v>127</v>
      </c>
      <c r="E59" t="s">
        <v>24</v>
      </c>
      <c r="F59" t="s">
        <v>129</v>
      </c>
      <c r="G59" t="s">
        <v>31</v>
      </c>
      <c r="H59">
        <v>0.33333333333333326</v>
      </c>
      <c r="I59">
        <v>0.66666666666666674</v>
      </c>
      <c r="J59">
        <v>0.33333333333333326</v>
      </c>
      <c r="K59">
        <v>1</v>
      </c>
      <c r="L59">
        <v>2</v>
      </c>
      <c r="M59">
        <v>2</v>
      </c>
      <c r="N59">
        <v>2</v>
      </c>
      <c r="O59">
        <v>1</v>
      </c>
      <c r="P59">
        <v>1</v>
      </c>
      <c r="R59">
        <v>1</v>
      </c>
      <c r="S59">
        <v>2</v>
      </c>
      <c r="T59">
        <v>2</v>
      </c>
      <c r="U59">
        <v>2</v>
      </c>
      <c r="V59">
        <v>1</v>
      </c>
      <c r="W59">
        <v>1</v>
      </c>
    </row>
    <row r="60" spans="3:24" x14ac:dyDescent="0.25">
      <c r="C60" t="s">
        <v>98</v>
      </c>
      <c r="D60" t="s">
        <v>127</v>
      </c>
      <c r="E60" t="s">
        <v>24</v>
      </c>
      <c r="F60" t="s">
        <v>128</v>
      </c>
      <c r="G60" t="s">
        <v>30</v>
      </c>
      <c r="H60">
        <v>0.33333333333333326</v>
      </c>
      <c r="I60">
        <v>0.66666666666666674</v>
      </c>
      <c r="J60">
        <v>0.33333333333333326</v>
      </c>
      <c r="K60">
        <v>1</v>
      </c>
      <c r="L60">
        <v>1</v>
      </c>
      <c r="M60">
        <v>1</v>
      </c>
      <c r="N60">
        <v>1</v>
      </c>
      <c r="O60">
        <v>1</v>
      </c>
      <c r="R60">
        <v>1</v>
      </c>
      <c r="S60">
        <v>1</v>
      </c>
      <c r="T60">
        <v>1</v>
      </c>
      <c r="U60">
        <v>1</v>
      </c>
      <c r="V60">
        <v>1</v>
      </c>
    </row>
    <row r="61" spans="3:24" x14ac:dyDescent="0.25">
      <c r="C61" t="s">
        <v>98</v>
      </c>
      <c r="D61" t="s">
        <v>163</v>
      </c>
      <c r="E61" t="s">
        <v>24</v>
      </c>
      <c r="F61" t="s">
        <v>164</v>
      </c>
      <c r="G61" t="s">
        <v>42</v>
      </c>
      <c r="H61">
        <v>0.33333333333333326</v>
      </c>
      <c r="I61">
        <v>0.66666666666666674</v>
      </c>
      <c r="J61">
        <v>0.33333333333333326</v>
      </c>
      <c r="K61">
        <v>1</v>
      </c>
      <c r="L61">
        <v>1</v>
      </c>
      <c r="M61">
        <v>1</v>
      </c>
      <c r="N61">
        <v>1</v>
      </c>
      <c r="O61">
        <v>1</v>
      </c>
      <c r="R61">
        <v>1</v>
      </c>
      <c r="S61">
        <v>1</v>
      </c>
      <c r="T61">
        <v>1</v>
      </c>
      <c r="U61">
        <v>1</v>
      </c>
      <c r="V61">
        <v>1</v>
      </c>
    </row>
    <row r="62" spans="3:24" x14ac:dyDescent="0.25">
      <c r="C62" t="s">
        <v>98</v>
      </c>
      <c r="D62" t="s">
        <v>127</v>
      </c>
      <c r="E62" t="s">
        <v>24</v>
      </c>
      <c r="F62" t="s">
        <v>132</v>
      </c>
      <c r="G62" t="s">
        <v>33</v>
      </c>
      <c r="H62">
        <v>0.33333333333333326</v>
      </c>
      <c r="I62">
        <v>0.58333333333333326</v>
      </c>
      <c r="J62">
        <v>0.25</v>
      </c>
      <c r="L62">
        <v>1</v>
      </c>
      <c r="N62">
        <v>1</v>
      </c>
      <c r="O62">
        <v>1</v>
      </c>
      <c r="S62">
        <v>1</v>
      </c>
      <c r="U62">
        <v>1</v>
      </c>
      <c r="V62">
        <v>1</v>
      </c>
    </row>
    <row r="63" spans="3:24" x14ac:dyDescent="0.25">
      <c r="C63" t="s">
        <v>98</v>
      </c>
      <c r="D63" t="s">
        <v>127</v>
      </c>
      <c r="E63" t="s">
        <v>24</v>
      </c>
      <c r="F63" t="s">
        <v>133</v>
      </c>
      <c r="G63" t="s">
        <v>33</v>
      </c>
      <c r="H63">
        <v>0.33333333333333326</v>
      </c>
      <c r="I63">
        <v>0.54166666666666674</v>
      </c>
      <c r="J63">
        <v>0.20833333333333326</v>
      </c>
      <c r="M63">
        <v>1</v>
      </c>
      <c r="T63">
        <v>1</v>
      </c>
    </row>
    <row r="64" spans="3:24" x14ac:dyDescent="0.25">
      <c r="C64" t="s">
        <v>98</v>
      </c>
      <c r="D64" t="s">
        <v>99</v>
      </c>
      <c r="E64" t="s">
        <v>24</v>
      </c>
      <c r="F64" t="s">
        <v>113</v>
      </c>
      <c r="G64" t="s">
        <v>25</v>
      </c>
      <c r="H64">
        <v>0.27083333333333326</v>
      </c>
      <c r="I64">
        <v>0.625</v>
      </c>
      <c r="J64">
        <v>0.35416666666666674</v>
      </c>
      <c r="K64">
        <v>2</v>
      </c>
      <c r="L64">
        <v>2</v>
      </c>
      <c r="M64">
        <v>2</v>
      </c>
      <c r="N64">
        <v>2</v>
      </c>
      <c r="O64">
        <v>2</v>
      </c>
      <c r="P64">
        <v>2</v>
      </c>
      <c r="Q64">
        <v>2</v>
      </c>
      <c r="R64">
        <v>2</v>
      </c>
      <c r="S64">
        <v>2</v>
      </c>
      <c r="T64">
        <v>2</v>
      </c>
      <c r="U64">
        <v>2</v>
      </c>
      <c r="V64">
        <v>2</v>
      </c>
      <c r="W64">
        <v>2</v>
      </c>
      <c r="X64">
        <v>2</v>
      </c>
    </row>
    <row r="65" spans="3:24" x14ac:dyDescent="0.25">
      <c r="C65" t="s">
        <v>98</v>
      </c>
      <c r="D65" t="s">
        <v>99</v>
      </c>
      <c r="E65" t="s">
        <v>24</v>
      </c>
      <c r="F65" t="s">
        <v>125</v>
      </c>
      <c r="G65" t="s">
        <v>25</v>
      </c>
      <c r="H65">
        <v>0.60416666666666674</v>
      </c>
      <c r="I65">
        <v>0.95833333333333326</v>
      </c>
      <c r="J65">
        <v>0.35416666666666674</v>
      </c>
      <c r="K65">
        <v>2</v>
      </c>
      <c r="L65">
        <v>2</v>
      </c>
      <c r="M65">
        <v>2</v>
      </c>
      <c r="N65">
        <v>2</v>
      </c>
      <c r="O65">
        <v>2</v>
      </c>
      <c r="P65">
        <v>2</v>
      </c>
      <c r="Q65">
        <v>2</v>
      </c>
      <c r="R65">
        <v>2</v>
      </c>
      <c r="S65">
        <v>2</v>
      </c>
      <c r="T65">
        <v>2</v>
      </c>
      <c r="U65">
        <v>2</v>
      </c>
      <c r="V65">
        <v>2</v>
      </c>
      <c r="W65">
        <v>2</v>
      </c>
      <c r="X65">
        <v>2</v>
      </c>
    </row>
    <row r="66" spans="3:24" x14ac:dyDescent="0.25">
      <c r="C66" t="s">
        <v>98</v>
      </c>
      <c r="D66" t="s">
        <v>99</v>
      </c>
      <c r="E66" t="s">
        <v>24</v>
      </c>
      <c r="F66" t="s">
        <v>140</v>
      </c>
      <c r="G66" t="s">
        <v>25</v>
      </c>
      <c r="H66">
        <v>0.94791666666666674</v>
      </c>
      <c r="I66">
        <v>0.29166666666666674</v>
      </c>
      <c r="J66">
        <v>0.34375</v>
      </c>
      <c r="K66">
        <v>1</v>
      </c>
      <c r="L66">
        <v>1</v>
      </c>
      <c r="M66">
        <v>1</v>
      </c>
      <c r="N66">
        <v>1</v>
      </c>
      <c r="O66">
        <v>1</v>
      </c>
      <c r="P66">
        <v>1</v>
      </c>
      <c r="Q66">
        <v>1</v>
      </c>
      <c r="R66">
        <v>1</v>
      </c>
      <c r="S66">
        <v>1</v>
      </c>
      <c r="T66">
        <v>1</v>
      </c>
      <c r="U66">
        <v>1</v>
      </c>
      <c r="V66">
        <v>1</v>
      </c>
      <c r="W66">
        <v>1</v>
      </c>
      <c r="X66">
        <v>1</v>
      </c>
    </row>
    <row r="69" spans="3:24" x14ac:dyDescent="0.25">
      <c r="D69" t="s">
        <v>82</v>
      </c>
    </row>
    <row r="70" spans="3:24" x14ac:dyDescent="0.25">
      <c r="D70" t="s">
        <v>83</v>
      </c>
    </row>
    <row r="74" spans="3:24" x14ac:dyDescent="0.25">
      <c r="K74" t="s">
        <v>84</v>
      </c>
      <c r="R74" t="s">
        <v>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E95D-8D0A-4A37-8DCF-C41D9FF51A2D}">
  <dimension ref="A1:W65"/>
  <sheetViews>
    <sheetView workbookViewId="0">
      <selection activeCell="O80" sqref="O80"/>
    </sheetView>
  </sheetViews>
  <sheetFormatPr defaultRowHeight="15" x14ac:dyDescent="0.25"/>
  <cols>
    <col min="1" max="1" width="10.140625" bestFit="1" customWidth="1"/>
    <col min="2" max="2" width="30.140625" bestFit="1" customWidth="1"/>
    <col min="3" max="3" width="12.28515625" bestFit="1" customWidth="1"/>
    <col min="4" max="4" width="12" bestFit="1" customWidth="1"/>
    <col min="5" max="5" width="13.85546875" bestFit="1" customWidth="1"/>
    <col min="6" max="7" width="9.42578125" bestFit="1" customWidth="1"/>
    <col min="8" max="8" width="9.5703125" bestFit="1" customWidth="1"/>
    <col min="9" max="9" width="9.28515625" bestFit="1" customWidth="1"/>
    <col min="10" max="10" width="7.5703125" bestFit="1" customWidth="1"/>
    <col min="11" max="11" width="8" bestFit="1" customWidth="1"/>
    <col min="12" max="12" width="8.5703125" bestFit="1" customWidth="1"/>
    <col min="13" max="14" width="9.28515625" bestFit="1" customWidth="1"/>
    <col min="15" max="15" width="9.42578125" bestFit="1" customWidth="1"/>
    <col min="17" max="17" width="7.42578125" bestFit="1" customWidth="1"/>
    <col min="18" max="18" width="7.85546875" bestFit="1" customWidth="1"/>
    <col min="19" max="19" width="8.42578125" bestFit="1" customWidth="1"/>
    <col min="21" max="21" width="12" customWidth="1"/>
  </cols>
  <sheetData>
    <row r="1" spans="1:23" x14ac:dyDescent="0.25">
      <c r="A1" t="s">
        <v>27</v>
      </c>
      <c r="B1" t="s">
        <v>28</v>
      </c>
      <c r="C1" t="s">
        <v>1</v>
      </c>
      <c r="D1" t="s">
        <v>2</v>
      </c>
      <c r="E1" t="s">
        <v>29</v>
      </c>
      <c r="F1" t="s">
        <v>5</v>
      </c>
      <c r="G1" t="s">
        <v>9</v>
      </c>
      <c r="H1" t="s">
        <v>10</v>
      </c>
      <c r="I1" t="s">
        <v>11</v>
      </c>
      <c r="J1" t="s">
        <v>12</v>
      </c>
      <c r="K1" t="s">
        <v>13</v>
      </c>
      <c r="L1" t="s">
        <v>14</v>
      </c>
      <c r="M1" t="s">
        <v>15</v>
      </c>
      <c r="N1" t="s">
        <v>16</v>
      </c>
      <c r="O1" t="s">
        <v>17</v>
      </c>
      <c r="P1" t="s">
        <v>18</v>
      </c>
      <c r="Q1" t="s">
        <v>19</v>
      </c>
      <c r="R1" t="s">
        <v>20</v>
      </c>
      <c r="S1" t="s">
        <v>21</v>
      </c>
      <c r="U1" t="s">
        <v>174</v>
      </c>
      <c r="V1">
        <f>SUM(F2:S39)</f>
        <v>537</v>
      </c>
      <c r="W1" t="s">
        <v>175</v>
      </c>
    </row>
    <row r="2" spans="1:23" hidden="1" x14ac:dyDescent="0.25">
      <c r="A2" t="s">
        <v>24</v>
      </c>
      <c r="B2" t="s">
        <v>38</v>
      </c>
      <c r="C2">
        <v>0.35416666666666674</v>
      </c>
      <c r="D2">
        <v>0.6875</v>
      </c>
      <c r="E2">
        <v>0.33333333333333326</v>
      </c>
      <c r="F2">
        <v>2</v>
      </c>
      <c r="G2">
        <v>2</v>
      </c>
      <c r="H2">
        <v>2</v>
      </c>
      <c r="I2">
        <v>2</v>
      </c>
      <c r="J2">
        <v>1</v>
      </c>
      <c r="M2">
        <v>2</v>
      </c>
      <c r="N2">
        <v>2</v>
      </c>
      <c r="O2">
        <v>2</v>
      </c>
      <c r="P2">
        <v>2</v>
      </c>
      <c r="Q2">
        <v>1</v>
      </c>
      <c r="V2">
        <f>V1/2</f>
        <v>268.5</v>
      </c>
      <c r="W2" t="s">
        <v>176</v>
      </c>
    </row>
    <row r="3" spans="1:23" hidden="1" x14ac:dyDescent="0.25">
      <c r="A3" t="s">
        <v>24</v>
      </c>
      <c r="B3" t="s">
        <v>38</v>
      </c>
      <c r="C3">
        <v>0.35416666666666674</v>
      </c>
      <c r="D3">
        <v>0.70833333333333326</v>
      </c>
      <c r="E3">
        <v>0.35416666666666674</v>
      </c>
      <c r="J3">
        <v>1</v>
      </c>
      <c r="Q3">
        <v>1</v>
      </c>
    </row>
    <row r="4" spans="1:23" hidden="1" x14ac:dyDescent="0.25">
      <c r="A4" t="s">
        <v>24</v>
      </c>
      <c r="B4" t="s">
        <v>38</v>
      </c>
      <c r="C4">
        <v>0.29166666666666674</v>
      </c>
      <c r="D4">
        <v>0.625</v>
      </c>
      <c r="E4">
        <v>0.33333333333333326</v>
      </c>
      <c r="F4">
        <v>1</v>
      </c>
      <c r="G4">
        <v>1</v>
      </c>
      <c r="H4">
        <v>1</v>
      </c>
      <c r="I4">
        <v>1</v>
      </c>
      <c r="M4">
        <v>1</v>
      </c>
      <c r="N4">
        <v>1</v>
      </c>
      <c r="O4">
        <v>1</v>
      </c>
      <c r="P4">
        <v>1</v>
      </c>
      <c r="U4" t="s">
        <v>177</v>
      </c>
      <c r="V4">
        <f>V2*W4</f>
        <v>2040.6</v>
      </c>
      <c r="W4">
        <v>7.6</v>
      </c>
    </row>
    <row r="5" spans="1:23" hidden="1" x14ac:dyDescent="0.25">
      <c r="A5" t="s">
        <v>24</v>
      </c>
      <c r="B5" t="s">
        <v>34</v>
      </c>
      <c r="C5">
        <v>0.3125</v>
      </c>
      <c r="D5">
        <v>0.66666666666666674</v>
      </c>
      <c r="E5">
        <v>0.35416666666666674</v>
      </c>
      <c r="F5">
        <v>1</v>
      </c>
      <c r="G5">
        <v>1</v>
      </c>
      <c r="H5">
        <v>1</v>
      </c>
      <c r="M5">
        <v>1</v>
      </c>
      <c r="N5">
        <v>1</v>
      </c>
      <c r="O5">
        <v>1</v>
      </c>
    </row>
    <row r="6" spans="1:23" hidden="1" x14ac:dyDescent="0.25">
      <c r="A6" t="s">
        <v>24</v>
      </c>
      <c r="B6" t="s">
        <v>34</v>
      </c>
      <c r="C6">
        <v>0.3125</v>
      </c>
      <c r="D6">
        <v>0.625</v>
      </c>
      <c r="E6">
        <v>0.3125</v>
      </c>
      <c r="I6">
        <v>1</v>
      </c>
      <c r="J6">
        <v>1</v>
      </c>
      <c r="P6">
        <v>1</v>
      </c>
      <c r="Q6">
        <v>1</v>
      </c>
    </row>
    <row r="7" spans="1:23" hidden="1" x14ac:dyDescent="0.25">
      <c r="A7" t="s">
        <v>24</v>
      </c>
      <c r="B7" t="s">
        <v>36</v>
      </c>
      <c r="C7">
        <v>0.35416666666666674</v>
      </c>
      <c r="D7">
        <v>0.70833333333333326</v>
      </c>
      <c r="E7">
        <v>0.35416666666666674</v>
      </c>
      <c r="F7">
        <v>1</v>
      </c>
      <c r="G7">
        <v>1</v>
      </c>
      <c r="H7">
        <v>1</v>
      </c>
      <c r="I7">
        <v>1</v>
      </c>
      <c r="J7">
        <v>1</v>
      </c>
      <c r="M7">
        <v>1</v>
      </c>
      <c r="N7">
        <v>1</v>
      </c>
      <c r="O7">
        <v>1</v>
      </c>
      <c r="P7">
        <v>1</v>
      </c>
    </row>
    <row r="8" spans="1:23" hidden="1" x14ac:dyDescent="0.25">
      <c r="A8" t="s">
        <v>22</v>
      </c>
      <c r="B8" t="s">
        <v>8</v>
      </c>
      <c r="C8">
        <v>0.94791666666666674</v>
      </c>
      <c r="D8">
        <v>0.28125</v>
      </c>
      <c r="E8">
        <v>0.33333333333333326</v>
      </c>
      <c r="F8">
        <v>1</v>
      </c>
      <c r="G8">
        <v>1</v>
      </c>
      <c r="H8">
        <v>1</v>
      </c>
      <c r="I8">
        <v>1</v>
      </c>
      <c r="J8">
        <v>1</v>
      </c>
      <c r="K8">
        <v>1</v>
      </c>
      <c r="L8">
        <v>1</v>
      </c>
      <c r="M8">
        <v>1</v>
      </c>
      <c r="N8">
        <v>1</v>
      </c>
      <c r="O8">
        <v>1</v>
      </c>
      <c r="P8">
        <v>1</v>
      </c>
      <c r="Q8">
        <v>1</v>
      </c>
      <c r="R8">
        <v>1</v>
      </c>
      <c r="S8">
        <v>1</v>
      </c>
    </row>
    <row r="9" spans="1:23" hidden="1" x14ac:dyDescent="0.25">
      <c r="A9" t="s">
        <v>22</v>
      </c>
      <c r="B9" t="s">
        <v>8</v>
      </c>
      <c r="C9">
        <v>0.94791666666666674</v>
      </c>
      <c r="D9">
        <v>0.28125</v>
      </c>
      <c r="E9">
        <v>0.33333333333333326</v>
      </c>
      <c r="F9">
        <v>1</v>
      </c>
      <c r="G9">
        <v>1</v>
      </c>
      <c r="H9">
        <v>1</v>
      </c>
      <c r="I9">
        <v>1</v>
      </c>
      <c r="J9">
        <v>1</v>
      </c>
      <c r="K9">
        <v>1</v>
      </c>
      <c r="L9">
        <v>1</v>
      </c>
      <c r="M9">
        <v>1</v>
      </c>
      <c r="N9">
        <v>1</v>
      </c>
      <c r="O9">
        <v>1</v>
      </c>
      <c r="P9">
        <v>1</v>
      </c>
      <c r="Q9">
        <v>1</v>
      </c>
      <c r="R9">
        <v>1</v>
      </c>
      <c r="S9">
        <v>1</v>
      </c>
    </row>
    <row r="10" spans="1:23" hidden="1" x14ac:dyDescent="0.25">
      <c r="A10" t="s">
        <v>22</v>
      </c>
      <c r="B10" t="s">
        <v>8</v>
      </c>
      <c r="C10">
        <v>0.27083333333333326</v>
      </c>
      <c r="D10">
        <v>0.60416666666666674</v>
      </c>
      <c r="E10">
        <v>0.33333333333333326</v>
      </c>
      <c r="F10">
        <v>1</v>
      </c>
      <c r="G10">
        <v>1</v>
      </c>
      <c r="H10">
        <v>1</v>
      </c>
      <c r="I10">
        <v>1</v>
      </c>
      <c r="J10">
        <v>1</v>
      </c>
      <c r="K10">
        <v>1</v>
      </c>
      <c r="L10">
        <v>1</v>
      </c>
      <c r="M10">
        <v>1</v>
      </c>
      <c r="N10">
        <v>1</v>
      </c>
      <c r="O10">
        <v>1</v>
      </c>
      <c r="P10">
        <v>1</v>
      </c>
      <c r="Q10">
        <v>1</v>
      </c>
      <c r="R10">
        <v>1</v>
      </c>
      <c r="S10">
        <v>1</v>
      </c>
    </row>
    <row r="11" spans="1:23" hidden="1" x14ac:dyDescent="0.25">
      <c r="A11" t="s">
        <v>22</v>
      </c>
      <c r="B11" t="s">
        <v>8</v>
      </c>
      <c r="C11">
        <v>0.27083333333333326</v>
      </c>
      <c r="D11">
        <v>0.60416666666666674</v>
      </c>
      <c r="E11">
        <v>0.33333333333333326</v>
      </c>
      <c r="F11">
        <v>1</v>
      </c>
      <c r="G11">
        <v>1</v>
      </c>
      <c r="H11">
        <v>1</v>
      </c>
      <c r="I11">
        <v>1</v>
      </c>
      <c r="J11">
        <v>1</v>
      </c>
      <c r="K11">
        <v>1</v>
      </c>
      <c r="L11">
        <v>1</v>
      </c>
      <c r="M11">
        <v>1</v>
      </c>
      <c r="N11">
        <v>1</v>
      </c>
      <c r="O11">
        <v>1</v>
      </c>
      <c r="P11">
        <v>1</v>
      </c>
      <c r="Q11">
        <v>1</v>
      </c>
      <c r="R11">
        <v>1</v>
      </c>
      <c r="S11">
        <v>1</v>
      </c>
    </row>
    <row r="12" spans="1:23" hidden="1" x14ac:dyDescent="0.25">
      <c r="A12" t="s">
        <v>22</v>
      </c>
      <c r="B12" t="s">
        <v>8</v>
      </c>
      <c r="C12">
        <v>0.27083333333333326</v>
      </c>
      <c r="D12">
        <v>0.60416666666666674</v>
      </c>
      <c r="E12">
        <v>0.33333333333333326</v>
      </c>
      <c r="F12">
        <v>1</v>
      </c>
      <c r="G12">
        <v>1</v>
      </c>
      <c r="H12">
        <v>1</v>
      </c>
      <c r="I12">
        <v>1</v>
      </c>
      <c r="J12">
        <v>1</v>
      </c>
      <c r="K12">
        <v>1</v>
      </c>
      <c r="L12">
        <v>1</v>
      </c>
      <c r="M12">
        <v>1</v>
      </c>
      <c r="N12">
        <v>1</v>
      </c>
      <c r="O12">
        <v>1</v>
      </c>
      <c r="P12">
        <v>1</v>
      </c>
      <c r="Q12">
        <v>1</v>
      </c>
      <c r="R12">
        <v>1</v>
      </c>
      <c r="S12">
        <v>1</v>
      </c>
    </row>
    <row r="13" spans="1:23" hidden="1" x14ac:dyDescent="0.25">
      <c r="A13" t="s">
        <v>22</v>
      </c>
      <c r="B13" t="s">
        <v>8</v>
      </c>
      <c r="C13">
        <v>0.27083333333333326</v>
      </c>
      <c r="D13">
        <v>0.625</v>
      </c>
      <c r="E13">
        <v>0.35416666666666674</v>
      </c>
      <c r="F13">
        <v>1</v>
      </c>
      <c r="G13">
        <v>1</v>
      </c>
      <c r="H13">
        <v>1</v>
      </c>
      <c r="I13">
        <v>1</v>
      </c>
      <c r="J13">
        <v>1</v>
      </c>
      <c r="K13">
        <v>1</v>
      </c>
      <c r="L13">
        <v>1</v>
      </c>
      <c r="M13">
        <v>1</v>
      </c>
      <c r="N13">
        <v>1</v>
      </c>
      <c r="O13">
        <v>1</v>
      </c>
      <c r="P13">
        <v>1</v>
      </c>
      <c r="Q13">
        <v>1</v>
      </c>
      <c r="R13">
        <v>1</v>
      </c>
      <c r="S13">
        <v>1</v>
      </c>
    </row>
    <row r="14" spans="1:23" hidden="1" x14ac:dyDescent="0.25">
      <c r="A14" t="s">
        <v>22</v>
      </c>
      <c r="B14" t="s">
        <v>8</v>
      </c>
      <c r="C14">
        <v>0.60416666666666674</v>
      </c>
      <c r="D14">
        <v>0.91666666666666674</v>
      </c>
      <c r="E14">
        <v>0.3125</v>
      </c>
      <c r="F14">
        <v>1</v>
      </c>
      <c r="G14">
        <v>1</v>
      </c>
      <c r="H14">
        <v>1</v>
      </c>
      <c r="I14">
        <v>1</v>
      </c>
      <c r="J14">
        <v>1</v>
      </c>
      <c r="K14">
        <v>1</v>
      </c>
      <c r="L14">
        <v>1</v>
      </c>
      <c r="M14">
        <v>1</v>
      </c>
      <c r="N14">
        <v>1</v>
      </c>
      <c r="O14">
        <v>1</v>
      </c>
      <c r="P14">
        <v>1</v>
      </c>
      <c r="Q14">
        <v>1</v>
      </c>
      <c r="R14">
        <v>1</v>
      </c>
      <c r="S14">
        <v>1</v>
      </c>
    </row>
    <row r="15" spans="1:23" hidden="1" x14ac:dyDescent="0.25">
      <c r="A15" t="s">
        <v>22</v>
      </c>
      <c r="B15" t="s">
        <v>8</v>
      </c>
      <c r="C15">
        <v>0.60416666666666674</v>
      </c>
      <c r="D15">
        <v>0.95833333333333326</v>
      </c>
      <c r="E15">
        <v>0.35416666666666674</v>
      </c>
      <c r="F15">
        <v>1</v>
      </c>
      <c r="G15">
        <v>1</v>
      </c>
      <c r="H15">
        <v>1</v>
      </c>
      <c r="I15">
        <v>1</v>
      </c>
      <c r="J15">
        <v>1</v>
      </c>
      <c r="K15">
        <v>1</v>
      </c>
      <c r="L15">
        <v>1</v>
      </c>
      <c r="M15">
        <v>1</v>
      </c>
      <c r="N15">
        <v>1</v>
      </c>
      <c r="O15">
        <v>1</v>
      </c>
      <c r="P15">
        <v>1</v>
      </c>
      <c r="Q15">
        <v>1</v>
      </c>
      <c r="R15">
        <v>1</v>
      </c>
      <c r="S15">
        <v>1</v>
      </c>
    </row>
    <row r="16" spans="1:23" hidden="1" x14ac:dyDescent="0.25">
      <c r="A16" t="s">
        <v>22</v>
      </c>
      <c r="B16" t="s">
        <v>8</v>
      </c>
      <c r="C16">
        <v>0.60416666666666674</v>
      </c>
      <c r="D16">
        <v>0.95833333333333326</v>
      </c>
      <c r="E16">
        <v>0.35416666666666674</v>
      </c>
      <c r="F16">
        <v>1</v>
      </c>
      <c r="G16">
        <v>1</v>
      </c>
      <c r="H16">
        <v>1</v>
      </c>
      <c r="I16">
        <v>1</v>
      </c>
      <c r="J16">
        <v>1</v>
      </c>
      <c r="K16">
        <v>1</v>
      </c>
      <c r="L16">
        <v>1</v>
      </c>
      <c r="M16">
        <v>1</v>
      </c>
      <c r="N16">
        <v>1</v>
      </c>
      <c r="O16">
        <v>1</v>
      </c>
      <c r="P16">
        <v>1</v>
      </c>
      <c r="Q16">
        <v>1</v>
      </c>
      <c r="R16">
        <v>1</v>
      </c>
      <c r="S16">
        <v>1</v>
      </c>
    </row>
    <row r="17" spans="1:22" hidden="1" x14ac:dyDescent="0.25">
      <c r="A17" t="s">
        <v>7</v>
      </c>
      <c r="B17" t="s">
        <v>8</v>
      </c>
      <c r="C17">
        <v>0.94791666666666674</v>
      </c>
      <c r="D17">
        <v>0.28125</v>
      </c>
      <c r="E17">
        <v>0.33333333333333326</v>
      </c>
      <c r="F17">
        <v>1</v>
      </c>
      <c r="G17">
        <v>1</v>
      </c>
      <c r="H17">
        <v>1</v>
      </c>
      <c r="I17">
        <v>1</v>
      </c>
      <c r="J17">
        <v>1</v>
      </c>
      <c r="K17">
        <v>1</v>
      </c>
      <c r="L17">
        <v>1</v>
      </c>
      <c r="M17">
        <v>1</v>
      </c>
      <c r="N17">
        <v>1</v>
      </c>
      <c r="O17">
        <v>1</v>
      </c>
      <c r="P17">
        <v>1</v>
      </c>
      <c r="Q17">
        <v>1</v>
      </c>
      <c r="R17">
        <v>1</v>
      </c>
      <c r="S17">
        <v>1</v>
      </c>
    </row>
    <row r="18" spans="1:22" hidden="1" x14ac:dyDescent="0.25">
      <c r="A18" t="s">
        <v>7</v>
      </c>
      <c r="B18" t="s">
        <v>8</v>
      </c>
      <c r="C18">
        <v>0.94791666666666674</v>
      </c>
      <c r="D18">
        <v>0.28125</v>
      </c>
      <c r="E18">
        <v>0.33333333333333326</v>
      </c>
      <c r="F18">
        <v>1</v>
      </c>
      <c r="G18">
        <v>1</v>
      </c>
      <c r="H18">
        <v>1</v>
      </c>
      <c r="I18">
        <v>1</v>
      </c>
      <c r="J18">
        <v>1</v>
      </c>
      <c r="K18">
        <v>1</v>
      </c>
      <c r="L18">
        <v>1</v>
      </c>
      <c r="M18">
        <v>1</v>
      </c>
      <c r="N18">
        <v>1</v>
      </c>
      <c r="O18">
        <v>1</v>
      </c>
      <c r="P18">
        <v>1</v>
      </c>
      <c r="Q18">
        <v>1</v>
      </c>
      <c r="R18">
        <v>1</v>
      </c>
      <c r="S18">
        <v>1</v>
      </c>
      <c r="V18">
        <v>378</v>
      </c>
    </row>
    <row r="19" spans="1:22" hidden="1" x14ac:dyDescent="0.25">
      <c r="A19" t="s">
        <v>7</v>
      </c>
      <c r="B19" t="s">
        <v>8</v>
      </c>
      <c r="C19">
        <v>0.27083333333333326</v>
      </c>
      <c r="D19">
        <v>0.60416666666666674</v>
      </c>
      <c r="E19">
        <v>0.33333333333333326</v>
      </c>
      <c r="F19">
        <v>1</v>
      </c>
      <c r="G19">
        <v>1</v>
      </c>
      <c r="H19">
        <v>1</v>
      </c>
      <c r="I19">
        <v>1</v>
      </c>
      <c r="J19">
        <v>1</v>
      </c>
      <c r="K19">
        <v>1</v>
      </c>
      <c r="L19">
        <v>1</v>
      </c>
      <c r="M19">
        <v>1</v>
      </c>
      <c r="N19">
        <v>1</v>
      </c>
      <c r="O19">
        <v>1</v>
      </c>
      <c r="P19">
        <v>1</v>
      </c>
      <c r="Q19">
        <v>1</v>
      </c>
      <c r="R19">
        <v>1</v>
      </c>
      <c r="S19">
        <v>1</v>
      </c>
    </row>
    <row r="20" spans="1:22" hidden="1" x14ac:dyDescent="0.25">
      <c r="A20" t="s">
        <v>7</v>
      </c>
      <c r="B20" t="s">
        <v>8</v>
      </c>
      <c r="C20">
        <v>0.27083333333333326</v>
      </c>
      <c r="D20">
        <v>0.60416666666666674</v>
      </c>
      <c r="E20">
        <v>0.33333333333333326</v>
      </c>
      <c r="F20">
        <v>1</v>
      </c>
      <c r="G20">
        <v>1</v>
      </c>
      <c r="H20">
        <v>1</v>
      </c>
      <c r="I20">
        <v>1</v>
      </c>
      <c r="J20">
        <v>1</v>
      </c>
      <c r="K20">
        <v>1</v>
      </c>
      <c r="L20">
        <v>1</v>
      </c>
      <c r="M20">
        <v>1</v>
      </c>
      <c r="N20">
        <v>1</v>
      </c>
      <c r="O20">
        <v>1</v>
      </c>
      <c r="P20">
        <v>1</v>
      </c>
      <c r="Q20">
        <v>1</v>
      </c>
      <c r="R20">
        <v>1</v>
      </c>
      <c r="S20">
        <v>1</v>
      </c>
    </row>
    <row r="21" spans="1:22" hidden="1" x14ac:dyDescent="0.25">
      <c r="A21" t="s">
        <v>7</v>
      </c>
      <c r="B21" t="s">
        <v>8</v>
      </c>
      <c r="C21">
        <v>0.27083333333333326</v>
      </c>
      <c r="D21">
        <v>0.60416666666666674</v>
      </c>
      <c r="E21">
        <v>0.33333333333333326</v>
      </c>
      <c r="F21">
        <v>1</v>
      </c>
      <c r="G21">
        <v>1</v>
      </c>
      <c r="H21">
        <v>1</v>
      </c>
      <c r="I21">
        <v>1</v>
      </c>
      <c r="J21">
        <v>1</v>
      </c>
      <c r="K21">
        <v>1</v>
      </c>
      <c r="L21">
        <v>1</v>
      </c>
      <c r="M21">
        <v>1</v>
      </c>
      <c r="N21">
        <v>1</v>
      </c>
      <c r="O21">
        <v>1</v>
      </c>
      <c r="P21">
        <v>1</v>
      </c>
      <c r="Q21">
        <v>1</v>
      </c>
      <c r="R21">
        <v>1</v>
      </c>
      <c r="S21">
        <v>1</v>
      </c>
      <c r="V21">
        <f>SUM(F2:S39)</f>
        <v>537</v>
      </c>
    </row>
    <row r="22" spans="1:22" hidden="1" x14ac:dyDescent="0.25">
      <c r="A22" t="s">
        <v>7</v>
      </c>
      <c r="B22" t="s">
        <v>8</v>
      </c>
      <c r="C22">
        <v>0.27083333333333326</v>
      </c>
      <c r="D22">
        <v>0.625</v>
      </c>
      <c r="E22">
        <v>0.35416666666666674</v>
      </c>
      <c r="F22">
        <v>1</v>
      </c>
      <c r="G22">
        <v>1</v>
      </c>
      <c r="H22">
        <v>1</v>
      </c>
      <c r="I22">
        <v>1</v>
      </c>
      <c r="J22">
        <v>1</v>
      </c>
      <c r="K22">
        <v>1</v>
      </c>
      <c r="L22">
        <v>1</v>
      </c>
      <c r="M22">
        <v>1</v>
      </c>
      <c r="N22">
        <v>1</v>
      </c>
      <c r="O22">
        <v>1</v>
      </c>
      <c r="P22">
        <v>1</v>
      </c>
      <c r="Q22">
        <v>1</v>
      </c>
      <c r="R22">
        <v>1</v>
      </c>
      <c r="S22">
        <v>1</v>
      </c>
    </row>
    <row r="23" spans="1:22" hidden="1" x14ac:dyDescent="0.25">
      <c r="A23" t="s">
        <v>7</v>
      </c>
      <c r="B23" t="s">
        <v>8</v>
      </c>
      <c r="C23">
        <v>0.5</v>
      </c>
      <c r="D23">
        <v>0.83333333333333326</v>
      </c>
      <c r="E23">
        <v>0.33333333333333326</v>
      </c>
      <c r="F23">
        <v>1</v>
      </c>
      <c r="G23">
        <v>1</v>
      </c>
      <c r="H23">
        <v>1</v>
      </c>
      <c r="I23">
        <v>1</v>
      </c>
      <c r="J23">
        <v>1</v>
      </c>
      <c r="K23">
        <v>1</v>
      </c>
      <c r="L23">
        <v>1</v>
      </c>
      <c r="M23">
        <v>1</v>
      </c>
      <c r="N23">
        <v>1</v>
      </c>
      <c r="O23">
        <v>1</v>
      </c>
      <c r="P23">
        <v>1</v>
      </c>
      <c r="Q23">
        <v>1</v>
      </c>
      <c r="R23">
        <v>1</v>
      </c>
      <c r="S23">
        <v>1</v>
      </c>
    </row>
    <row r="24" spans="1:22" hidden="1" x14ac:dyDescent="0.25">
      <c r="A24" t="s">
        <v>7</v>
      </c>
      <c r="B24" t="s">
        <v>8</v>
      </c>
      <c r="C24">
        <v>0.60416666666666674</v>
      </c>
      <c r="D24">
        <v>0.91666666666666674</v>
      </c>
      <c r="E24">
        <v>0.3125</v>
      </c>
      <c r="F24">
        <v>1</v>
      </c>
      <c r="G24">
        <v>1</v>
      </c>
      <c r="H24">
        <v>1</v>
      </c>
      <c r="I24">
        <v>1</v>
      </c>
      <c r="J24">
        <v>1</v>
      </c>
      <c r="K24">
        <v>1</v>
      </c>
      <c r="L24">
        <v>1</v>
      </c>
      <c r="M24">
        <v>1</v>
      </c>
      <c r="N24">
        <v>1</v>
      </c>
      <c r="O24">
        <v>1</v>
      </c>
      <c r="P24">
        <v>1</v>
      </c>
      <c r="Q24">
        <v>1</v>
      </c>
      <c r="R24">
        <v>1</v>
      </c>
      <c r="S24">
        <v>1</v>
      </c>
    </row>
    <row r="25" spans="1:22" hidden="1" x14ac:dyDescent="0.25">
      <c r="A25" t="s">
        <v>7</v>
      </c>
      <c r="B25" t="s">
        <v>8</v>
      </c>
      <c r="C25">
        <v>0.60416666666666674</v>
      </c>
      <c r="D25">
        <v>0.95833333333333326</v>
      </c>
      <c r="E25">
        <v>0.35416666666666674</v>
      </c>
      <c r="F25">
        <v>1</v>
      </c>
      <c r="G25">
        <v>1</v>
      </c>
      <c r="H25">
        <v>1</v>
      </c>
      <c r="I25">
        <v>1</v>
      </c>
      <c r="J25">
        <v>1</v>
      </c>
      <c r="K25">
        <v>1</v>
      </c>
      <c r="L25">
        <v>1</v>
      </c>
      <c r="M25">
        <v>1</v>
      </c>
      <c r="N25">
        <v>1</v>
      </c>
      <c r="O25">
        <v>1</v>
      </c>
      <c r="P25">
        <v>1</v>
      </c>
      <c r="Q25">
        <v>1</v>
      </c>
      <c r="R25">
        <v>1</v>
      </c>
      <c r="S25">
        <v>1</v>
      </c>
    </row>
    <row r="26" spans="1:22" hidden="1" x14ac:dyDescent="0.25">
      <c r="A26" t="s">
        <v>7</v>
      </c>
      <c r="B26" t="s">
        <v>8</v>
      </c>
      <c r="C26">
        <v>0.60416666666666674</v>
      </c>
      <c r="D26">
        <v>0.95833333333333326</v>
      </c>
      <c r="E26">
        <v>0.35416666666666674</v>
      </c>
      <c r="F26">
        <v>1</v>
      </c>
      <c r="G26">
        <v>1</v>
      </c>
      <c r="H26">
        <v>1</v>
      </c>
      <c r="I26">
        <v>1</v>
      </c>
      <c r="J26">
        <v>1</v>
      </c>
      <c r="K26">
        <v>1</v>
      </c>
      <c r="L26">
        <v>1</v>
      </c>
      <c r="M26">
        <v>1</v>
      </c>
      <c r="N26">
        <v>1</v>
      </c>
      <c r="O26">
        <v>1</v>
      </c>
      <c r="P26">
        <v>1</v>
      </c>
      <c r="Q26">
        <v>1</v>
      </c>
      <c r="R26">
        <v>1</v>
      </c>
      <c r="S26">
        <v>1</v>
      </c>
    </row>
    <row r="27" spans="1:22" hidden="1" x14ac:dyDescent="0.25">
      <c r="A27" t="s">
        <v>23</v>
      </c>
      <c r="B27" t="s">
        <v>8</v>
      </c>
      <c r="C27">
        <v>0.94791666666666674</v>
      </c>
      <c r="D27">
        <v>0.28125</v>
      </c>
      <c r="E27">
        <v>0.33333333333333326</v>
      </c>
      <c r="F27">
        <v>1</v>
      </c>
      <c r="G27">
        <v>1</v>
      </c>
      <c r="H27">
        <v>1</v>
      </c>
      <c r="I27">
        <v>1</v>
      </c>
      <c r="J27">
        <v>1</v>
      </c>
      <c r="K27">
        <v>1</v>
      </c>
      <c r="L27">
        <v>1</v>
      </c>
      <c r="M27">
        <v>1</v>
      </c>
      <c r="N27">
        <v>1</v>
      </c>
      <c r="O27">
        <v>1</v>
      </c>
      <c r="P27">
        <v>1</v>
      </c>
      <c r="Q27">
        <v>1</v>
      </c>
      <c r="R27">
        <v>1</v>
      </c>
      <c r="S27">
        <v>1</v>
      </c>
    </row>
    <row r="28" spans="1:22" hidden="1" x14ac:dyDescent="0.25">
      <c r="A28" t="s">
        <v>23</v>
      </c>
      <c r="B28" t="s">
        <v>8</v>
      </c>
      <c r="C28">
        <v>0.27083333333333326</v>
      </c>
      <c r="D28">
        <v>0.54166666666666674</v>
      </c>
      <c r="E28">
        <v>0.27083333333333326</v>
      </c>
      <c r="F28">
        <v>1</v>
      </c>
      <c r="G28">
        <v>1</v>
      </c>
      <c r="H28">
        <v>1</v>
      </c>
      <c r="I28">
        <v>1</v>
      </c>
      <c r="J28">
        <v>1</v>
      </c>
      <c r="K28">
        <v>1</v>
      </c>
      <c r="L28">
        <v>1</v>
      </c>
      <c r="M28">
        <v>1</v>
      </c>
      <c r="N28">
        <v>1</v>
      </c>
      <c r="O28">
        <v>1</v>
      </c>
      <c r="P28">
        <v>1</v>
      </c>
      <c r="Q28">
        <v>1</v>
      </c>
      <c r="R28">
        <v>1</v>
      </c>
      <c r="S28">
        <v>1</v>
      </c>
    </row>
    <row r="29" spans="1:22" hidden="1" x14ac:dyDescent="0.25">
      <c r="A29" t="s">
        <v>23</v>
      </c>
      <c r="B29" t="s">
        <v>8</v>
      </c>
      <c r="C29">
        <v>0.27083333333333326</v>
      </c>
      <c r="D29">
        <v>0.60416666666666674</v>
      </c>
      <c r="E29">
        <v>0.33333333333333326</v>
      </c>
      <c r="F29">
        <v>1</v>
      </c>
      <c r="G29">
        <v>1</v>
      </c>
      <c r="H29">
        <v>1</v>
      </c>
      <c r="I29">
        <v>1</v>
      </c>
      <c r="J29">
        <v>1</v>
      </c>
      <c r="K29">
        <v>1</v>
      </c>
      <c r="L29">
        <v>1</v>
      </c>
      <c r="M29">
        <v>1</v>
      </c>
      <c r="N29">
        <v>1</v>
      </c>
      <c r="O29">
        <v>1</v>
      </c>
      <c r="P29">
        <v>1</v>
      </c>
      <c r="Q29">
        <v>1</v>
      </c>
      <c r="R29">
        <v>1</v>
      </c>
      <c r="S29">
        <v>1</v>
      </c>
    </row>
    <row r="30" spans="1:22" hidden="1" x14ac:dyDescent="0.25">
      <c r="A30" t="s">
        <v>23</v>
      </c>
      <c r="B30" t="s">
        <v>8</v>
      </c>
      <c r="C30">
        <v>0.27083333333333326</v>
      </c>
      <c r="D30">
        <v>0.60416666666666674</v>
      </c>
      <c r="E30">
        <v>0.33333333333333326</v>
      </c>
      <c r="F30">
        <v>1</v>
      </c>
      <c r="G30">
        <v>1</v>
      </c>
      <c r="H30">
        <v>1</v>
      </c>
      <c r="I30">
        <v>1</v>
      </c>
      <c r="J30">
        <v>1</v>
      </c>
      <c r="K30">
        <v>1</v>
      </c>
      <c r="L30">
        <v>1</v>
      </c>
      <c r="M30">
        <v>1</v>
      </c>
      <c r="N30">
        <v>1</v>
      </c>
      <c r="O30">
        <v>1</v>
      </c>
      <c r="P30">
        <v>1</v>
      </c>
      <c r="Q30">
        <v>1</v>
      </c>
      <c r="R30">
        <v>1</v>
      </c>
      <c r="S30">
        <v>1</v>
      </c>
    </row>
    <row r="31" spans="1:22" hidden="1" x14ac:dyDescent="0.25">
      <c r="A31" t="s">
        <v>23</v>
      </c>
      <c r="B31" t="s">
        <v>8</v>
      </c>
      <c r="C31">
        <v>0.27083333333333326</v>
      </c>
      <c r="D31">
        <v>0.625</v>
      </c>
      <c r="E31">
        <v>0.35416666666666674</v>
      </c>
      <c r="F31">
        <v>1</v>
      </c>
      <c r="G31">
        <v>1</v>
      </c>
      <c r="H31">
        <v>1</v>
      </c>
      <c r="I31">
        <v>1</v>
      </c>
      <c r="J31">
        <v>1</v>
      </c>
      <c r="K31">
        <v>1</v>
      </c>
      <c r="L31">
        <v>1</v>
      </c>
      <c r="M31">
        <v>1</v>
      </c>
      <c r="N31">
        <v>1</v>
      </c>
      <c r="O31">
        <v>1</v>
      </c>
      <c r="P31">
        <v>1</v>
      </c>
      <c r="Q31">
        <v>1</v>
      </c>
      <c r="R31">
        <v>1</v>
      </c>
      <c r="S31">
        <v>1</v>
      </c>
    </row>
    <row r="32" spans="1:22" hidden="1" x14ac:dyDescent="0.25">
      <c r="A32" t="s">
        <v>23</v>
      </c>
      <c r="B32" t="s">
        <v>8</v>
      </c>
      <c r="C32">
        <v>0.60416666666666674</v>
      </c>
      <c r="D32">
        <v>0.91666666666666674</v>
      </c>
      <c r="E32">
        <v>0.3125</v>
      </c>
      <c r="F32">
        <v>1</v>
      </c>
      <c r="G32">
        <v>1</v>
      </c>
      <c r="H32">
        <v>1</v>
      </c>
      <c r="I32">
        <v>1</v>
      </c>
      <c r="J32">
        <v>1</v>
      </c>
      <c r="K32">
        <v>1</v>
      </c>
      <c r="L32">
        <v>1</v>
      </c>
      <c r="M32">
        <v>1</v>
      </c>
      <c r="N32">
        <v>1</v>
      </c>
      <c r="O32">
        <v>1</v>
      </c>
      <c r="P32">
        <v>1</v>
      </c>
      <c r="Q32">
        <v>1</v>
      </c>
      <c r="R32">
        <v>1</v>
      </c>
      <c r="S32">
        <v>1</v>
      </c>
    </row>
    <row r="33" spans="1:19" hidden="1" x14ac:dyDescent="0.25">
      <c r="A33" t="s">
        <v>23</v>
      </c>
      <c r="B33" t="s">
        <v>8</v>
      </c>
      <c r="C33">
        <v>0.60416666666666674</v>
      </c>
      <c r="D33">
        <v>0.95833333333333326</v>
      </c>
      <c r="E33">
        <v>0.35416666666666674</v>
      </c>
      <c r="F33">
        <v>1</v>
      </c>
      <c r="G33">
        <v>1</v>
      </c>
      <c r="H33">
        <v>1</v>
      </c>
      <c r="I33">
        <v>1</v>
      </c>
      <c r="J33">
        <v>1</v>
      </c>
      <c r="K33">
        <v>1</v>
      </c>
      <c r="L33">
        <v>1</v>
      </c>
      <c r="M33">
        <v>1</v>
      </c>
      <c r="N33">
        <v>1</v>
      </c>
      <c r="O33">
        <v>1</v>
      </c>
      <c r="P33">
        <v>1</v>
      </c>
      <c r="Q33">
        <v>1</v>
      </c>
      <c r="R33">
        <v>1</v>
      </c>
      <c r="S33">
        <v>1</v>
      </c>
    </row>
    <row r="34" spans="1:19" hidden="1" x14ac:dyDescent="0.25">
      <c r="A34" t="s">
        <v>23</v>
      </c>
      <c r="B34" t="s">
        <v>8</v>
      </c>
      <c r="C34">
        <v>0.60416666666666674</v>
      </c>
      <c r="D34">
        <v>0.95833333333333326</v>
      </c>
      <c r="E34">
        <v>0.35416666666666674</v>
      </c>
      <c r="F34">
        <v>1</v>
      </c>
      <c r="G34">
        <v>1</v>
      </c>
      <c r="H34">
        <v>1</v>
      </c>
      <c r="I34">
        <v>1</v>
      </c>
      <c r="J34">
        <v>1</v>
      </c>
      <c r="K34">
        <v>1</v>
      </c>
      <c r="L34">
        <v>1</v>
      </c>
      <c r="M34">
        <v>1</v>
      </c>
      <c r="N34">
        <v>1</v>
      </c>
      <c r="O34">
        <v>1</v>
      </c>
      <c r="P34">
        <v>1</v>
      </c>
      <c r="Q34">
        <v>1</v>
      </c>
      <c r="R34">
        <v>1</v>
      </c>
      <c r="S34">
        <v>1</v>
      </c>
    </row>
    <row r="35" spans="1:19" hidden="1" x14ac:dyDescent="0.25">
      <c r="A35" t="s">
        <v>24</v>
      </c>
      <c r="B35" t="s">
        <v>44</v>
      </c>
      <c r="C35">
        <v>0.27083333333333326</v>
      </c>
      <c r="D35">
        <v>0.58333333333333326</v>
      </c>
      <c r="E35">
        <v>0.3125</v>
      </c>
      <c r="F35">
        <v>1</v>
      </c>
      <c r="G35">
        <v>1</v>
      </c>
      <c r="H35">
        <v>1</v>
      </c>
      <c r="I35">
        <v>1</v>
      </c>
      <c r="J35">
        <v>1</v>
      </c>
      <c r="K35">
        <v>1</v>
      </c>
      <c r="L35">
        <v>1</v>
      </c>
      <c r="M35">
        <v>1</v>
      </c>
      <c r="N35">
        <v>1</v>
      </c>
      <c r="O35">
        <v>1</v>
      </c>
      <c r="P35">
        <v>1</v>
      </c>
      <c r="Q35">
        <v>1</v>
      </c>
      <c r="R35">
        <v>1</v>
      </c>
      <c r="S35">
        <v>1</v>
      </c>
    </row>
    <row r="36" spans="1:19" hidden="1" x14ac:dyDescent="0.25">
      <c r="A36" t="s">
        <v>24</v>
      </c>
      <c r="B36" t="s">
        <v>44</v>
      </c>
      <c r="C36">
        <v>0.29166666666666674</v>
      </c>
      <c r="D36">
        <v>0.625</v>
      </c>
      <c r="E36">
        <v>0.33333333333333326</v>
      </c>
      <c r="F36">
        <v>3</v>
      </c>
      <c r="G36">
        <v>3</v>
      </c>
      <c r="H36">
        <v>3</v>
      </c>
      <c r="I36">
        <v>3</v>
      </c>
      <c r="J36">
        <v>3</v>
      </c>
      <c r="K36">
        <v>3</v>
      </c>
      <c r="L36">
        <v>3</v>
      </c>
      <c r="M36">
        <v>3</v>
      </c>
      <c r="N36">
        <v>3</v>
      </c>
      <c r="O36">
        <v>3</v>
      </c>
      <c r="P36">
        <v>3</v>
      </c>
      <c r="Q36">
        <v>3</v>
      </c>
      <c r="R36">
        <v>3</v>
      </c>
      <c r="S36">
        <v>3</v>
      </c>
    </row>
    <row r="37" spans="1:19" hidden="1" x14ac:dyDescent="0.25">
      <c r="A37" t="s">
        <v>24</v>
      </c>
      <c r="B37" t="s">
        <v>44</v>
      </c>
      <c r="C37">
        <v>0.58333333333333326</v>
      </c>
      <c r="D37">
        <v>0.79166666666666674</v>
      </c>
      <c r="E37">
        <v>0.20833333333333326</v>
      </c>
      <c r="F37">
        <v>1</v>
      </c>
      <c r="G37">
        <v>1</v>
      </c>
      <c r="H37">
        <v>1</v>
      </c>
      <c r="I37">
        <v>1</v>
      </c>
      <c r="J37">
        <v>1</v>
      </c>
      <c r="K37">
        <v>1</v>
      </c>
      <c r="L37">
        <v>1</v>
      </c>
      <c r="M37">
        <v>1</v>
      </c>
      <c r="N37">
        <v>1</v>
      </c>
      <c r="O37">
        <v>1</v>
      </c>
      <c r="P37">
        <v>1</v>
      </c>
      <c r="Q37">
        <v>1</v>
      </c>
      <c r="R37">
        <v>1</v>
      </c>
      <c r="S37">
        <v>1</v>
      </c>
    </row>
    <row r="38" spans="1:19" hidden="1" x14ac:dyDescent="0.25">
      <c r="A38" t="s">
        <v>24</v>
      </c>
      <c r="B38" t="s">
        <v>44</v>
      </c>
      <c r="C38">
        <v>0.625</v>
      </c>
      <c r="D38">
        <v>0.79166666666666674</v>
      </c>
      <c r="E38">
        <v>0.16666666666666674</v>
      </c>
      <c r="F38">
        <v>2</v>
      </c>
      <c r="G38">
        <v>2</v>
      </c>
      <c r="H38">
        <v>2</v>
      </c>
      <c r="I38">
        <v>2</v>
      </c>
      <c r="J38">
        <v>2</v>
      </c>
      <c r="K38">
        <v>2</v>
      </c>
      <c r="L38">
        <v>2</v>
      </c>
      <c r="M38">
        <v>2</v>
      </c>
      <c r="N38">
        <v>2</v>
      </c>
      <c r="O38">
        <v>2</v>
      </c>
      <c r="P38">
        <v>2</v>
      </c>
      <c r="Q38">
        <v>2</v>
      </c>
      <c r="R38">
        <v>2</v>
      </c>
      <c r="S38">
        <v>2</v>
      </c>
    </row>
    <row r="39" spans="1:19" hidden="1" x14ac:dyDescent="0.25">
      <c r="A39" t="s">
        <v>24</v>
      </c>
      <c r="B39" t="s">
        <v>43</v>
      </c>
      <c r="C39">
        <v>0.25</v>
      </c>
      <c r="D39">
        <v>0.58333333333333326</v>
      </c>
      <c r="E39">
        <v>0.33333333333333326</v>
      </c>
      <c r="F39">
        <v>1</v>
      </c>
      <c r="G39">
        <v>1</v>
      </c>
      <c r="H39">
        <v>1</v>
      </c>
      <c r="I39">
        <v>1</v>
      </c>
      <c r="J39">
        <v>1</v>
      </c>
      <c r="K39">
        <v>1</v>
      </c>
      <c r="L39">
        <v>1</v>
      </c>
      <c r="M39">
        <v>1</v>
      </c>
      <c r="N39">
        <v>1</v>
      </c>
      <c r="O39">
        <v>1</v>
      </c>
      <c r="P39">
        <v>1</v>
      </c>
      <c r="Q39">
        <v>1</v>
      </c>
      <c r="R39">
        <v>1</v>
      </c>
      <c r="S39">
        <v>1</v>
      </c>
    </row>
    <row r="40" spans="1:19" hidden="1" x14ac:dyDescent="0.25">
      <c r="A40" t="s">
        <v>24</v>
      </c>
      <c r="B40" t="s">
        <v>32</v>
      </c>
      <c r="C40">
        <v>0.27083333333333326</v>
      </c>
      <c r="D40">
        <v>0.625</v>
      </c>
      <c r="E40">
        <v>0.35416666666666674</v>
      </c>
      <c r="F40">
        <v>1</v>
      </c>
      <c r="G40">
        <v>1</v>
      </c>
      <c r="H40">
        <v>1</v>
      </c>
      <c r="I40">
        <v>1</v>
      </c>
      <c r="M40">
        <v>1</v>
      </c>
      <c r="N40">
        <v>1</v>
      </c>
      <c r="O40">
        <v>1</v>
      </c>
      <c r="P40">
        <v>1</v>
      </c>
    </row>
    <row r="41" spans="1:19" x14ac:dyDescent="0.25">
      <c r="A41" t="s">
        <v>24</v>
      </c>
      <c r="B41" t="s">
        <v>26</v>
      </c>
      <c r="C41">
        <v>0.27083333333333326</v>
      </c>
      <c r="D41">
        <v>0.58333333333333326</v>
      </c>
      <c r="E41">
        <v>0.3125</v>
      </c>
      <c r="I41">
        <v>1</v>
      </c>
      <c r="J41">
        <v>1</v>
      </c>
      <c r="P41">
        <v>1</v>
      </c>
      <c r="Q41">
        <v>1</v>
      </c>
    </row>
    <row r="42" spans="1:19" x14ac:dyDescent="0.25">
      <c r="A42" t="s">
        <v>24</v>
      </c>
      <c r="B42" t="s">
        <v>26</v>
      </c>
      <c r="C42">
        <v>0.27083333333333326</v>
      </c>
      <c r="D42">
        <v>0.625</v>
      </c>
      <c r="E42">
        <v>0.35416666666666674</v>
      </c>
      <c r="F42">
        <v>1</v>
      </c>
      <c r="G42">
        <v>1</v>
      </c>
      <c r="H42">
        <v>1</v>
      </c>
      <c r="M42">
        <v>1</v>
      </c>
      <c r="N42">
        <v>1</v>
      </c>
      <c r="O42">
        <v>1</v>
      </c>
    </row>
    <row r="43" spans="1:19" hidden="1" x14ac:dyDescent="0.25">
      <c r="A43" t="s">
        <v>24</v>
      </c>
      <c r="B43" t="s">
        <v>35</v>
      </c>
      <c r="C43">
        <v>0.35416666666666674</v>
      </c>
      <c r="D43">
        <v>0.70833333333333326</v>
      </c>
      <c r="E43">
        <v>0.35416666666666674</v>
      </c>
      <c r="F43">
        <v>1</v>
      </c>
      <c r="G43">
        <v>1</v>
      </c>
      <c r="H43">
        <v>1</v>
      </c>
      <c r="I43">
        <v>1</v>
      </c>
      <c r="J43">
        <v>1</v>
      </c>
      <c r="M43">
        <v>1</v>
      </c>
      <c r="N43">
        <v>1</v>
      </c>
      <c r="O43">
        <v>1</v>
      </c>
      <c r="P43">
        <v>1</v>
      </c>
      <c r="Q43">
        <v>1</v>
      </c>
    </row>
    <row r="44" spans="1:19" hidden="1" x14ac:dyDescent="0.25">
      <c r="A44" t="s">
        <v>24</v>
      </c>
      <c r="B44" t="s">
        <v>39</v>
      </c>
      <c r="C44">
        <v>0.27083333333333326</v>
      </c>
      <c r="D44">
        <v>0.5625</v>
      </c>
      <c r="E44">
        <v>0.29166666666666674</v>
      </c>
      <c r="F44">
        <v>1</v>
      </c>
      <c r="G44">
        <v>1</v>
      </c>
      <c r="H44">
        <v>1</v>
      </c>
      <c r="I44">
        <v>1</v>
      </c>
      <c r="J44">
        <v>1</v>
      </c>
    </row>
    <row r="45" spans="1:19" hidden="1" x14ac:dyDescent="0.25">
      <c r="A45" t="s">
        <v>24</v>
      </c>
      <c r="B45" t="s">
        <v>39</v>
      </c>
      <c r="C45">
        <v>0.27083333333333326</v>
      </c>
      <c r="D45">
        <v>0.58333333333333326</v>
      </c>
      <c r="E45">
        <v>0.3125</v>
      </c>
      <c r="N45">
        <v>1</v>
      </c>
      <c r="O45">
        <v>1</v>
      </c>
      <c r="P45">
        <v>1</v>
      </c>
    </row>
    <row r="46" spans="1:19" hidden="1" x14ac:dyDescent="0.25">
      <c r="A46" t="s">
        <v>24</v>
      </c>
      <c r="B46" t="s">
        <v>39</v>
      </c>
      <c r="C46">
        <v>0.29166666666666674</v>
      </c>
      <c r="D46">
        <v>0.625</v>
      </c>
      <c r="E46">
        <v>0.33333333333333326</v>
      </c>
      <c r="J46">
        <v>1</v>
      </c>
      <c r="Q46">
        <v>2</v>
      </c>
    </row>
    <row r="47" spans="1:19" hidden="1" x14ac:dyDescent="0.25">
      <c r="A47" t="s">
        <v>24</v>
      </c>
      <c r="B47" t="s">
        <v>41</v>
      </c>
      <c r="C47">
        <v>0.29166666666666674</v>
      </c>
      <c r="D47">
        <v>0.64583333333333326</v>
      </c>
      <c r="E47">
        <v>0.35416666666666674</v>
      </c>
      <c r="J47">
        <v>1</v>
      </c>
      <c r="Q47">
        <v>1</v>
      </c>
    </row>
    <row r="48" spans="1:19" hidden="1" x14ac:dyDescent="0.25">
      <c r="A48" t="s">
        <v>24</v>
      </c>
      <c r="B48" t="s">
        <v>41</v>
      </c>
      <c r="C48">
        <v>0.375</v>
      </c>
      <c r="D48">
        <v>0.64583333333333326</v>
      </c>
      <c r="E48">
        <v>0.27083333333333326</v>
      </c>
      <c r="F48">
        <v>1</v>
      </c>
      <c r="G48">
        <v>1</v>
      </c>
      <c r="M48">
        <v>1</v>
      </c>
      <c r="N48">
        <v>1</v>
      </c>
    </row>
    <row r="49" spans="1:19" hidden="1" x14ac:dyDescent="0.25">
      <c r="A49" t="s">
        <v>24</v>
      </c>
      <c r="B49" t="s">
        <v>41</v>
      </c>
      <c r="C49">
        <v>0.35416666666666674</v>
      </c>
      <c r="D49">
        <v>0.625</v>
      </c>
      <c r="E49">
        <v>0.27083333333333326</v>
      </c>
      <c r="H49">
        <v>1</v>
      </c>
      <c r="J49">
        <v>1</v>
      </c>
      <c r="O49">
        <v>1</v>
      </c>
      <c r="Q49">
        <v>1</v>
      </c>
    </row>
    <row r="50" spans="1:19" hidden="1" x14ac:dyDescent="0.25">
      <c r="A50" t="s">
        <v>24</v>
      </c>
      <c r="B50" t="s">
        <v>41</v>
      </c>
      <c r="C50">
        <v>0.29166666666666674</v>
      </c>
      <c r="D50">
        <v>0.625</v>
      </c>
      <c r="E50">
        <v>0.33333333333333326</v>
      </c>
      <c r="F50">
        <v>1</v>
      </c>
      <c r="G50">
        <v>1</v>
      </c>
      <c r="H50">
        <v>1</v>
      </c>
      <c r="I50">
        <v>1</v>
      </c>
      <c r="M50">
        <v>1</v>
      </c>
      <c r="N50">
        <v>1</v>
      </c>
      <c r="O50">
        <v>1</v>
      </c>
      <c r="P50">
        <v>1</v>
      </c>
    </row>
    <row r="51" spans="1:19" hidden="1" x14ac:dyDescent="0.25">
      <c r="A51" t="s">
        <v>24</v>
      </c>
      <c r="B51" t="s">
        <v>41</v>
      </c>
      <c r="C51">
        <v>0.33333333333333326</v>
      </c>
      <c r="D51">
        <v>0.64583333333333326</v>
      </c>
      <c r="E51">
        <v>0.3125</v>
      </c>
      <c r="F51">
        <v>1</v>
      </c>
      <c r="M51">
        <v>1</v>
      </c>
    </row>
    <row r="52" spans="1:19" hidden="1" x14ac:dyDescent="0.25">
      <c r="A52" t="s">
        <v>24</v>
      </c>
      <c r="B52" t="s">
        <v>37</v>
      </c>
      <c r="C52">
        <v>0.33333333333333326</v>
      </c>
      <c r="D52">
        <v>0.66666666666666674</v>
      </c>
      <c r="E52">
        <v>0.33333333333333326</v>
      </c>
      <c r="F52">
        <v>1</v>
      </c>
      <c r="M52">
        <v>1</v>
      </c>
    </row>
    <row r="53" spans="1:19" hidden="1" x14ac:dyDescent="0.25">
      <c r="A53" t="s">
        <v>24</v>
      </c>
      <c r="B53" t="s">
        <v>37</v>
      </c>
      <c r="C53">
        <v>0.33333333333333326</v>
      </c>
      <c r="D53">
        <v>0.64583333333333326</v>
      </c>
      <c r="E53">
        <v>0.3125</v>
      </c>
      <c r="G53">
        <v>1</v>
      </c>
      <c r="H53">
        <v>1</v>
      </c>
      <c r="I53">
        <v>1</v>
      </c>
      <c r="J53">
        <v>1</v>
      </c>
      <c r="N53">
        <v>1</v>
      </c>
      <c r="O53">
        <v>1</v>
      </c>
      <c r="P53">
        <v>1</v>
      </c>
    </row>
    <row r="54" spans="1:19" hidden="1" x14ac:dyDescent="0.25">
      <c r="A54" t="s">
        <v>24</v>
      </c>
      <c r="B54" t="s">
        <v>40</v>
      </c>
      <c r="C54">
        <v>0.27083333333333326</v>
      </c>
      <c r="D54">
        <v>0.5625</v>
      </c>
      <c r="E54">
        <v>0.29166666666666674</v>
      </c>
      <c r="I54">
        <v>1</v>
      </c>
      <c r="J54">
        <v>1</v>
      </c>
      <c r="M54">
        <v>2</v>
      </c>
      <c r="N54">
        <v>1</v>
      </c>
      <c r="O54">
        <v>1</v>
      </c>
      <c r="P54">
        <v>1</v>
      </c>
      <c r="Q54">
        <v>2</v>
      </c>
    </row>
    <row r="55" spans="1:19" hidden="1" x14ac:dyDescent="0.25">
      <c r="A55" t="s">
        <v>24</v>
      </c>
      <c r="B55" t="s">
        <v>40</v>
      </c>
      <c r="C55">
        <v>0.27083333333333326</v>
      </c>
      <c r="D55">
        <v>0.58333333333333326</v>
      </c>
      <c r="E55">
        <v>0.3125</v>
      </c>
      <c r="F55">
        <v>1</v>
      </c>
      <c r="G55">
        <v>1</v>
      </c>
      <c r="H55">
        <v>1</v>
      </c>
    </row>
    <row r="56" spans="1:19" hidden="1" x14ac:dyDescent="0.25">
      <c r="A56" t="s">
        <v>24</v>
      </c>
      <c r="B56" t="s">
        <v>40</v>
      </c>
      <c r="C56">
        <v>0.29166666666666674</v>
      </c>
      <c r="D56">
        <v>0.58333333333333326</v>
      </c>
      <c r="E56">
        <v>0.29166666666666674</v>
      </c>
      <c r="F56">
        <v>1</v>
      </c>
      <c r="J56">
        <v>1</v>
      </c>
      <c r="M56">
        <v>1</v>
      </c>
      <c r="N56">
        <v>1</v>
      </c>
      <c r="O56">
        <v>1</v>
      </c>
      <c r="P56">
        <v>1</v>
      </c>
      <c r="Q56">
        <v>1</v>
      </c>
    </row>
    <row r="57" spans="1:19" hidden="1" x14ac:dyDescent="0.25">
      <c r="A57" t="s">
        <v>24</v>
      </c>
      <c r="B57" t="s">
        <v>40</v>
      </c>
      <c r="C57">
        <v>0.29166666666666674</v>
      </c>
      <c r="D57">
        <v>0.60416666666666674</v>
      </c>
      <c r="E57">
        <v>0.3125</v>
      </c>
      <c r="G57">
        <v>2</v>
      </c>
      <c r="H57">
        <v>1</v>
      </c>
      <c r="I57">
        <v>1</v>
      </c>
      <c r="P57">
        <v>1</v>
      </c>
      <c r="Q57">
        <v>1</v>
      </c>
    </row>
    <row r="58" spans="1:19" hidden="1" x14ac:dyDescent="0.25">
      <c r="A58" t="s">
        <v>24</v>
      </c>
      <c r="B58" t="s">
        <v>31</v>
      </c>
      <c r="C58">
        <v>0.33333333333333326</v>
      </c>
      <c r="D58">
        <v>0.66666666666666674</v>
      </c>
      <c r="E58">
        <v>0.33333333333333326</v>
      </c>
      <c r="F58">
        <v>1</v>
      </c>
      <c r="G58">
        <v>2</v>
      </c>
      <c r="H58">
        <v>2</v>
      </c>
      <c r="I58">
        <v>2</v>
      </c>
      <c r="J58">
        <v>1</v>
      </c>
      <c r="K58">
        <v>1</v>
      </c>
      <c r="M58">
        <v>1</v>
      </c>
      <c r="N58">
        <v>2</v>
      </c>
      <c r="O58">
        <v>2</v>
      </c>
      <c r="P58">
        <v>2</v>
      </c>
      <c r="Q58">
        <v>1</v>
      </c>
      <c r="R58">
        <v>1</v>
      </c>
    </row>
    <row r="59" spans="1:19" hidden="1" x14ac:dyDescent="0.25">
      <c r="A59" t="s">
        <v>24</v>
      </c>
      <c r="B59" t="s">
        <v>30</v>
      </c>
      <c r="C59">
        <v>0.33333333333333326</v>
      </c>
      <c r="D59">
        <v>0.66666666666666674</v>
      </c>
      <c r="E59">
        <v>0.33333333333333326</v>
      </c>
      <c r="F59">
        <v>1</v>
      </c>
      <c r="G59">
        <v>1</v>
      </c>
      <c r="H59">
        <v>1</v>
      </c>
      <c r="I59">
        <v>1</v>
      </c>
      <c r="J59">
        <v>1</v>
      </c>
      <c r="M59">
        <v>1</v>
      </c>
      <c r="N59">
        <v>1</v>
      </c>
      <c r="O59">
        <v>1</v>
      </c>
      <c r="P59">
        <v>1</v>
      </c>
      <c r="Q59">
        <v>1</v>
      </c>
    </row>
    <row r="60" spans="1:19" hidden="1" x14ac:dyDescent="0.25">
      <c r="A60" t="s">
        <v>24</v>
      </c>
      <c r="B60" t="s">
        <v>42</v>
      </c>
      <c r="C60">
        <v>0.33333333333333326</v>
      </c>
      <c r="D60">
        <v>0.66666666666666674</v>
      </c>
      <c r="E60">
        <v>0.33333333333333326</v>
      </c>
      <c r="F60">
        <v>1</v>
      </c>
      <c r="G60">
        <v>1</v>
      </c>
      <c r="H60">
        <v>1</v>
      </c>
      <c r="I60">
        <v>1</v>
      </c>
      <c r="J60">
        <v>1</v>
      </c>
      <c r="M60">
        <v>1</v>
      </c>
      <c r="N60">
        <v>1</v>
      </c>
      <c r="O60">
        <v>1</v>
      </c>
      <c r="P60">
        <v>1</v>
      </c>
      <c r="Q60">
        <v>1</v>
      </c>
    </row>
    <row r="61" spans="1:19" hidden="1" x14ac:dyDescent="0.25">
      <c r="A61" t="s">
        <v>24</v>
      </c>
      <c r="B61" t="s">
        <v>33</v>
      </c>
      <c r="C61">
        <v>0.33333333333333326</v>
      </c>
      <c r="D61">
        <v>0.58333333333333326</v>
      </c>
      <c r="E61">
        <v>0.25</v>
      </c>
      <c r="G61">
        <v>1</v>
      </c>
      <c r="I61">
        <v>1</v>
      </c>
      <c r="J61">
        <v>1</v>
      </c>
      <c r="N61">
        <v>1</v>
      </c>
      <c r="P61">
        <v>1</v>
      </c>
      <c r="Q61">
        <v>1</v>
      </c>
    </row>
    <row r="62" spans="1:19" hidden="1" x14ac:dyDescent="0.25">
      <c r="A62" t="s">
        <v>24</v>
      </c>
      <c r="B62" t="s">
        <v>33</v>
      </c>
      <c r="C62">
        <v>0.33333333333333326</v>
      </c>
      <c r="D62">
        <v>0.54166666666666674</v>
      </c>
      <c r="E62">
        <v>0.20833333333333326</v>
      </c>
      <c r="H62">
        <v>1</v>
      </c>
      <c r="O62">
        <v>1</v>
      </c>
    </row>
    <row r="63" spans="1:19" x14ac:dyDescent="0.25">
      <c r="A63" t="s">
        <v>24</v>
      </c>
      <c r="B63" t="s">
        <v>25</v>
      </c>
      <c r="C63">
        <v>0.27083333333333326</v>
      </c>
      <c r="D63">
        <v>0.625</v>
      </c>
      <c r="E63">
        <v>0.35416666666666674</v>
      </c>
      <c r="F63">
        <v>2</v>
      </c>
      <c r="G63">
        <v>2</v>
      </c>
      <c r="H63">
        <v>2</v>
      </c>
      <c r="I63">
        <v>2</v>
      </c>
      <c r="J63">
        <v>2</v>
      </c>
      <c r="K63">
        <v>2</v>
      </c>
      <c r="L63">
        <v>2</v>
      </c>
      <c r="M63">
        <v>2</v>
      </c>
      <c r="N63">
        <v>2</v>
      </c>
      <c r="O63">
        <v>2</v>
      </c>
      <c r="P63">
        <v>2</v>
      </c>
      <c r="Q63">
        <v>2</v>
      </c>
      <c r="R63">
        <v>2</v>
      </c>
      <c r="S63">
        <v>2</v>
      </c>
    </row>
    <row r="64" spans="1:19" x14ac:dyDescent="0.25">
      <c r="A64" t="s">
        <v>24</v>
      </c>
      <c r="B64" t="s">
        <v>25</v>
      </c>
      <c r="C64">
        <v>0.60416666666666674</v>
      </c>
      <c r="D64">
        <v>0.95833333333333326</v>
      </c>
      <c r="E64">
        <v>0.35416666666666674</v>
      </c>
      <c r="F64">
        <v>2</v>
      </c>
      <c r="G64">
        <v>2</v>
      </c>
      <c r="H64">
        <v>2</v>
      </c>
      <c r="I64">
        <v>2</v>
      </c>
      <c r="J64">
        <v>2</v>
      </c>
      <c r="K64">
        <v>2</v>
      </c>
      <c r="L64">
        <v>2</v>
      </c>
      <c r="M64">
        <v>2</v>
      </c>
      <c r="N64">
        <v>2</v>
      </c>
      <c r="O64">
        <v>2</v>
      </c>
      <c r="P64">
        <v>2</v>
      </c>
      <c r="Q64">
        <v>2</v>
      </c>
      <c r="R64">
        <v>2</v>
      </c>
      <c r="S64">
        <v>2</v>
      </c>
    </row>
    <row r="65" spans="1:19" x14ac:dyDescent="0.25">
      <c r="A65" t="s">
        <v>24</v>
      </c>
      <c r="B65" t="s">
        <v>25</v>
      </c>
      <c r="C65">
        <v>0.94791666666666674</v>
      </c>
      <c r="D65">
        <v>0.29166666666666674</v>
      </c>
      <c r="E65">
        <v>0.34375</v>
      </c>
      <c r="F65">
        <v>1</v>
      </c>
      <c r="G65">
        <v>1</v>
      </c>
      <c r="H65">
        <v>1</v>
      </c>
      <c r="I65">
        <v>1</v>
      </c>
      <c r="J65">
        <v>1</v>
      </c>
      <c r="K65">
        <v>1</v>
      </c>
      <c r="L65">
        <v>1</v>
      </c>
      <c r="M65">
        <v>1</v>
      </c>
      <c r="N65">
        <v>1</v>
      </c>
      <c r="O65">
        <v>1</v>
      </c>
      <c r="P65">
        <v>1</v>
      </c>
      <c r="Q65">
        <v>1</v>
      </c>
      <c r="R65">
        <v>1</v>
      </c>
      <c r="S65">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61A4-D815-4261-8044-CA842A610CB3}">
  <dimension ref="A1:L127"/>
  <sheetViews>
    <sheetView workbookViewId="0">
      <selection activeCell="V17" sqref="V17"/>
    </sheetView>
  </sheetViews>
  <sheetFormatPr defaultRowHeight="15" x14ac:dyDescent="0.25"/>
  <cols>
    <col min="1" max="1" width="10.7109375" bestFit="1" customWidth="1"/>
    <col min="2" max="2" width="6.5703125" bestFit="1" customWidth="1"/>
    <col min="3" max="3" width="7.42578125" bestFit="1" customWidth="1"/>
    <col min="5" max="5" width="7.28515625" bestFit="1" customWidth="1"/>
    <col min="6" max="7" width="15.85546875" bestFit="1" customWidth="1"/>
    <col min="8" max="8" width="7.140625" bestFit="1" customWidth="1"/>
    <col min="9" max="9" width="9.5703125" bestFit="1" customWidth="1"/>
    <col min="10" max="10" width="13.7109375" bestFit="1" customWidth="1"/>
    <col min="11" max="11" width="14.140625" bestFit="1" customWidth="1"/>
    <col min="12" max="12" width="18.28515625" bestFit="1" customWidth="1"/>
    <col min="13" max="13" width="15.7109375" bestFit="1" customWidth="1"/>
    <col min="14" max="14" width="13.7109375" bestFit="1" customWidth="1"/>
    <col min="15" max="15" width="14.140625" bestFit="1" customWidth="1"/>
  </cols>
  <sheetData>
    <row r="1" spans="1:12" x14ac:dyDescent="0.25">
      <c r="A1" t="s">
        <v>56</v>
      </c>
      <c r="B1" t="s">
        <v>198</v>
      </c>
      <c r="C1" t="s">
        <v>0</v>
      </c>
      <c r="D1" t="s">
        <v>199</v>
      </c>
      <c r="E1" t="s">
        <v>28</v>
      </c>
      <c r="F1" t="s">
        <v>54</v>
      </c>
      <c r="G1" t="s">
        <v>55</v>
      </c>
      <c r="H1" t="s">
        <v>27</v>
      </c>
      <c r="I1" t="s">
        <v>45</v>
      </c>
      <c r="J1" t="s">
        <v>3</v>
      </c>
      <c r="K1" t="s">
        <v>4</v>
      </c>
      <c r="L1" t="s">
        <v>206</v>
      </c>
    </row>
    <row r="2" spans="1:12" x14ac:dyDescent="0.25">
      <c r="A2" s="2">
        <v>45572</v>
      </c>
      <c r="B2">
        <v>1</v>
      </c>
      <c r="C2" t="s">
        <v>6</v>
      </c>
      <c r="D2">
        <v>1</v>
      </c>
      <c r="E2" t="s">
        <v>201</v>
      </c>
      <c r="F2" s="1">
        <v>45572.291666666664</v>
      </c>
      <c r="G2" s="1">
        <v>45572.635416666664</v>
      </c>
      <c r="J2">
        <v>14.310060866451845</v>
      </c>
      <c r="K2">
        <v>118.05800214822773</v>
      </c>
      <c r="L2">
        <v>8.25</v>
      </c>
    </row>
    <row r="3" spans="1:12" hidden="1" x14ac:dyDescent="0.25">
      <c r="A3" s="2">
        <v>45572</v>
      </c>
      <c r="B3">
        <v>1</v>
      </c>
      <c r="C3" t="s">
        <v>6</v>
      </c>
      <c r="D3">
        <v>1</v>
      </c>
      <c r="E3" t="s">
        <v>202</v>
      </c>
      <c r="F3" s="1">
        <v>45572.291666666664</v>
      </c>
      <c r="G3" s="1">
        <v>45572.635416666664</v>
      </c>
      <c r="J3">
        <v>3.1563909774436092</v>
      </c>
      <c r="K3">
        <v>26.040225563909775</v>
      </c>
      <c r="L3">
        <v>8.25</v>
      </c>
    </row>
    <row r="4" spans="1:12" hidden="1" x14ac:dyDescent="0.25">
      <c r="A4" s="2">
        <v>45572</v>
      </c>
      <c r="B4">
        <v>1</v>
      </c>
      <c r="C4" t="s">
        <v>6</v>
      </c>
      <c r="D4">
        <v>1</v>
      </c>
      <c r="E4" t="s">
        <v>203</v>
      </c>
      <c r="F4" s="1">
        <v>45572.291666666664</v>
      </c>
      <c r="G4" s="1">
        <v>45572.583333333336</v>
      </c>
      <c r="J4">
        <v>5.7593984962406006</v>
      </c>
      <c r="K4">
        <v>40.315789473684205</v>
      </c>
      <c r="L4">
        <v>7</v>
      </c>
    </row>
    <row r="5" spans="1:12" x14ac:dyDescent="0.25">
      <c r="A5" s="2">
        <v>45572</v>
      </c>
      <c r="B5">
        <v>1</v>
      </c>
      <c r="C5" t="s">
        <v>171</v>
      </c>
      <c r="D5">
        <v>2</v>
      </c>
      <c r="E5" t="s">
        <v>201</v>
      </c>
      <c r="F5" s="1">
        <v>45572.635416666664</v>
      </c>
      <c r="G5" s="1">
        <v>45572.9375</v>
      </c>
      <c r="J5">
        <v>11.626924453992125</v>
      </c>
      <c r="K5">
        <v>84.295202291442905</v>
      </c>
      <c r="L5">
        <v>7.25</v>
      </c>
    </row>
    <row r="6" spans="1:12" hidden="1" x14ac:dyDescent="0.25">
      <c r="A6" s="2">
        <v>45572</v>
      </c>
      <c r="B6">
        <v>1</v>
      </c>
      <c r="C6" t="s">
        <v>171</v>
      </c>
      <c r="D6">
        <v>2</v>
      </c>
      <c r="E6" t="s">
        <v>202</v>
      </c>
      <c r="F6" s="1">
        <v>45572.635416666664</v>
      </c>
      <c r="G6" s="1">
        <v>45572.9375</v>
      </c>
      <c r="J6">
        <v>2.1042606516290729</v>
      </c>
      <c r="K6">
        <v>15.255889724310778</v>
      </c>
      <c r="L6">
        <v>7.25</v>
      </c>
    </row>
    <row r="7" spans="1:12" hidden="1" x14ac:dyDescent="0.25">
      <c r="A7" s="2">
        <v>45572</v>
      </c>
      <c r="B7">
        <v>1</v>
      </c>
      <c r="C7" t="s">
        <v>171</v>
      </c>
      <c r="D7">
        <v>2</v>
      </c>
      <c r="E7" t="s">
        <v>203</v>
      </c>
      <c r="F7" s="1">
        <v>45572.583333333336</v>
      </c>
      <c r="G7" s="1">
        <v>45572.885416666664</v>
      </c>
      <c r="J7">
        <v>2.8796992481203003</v>
      </c>
      <c r="K7">
        <v>20.877819548872179</v>
      </c>
      <c r="L7">
        <v>7.25</v>
      </c>
    </row>
    <row r="8" spans="1:12" x14ac:dyDescent="0.25">
      <c r="A8" s="2">
        <v>45572</v>
      </c>
      <c r="B8">
        <v>1</v>
      </c>
      <c r="C8" t="s">
        <v>172</v>
      </c>
      <c r="D8">
        <v>3</v>
      </c>
      <c r="E8" t="s">
        <v>201</v>
      </c>
      <c r="F8" s="1">
        <v>45572.9375</v>
      </c>
      <c r="G8" s="1">
        <v>45573.291666666664</v>
      </c>
      <c r="J8">
        <v>5.3662728249194425</v>
      </c>
      <c r="K8">
        <v>45.613319011815264</v>
      </c>
      <c r="L8">
        <v>8.5</v>
      </c>
    </row>
    <row r="9" spans="1:12" hidden="1" x14ac:dyDescent="0.25">
      <c r="A9" s="2">
        <v>45572</v>
      </c>
      <c r="B9">
        <v>1</v>
      </c>
      <c r="C9" t="s">
        <v>172</v>
      </c>
      <c r="D9">
        <v>3</v>
      </c>
      <c r="E9" t="s">
        <v>202</v>
      </c>
      <c r="F9" s="1">
        <v>45572.9375</v>
      </c>
      <c r="G9" s="1">
        <v>45573.291666666664</v>
      </c>
      <c r="J9">
        <v>1</v>
      </c>
      <c r="K9">
        <v>8.5</v>
      </c>
      <c r="L9">
        <v>8.5</v>
      </c>
    </row>
    <row r="10" spans="1:12" hidden="1" x14ac:dyDescent="0.25">
      <c r="A10" s="2">
        <v>45572</v>
      </c>
      <c r="B10">
        <v>1</v>
      </c>
      <c r="C10" t="s">
        <v>172</v>
      </c>
      <c r="D10">
        <v>3</v>
      </c>
      <c r="E10" t="s">
        <v>203</v>
      </c>
      <c r="F10" s="1">
        <v>45572.885416666664</v>
      </c>
      <c r="G10" s="1">
        <v>45573.291666666664</v>
      </c>
      <c r="J10">
        <v>1</v>
      </c>
      <c r="K10">
        <v>9.75</v>
      </c>
      <c r="L10">
        <v>9.75</v>
      </c>
    </row>
    <row r="11" spans="1:12" x14ac:dyDescent="0.25">
      <c r="A11" s="2">
        <v>45573</v>
      </c>
      <c r="B11">
        <v>2</v>
      </c>
      <c r="C11" t="s">
        <v>6</v>
      </c>
      <c r="D11">
        <v>4</v>
      </c>
      <c r="E11" t="s">
        <v>201</v>
      </c>
      <c r="F11" s="1">
        <v>45573.291666666664</v>
      </c>
      <c r="G11" s="1">
        <v>45573.635416666664</v>
      </c>
      <c r="J11">
        <v>14.310060866451845</v>
      </c>
      <c r="K11">
        <v>118.05800214822773</v>
      </c>
      <c r="L11">
        <v>8.25</v>
      </c>
    </row>
    <row r="12" spans="1:12" hidden="1" x14ac:dyDescent="0.25">
      <c r="A12" s="2">
        <v>45573</v>
      </c>
      <c r="B12">
        <v>2</v>
      </c>
      <c r="C12" t="s">
        <v>6</v>
      </c>
      <c r="D12">
        <v>4</v>
      </c>
      <c r="E12" t="s">
        <v>202</v>
      </c>
      <c r="F12" s="1">
        <v>45573.291666666664</v>
      </c>
      <c r="G12" s="1">
        <v>45573.635416666664</v>
      </c>
      <c r="J12">
        <v>3.1563909774436092</v>
      </c>
      <c r="K12">
        <v>26.040225563909775</v>
      </c>
      <c r="L12">
        <v>8.25</v>
      </c>
    </row>
    <row r="13" spans="1:12" hidden="1" x14ac:dyDescent="0.25">
      <c r="A13" s="2">
        <v>45573</v>
      </c>
      <c r="B13">
        <v>2</v>
      </c>
      <c r="C13" t="s">
        <v>6</v>
      </c>
      <c r="D13">
        <v>4</v>
      </c>
      <c r="E13" t="s">
        <v>203</v>
      </c>
      <c r="F13" s="1">
        <v>45573.291666666664</v>
      </c>
      <c r="G13" s="1">
        <v>45573.583333333336</v>
      </c>
      <c r="J13">
        <v>5.7593984962406006</v>
      </c>
      <c r="K13">
        <v>40.315789473684205</v>
      </c>
      <c r="L13">
        <v>7</v>
      </c>
    </row>
    <row r="14" spans="1:12" x14ac:dyDescent="0.25">
      <c r="A14" s="2">
        <v>45573</v>
      </c>
      <c r="B14">
        <v>2</v>
      </c>
      <c r="C14" t="s">
        <v>171</v>
      </c>
      <c r="D14">
        <v>5</v>
      </c>
      <c r="E14" t="s">
        <v>201</v>
      </c>
      <c r="F14" s="1">
        <v>45573.635416666664</v>
      </c>
      <c r="G14" s="1">
        <v>45573.9375</v>
      </c>
      <c r="J14">
        <v>11.626924453992125</v>
      </c>
      <c r="K14">
        <v>84.295202291442905</v>
      </c>
      <c r="L14">
        <v>7.25</v>
      </c>
    </row>
    <row r="15" spans="1:12" hidden="1" x14ac:dyDescent="0.25">
      <c r="A15" s="2">
        <v>45573</v>
      </c>
      <c r="B15">
        <v>2</v>
      </c>
      <c r="C15" t="s">
        <v>171</v>
      </c>
      <c r="D15">
        <v>5</v>
      </c>
      <c r="E15" t="s">
        <v>202</v>
      </c>
      <c r="F15" s="1">
        <v>45573.635416666664</v>
      </c>
      <c r="G15" s="1">
        <v>45573.9375</v>
      </c>
      <c r="J15">
        <v>2.1042606516290729</v>
      </c>
      <c r="K15">
        <v>15.255889724310778</v>
      </c>
      <c r="L15">
        <v>7.25</v>
      </c>
    </row>
    <row r="16" spans="1:12" hidden="1" x14ac:dyDescent="0.25">
      <c r="A16" s="2">
        <v>45573</v>
      </c>
      <c r="B16">
        <v>2</v>
      </c>
      <c r="C16" t="s">
        <v>171</v>
      </c>
      <c r="D16">
        <v>5</v>
      </c>
      <c r="E16" t="s">
        <v>203</v>
      </c>
      <c r="F16" s="1">
        <v>45573.583333333336</v>
      </c>
      <c r="G16" s="1">
        <v>45573.885416666664</v>
      </c>
      <c r="J16">
        <v>2.8796992481203003</v>
      </c>
      <c r="K16">
        <v>20.877819548872179</v>
      </c>
      <c r="L16">
        <v>7.25</v>
      </c>
    </row>
    <row r="17" spans="1:12" x14ac:dyDescent="0.25">
      <c r="A17" s="2">
        <v>45573</v>
      </c>
      <c r="B17">
        <v>2</v>
      </c>
      <c r="C17" t="s">
        <v>172</v>
      </c>
      <c r="D17">
        <v>6</v>
      </c>
      <c r="E17" t="s">
        <v>201</v>
      </c>
      <c r="F17" s="1">
        <v>45573.9375</v>
      </c>
      <c r="G17" s="1">
        <v>45574.291666666664</v>
      </c>
      <c r="J17">
        <v>5.3662728249194425</v>
      </c>
      <c r="K17">
        <v>45.613319011815264</v>
      </c>
      <c r="L17">
        <v>8.5</v>
      </c>
    </row>
    <row r="18" spans="1:12" hidden="1" x14ac:dyDescent="0.25">
      <c r="A18" s="2">
        <v>45573</v>
      </c>
      <c r="B18">
        <v>2</v>
      </c>
      <c r="C18" t="s">
        <v>172</v>
      </c>
      <c r="D18">
        <v>6</v>
      </c>
      <c r="E18" t="s">
        <v>202</v>
      </c>
      <c r="F18" s="1">
        <v>45573.9375</v>
      </c>
      <c r="G18" s="1">
        <v>45574.291666666664</v>
      </c>
      <c r="J18">
        <v>1</v>
      </c>
      <c r="K18">
        <v>8.5</v>
      </c>
      <c r="L18">
        <v>8.5</v>
      </c>
    </row>
    <row r="19" spans="1:12" hidden="1" x14ac:dyDescent="0.25">
      <c r="A19" s="2">
        <v>45573</v>
      </c>
      <c r="B19">
        <v>2</v>
      </c>
      <c r="C19" t="s">
        <v>172</v>
      </c>
      <c r="D19">
        <v>6</v>
      </c>
      <c r="E19" t="s">
        <v>203</v>
      </c>
      <c r="F19" s="1">
        <v>45573.885416666664</v>
      </c>
      <c r="G19" s="1">
        <v>45574.291666666664</v>
      </c>
      <c r="J19">
        <v>1</v>
      </c>
      <c r="K19">
        <v>9.75</v>
      </c>
      <c r="L19">
        <v>9.75</v>
      </c>
    </row>
    <row r="20" spans="1:12" x14ac:dyDescent="0.25">
      <c r="A20" s="2">
        <v>45574</v>
      </c>
      <c r="B20">
        <v>3</v>
      </c>
      <c r="C20" t="s">
        <v>6</v>
      </c>
      <c r="D20">
        <v>7</v>
      </c>
      <c r="E20" t="s">
        <v>201</v>
      </c>
      <c r="F20" s="1">
        <v>45574.291666666664</v>
      </c>
      <c r="G20" s="1">
        <v>45574.635416666664</v>
      </c>
      <c r="J20">
        <v>14.310060866451845</v>
      </c>
      <c r="K20">
        <v>118.05800214822773</v>
      </c>
      <c r="L20">
        <v>8.25</v>
      </c>
    </row>
    <row r="21" spans="1:12" hidden="1" x14ac:dyDescent="0.25">
      <c r="A21" s="2">
        <v>45574</v>
      </c>
      <c r="B21">
        <v>3</v>
      </c>
      <c r="C21" t="s">
        <v>6</v>
      </c>
      <c r="D21">
        <v>7</v>
      </c>
      <c r="E21" t="s">
        <v>202</v>
      </c>
      <c r="F21" s="1">
        <v>45574.291666666664</v>
      </c>
      <c r="G21" s="1">
        <v>45574.635416666664</v>
      </c>
      <c r="J21">
        <v>3.1563909774436092</v>
      </c>
      <c r="K21">
        <v>26.040225563909775</v>
      </c>
      <c r="L21">
        <v>8.25</v>
      </c>
    </row>
    <row r="22" spans="1:12" hidden="1" x14ac:dyDescent="0.25">
      <c r="A22" s="2">
        <v>45574</v>
      </c>
      <c r="B22">
        <v>3</v>
      </c>
      <c r="C22" t="s">
        <v>6</v>
      </c>
      <c r="D22">
        <v>7</v>
      </c>
      <c r="E22" t="s">
        <v>203</v>
      </c>
      <c r="F22" s="1">
        <v>45574.291666666664</v>
      </c>
      <c r="G22" s="1">
        <v>45574.583333333336</v>
      </c>
      <c r="J22">
        <v>5.7593984962406006</v>
      </c>
      <c r="K22">
        <v>40.315789473684205</v>
      </c>
      <c r="L22">
        <v>7</v>
      </c>
    </row>
    <row r="23" spans="1:12" x14ac:dyDescent="0.25">
      <c r="A23" s="2">
        <v>45574</v>
      </c>
      <c r="B23">
        <v>3</v>
      </c>
      <c r="C23" t="s">
        <v>171</v>
      </c>
      <c r="D23">
        <v>8</v>
      </c>
      <c r="E23" t="s">
        <v>201</v>
      </c>
      <c r="F23" s="1">
        <v>45574.635416666664</v>
      </c>
      <c r="G23" s="1">
        <v>45574.9375</v>
      </c>
      <c r="J23">
        <v>11.626924453992125</v>
      </c>
      <c r="K23">
        <v>84.295202291442905</v>
      </c>
      <c r="L23">
        <v>7.25</v>
      </c>
    </row>
    <row r="24" spans="1:12" hidden="1" x14ac:dyDescent="0.25">
      <c r="A24" s="2">
        <v>45574</v>
      </c>
      <c r="B24">
        <v>3</v>
      </c>
      <c r="C24" t="s">
        <v>171</v>
      </c>
      <c r="D24">
        <v>8</v>
      </c>
      <c r="E24" t="s">
        <v>202</v>
      </c>
      <c r="F24" s="1">
        <v>45574.635416666664</v>
      </c>
      <c r="G24" s="1">
        <v>45574.9375</v>
      </c>
      <c r="J24">
        <v>2.1042606516290729</v>
      </c>
      <c r="K24">
        <v>15.255889724310778</v>
      </c>
      <c r="L24">
        <v>7.25</v>
      </c>
    </row>
    <row r="25" spans="1:12" hidden="1" x14ac:dyDescent="0.25">
      <c r="A25" s="2">
        <v>45574</v>
      </c>
      <c r="B25">
        <v>3</v>
      </c>
      <c r="C25" t="s">
        <v>171</v>
      </c>
      <c r="D25">
        <v>8</v>
      </c>
      <c r="E25" t="s">
        <v>203</v>
      </c>
      <c r="F25" s="1">
        <v>45574.583333333336</v>
      </c>
      <c r="G25" s="1">
        <v>45574.885416666664</v>
      </c>
      <c r="J25">
        <v>2.8796992481203003</v>
      </c>
      <c r="K25">
        <v>20.877819548872179</v>
      </c>
      <c r="L25">
        <v>7.25</v>
      </c>
    </row>
    <row r="26" spans="1:12" x14ac:dyDescent="0.25">
      <c r="A26" s="2">
        <v>45574</v>
      </c>
      <c r="B26">
        <v>3</v>
      </c>
      <c r="C26" t="s">
        <v>172</v>
      </c>
      <c r="D26">
        <v>9</v>
      </c>
      <c r="E26" t="s">
        <v>201</v>
      </c>
      <c r="F26" s="1">
        <v>45574.9375</v>
      </c>
      <c r="G26" s="1">
        <v>45575.291666666664</v>
      </c>
      <c r="J26">
        <v>5.3662728249194425</v>
      </c>
      <c r="K26">
        <v>45.613319011815264</v>
      </c>
      <c r="L26">
        <v>8.5</v>
      </c>
    </row>
    <row r="27" spans="1:12" hidden="1" x14ac:dyDescent="0.25">
      <c r="A27" s="2">
        <v>45574</v>
      </c>
      <c r="B27">
        <v>3</v>
      </c>
      <c r="C27" t="s">
        <v>172</v>
      </c>
      <c r="D27">
        <v>9</v>
      </c>
      <c r="E27" t="s">
        <v>202</v>
      </c>
      <c r="F27" s="1">
        <v>45574.9375</v>
      </c>
      <c r="G27" s="1">
        <v>45575.291666666664</v>
      </c>
      <c r="J27">
        <v>1</v>
      </c>
      <c r="K27">
        <v>8.5</v>
      </c>
      <c r="L27">
        <v>8.5</v>
      </c>
    </row>
    <row r="28" spans="1:12" hidden="1" x14ac:dyDescent="0.25">
      <c r="A28" s="2">
        <v>45574</v>
      </c>
      <c r="B28">
        <v>3</v>
      </c>
      <c r="C28" t="s">
        <v>172</v>
      </c>
      <c r="D28">
        <v>9</v>
      </c>
      <c r="E28" t="s">
        <v>203</v>
      </c>
      <c r="F28" s="1">
        <v>45574.885416666664</v>
      </c>
      <c r="G28" s="1">
        <v>45575.291666666664</v>
      </c>
      <c r="J28">
        <v>1</v>
      </c>
      <c r="K28">
        <v>9.75</v>
      </c>
      <c r="L28">
        <v>9.75</v>
      </c>
    </row>
    <row r="29" spans="1:12" x14ac:dyDescent="0.25">
      <c r="A29" s="2">
        <v>45575</v>
      </c>
      <c r="B29">
        <v>4</v>
      </c>
      <c r="C29" t="s">
        <v>6</v>
      </c>
      <c r="D29">
        <v>10</v>
      </c>
      <c r="E29" t="s">
        <v>201</v>
      </c>
      <c r="F29" s="1">
        <v>45575.291666666664</v>
      </c>
      <c r="G29" s="1">
        <v>45575.635416666664</v>
      </c>
      <c r="J29">
        <v>14.310060866451845</v>
      </c>
      <c r="K29">
        <v>118.05800214822773</v>
      </c>
      <c r="L29">
        <v>8.25</v>
      </c>
    </row>
    <row r="30" spans="1:12" hidden="1" x14ac:dyDescent="0.25">
      <c r="A30" s="2">
        <v>45575</v>
      </c>
      <c r="B30">
        <v>4</v>
      </c>
      <c r="C30" t="s">
        <v>6</v>
      </c>
      <c r="D30">
        <v>10</v>
      </c>
      <c r="E30" t="s">
        <v>202</v>
      </c>
      <c r="F30" s="1">
        <v>45575.291666666664</v>
      </c>
      <c r="G30" s="1">
        <v>45575.635416666664</v>
      </c>
      <c r="J30">
        <v>3.1563909774436092</v>
      </c>
      <c r="K30">
        <v>26.040225563909775</v>
      </c>
      <c r="L30">
        <v>8.25</v>
      </c>
    </row>
    <row r="31" spans="1:12" hidden="1" x14ac:dyDescent="0.25">
      <c r="A31" s="2">
        <v>45575</v>
      </c>
      <c r="B31">
        <v>4</v>
      </c>
      <c r="C31" t="s">
        <v>6</v>
      </c>
      <c r="D31">
        <v>10</v>
      </c>
      <c r="E31" t="s">
        <v>203</v>
      </c>
      <c r="F31" s="1">
        <v>45575.291666666664</v>
      </c>
      <c r="G31" s="1">
        <v>45575.583333333336</v>
      </c>
      <c r="J31">
        <v>5.7593984962406006</v>
      </c>
      <c r="K31">
        <v>40.315789473684205</v>
      </c>
      <c r="L31">
        <v>7</v>
      </c>
    </row>
    <row r="32" spans="1:12" x14ac:dyDescent="0.25">
      <c r="A32" s="2">
        <v>45575</v>
      </c>
      <c r="B32">
        <v>4</v>
      </c>
      <c r="C32" t="s">
        <v>171</v>
      </c>
      <c r="D32">
        <v>11</v>
      </c>
      <c r="E32" t="s">
        <v>201</v>
      </c>
      <c r="F32" s="1">
        <v>45575.635416666664</v>
      </c>
      <c r="G32" s="1">
        <v>45575.9375</v>
      </c>
      <c r="J32">
        <v>11.626924453992125</v>
      </c>
      <c r="K32">
        <v>84.295202291442905</v>
      </c>
      <c r="L32">
        <v>7.25</v>
      </c>
    </row>
    <row r="33" spans="1:12" hidden="1" x14ac:dyDescent="0.25">
      <c r="A33" s="2">
        <v>45575</v>
      </c>
      <c r="B33">
        <v>4</v>
      </c>
      <c r="C33" t="s">
        <v>171</v>
      </c>
      <c r="D33">
        <v>11</v>
      </c>
      <c r="E33" t="s">
        <v>202</v>
      </c>
      <c r="F33" s="1">
        <v>45575.635416666664</v>
      </c>
      <c r="G33" s="1">
        <v>45575.9375</v>
      </c>
      <c r="J33">
        <v>2.1042606516290729</v>
      </c>
      <c r="K33">
        <v>15.255889724310778</v>
      </c>
      <c r="L33">
        <v>7.25</v>
      </c>
    </row>
    <row r="34" spans="1:12" hidden="1" x14ac:dyDescent="0.25">
      <c r="A34" s="2">
        <v>45575</v>
      </c>
      <c r="B34">
        <v>4</v>
      </c>
      <c r="C34" t="s">
        <v>171</v>
      </c>
      <c r="D34">
        <v>11</v>
      </c>
      <c r="E34" t="s">
        <v>203</v>
      </c>
      <c r="F34" s="1">
        <v>45575.583333333336</v>
      </c>
      <c r="G34" s="1">
        <v>45575.885416666664</v>
      </c>
      <c r="J34">
        <v>2.8796992481203003</v>
      </c>
      <c r="K34">
        <v>20.877819548872179</v>
      </c>
      <c r="L34">
        <v>7.25</v>
      </c>
    </row>
    <row r="35" spans="1:12" x14ac:dyDescent="0.25">
      <c r="A35" s="2">
        <v>45575</v>
      </c>
      <c r="B35">
        <v>4</v>
      </c>
      <c r="C35" t="s">
        <v>172</v>
      </c>
      <c r="D35">
        <v>12</v>
      </c>
      <c r="E35" t="s">
        <v>201</v>
      </c>
      <c r="F35" s="1">
        <v>45575.9375</v>
      </c>
      <c r="G35" s="1">
        <v>45576.291666666664</v>
      </c>
      <c r="J35">
        <v>5.3662728249194425</v>
      </c>
      <c r="K35">
        <v>45.613319011815264</v>
      </c>
      <c r="L35">
        <v>8.5</v>
      </c>
    </row>
    <row r="36" spans="1:12" hidden="1" x14ac:dyDescent="0.25">
      <c r="A36" s="2">
        <v>45575</v>
      </c>
      <c r="B36">
        <v>4</v>
      </c>
      <c r="C36" t="s">
        <v>172</v>
      </c>
      <c r="D36">
        <v>12</v>
      </c>
      <c r="E36" t="s">
        <v>202</v>
      </c>
      <c r="F36" s="1">
        <v>45575.9375</v>
      </c>
      <c r="G36" s="1">
        <v>45576.291666666664</v>
      </c>
      <c r="J36">
        <v>1</v>
      </c>
      <c r="K36">
        <v>8.5</v>
      </c>
      <c r="L36">
        <v>8.5</v>
      </c>
    </row>
    <row r="37" spans="1:12" hidden="1" x14ac:dyDescent="0.25">
      <c r="A37" s="2">
        <v>45575</v>
      </c>
      <c r="B37">
        <v>4</v>
      </c>
      <c r="C37" t="s">
        <v>172</v>
      </c>
      <c r="D37">
        <v>12</v>
      </c>
      <c r="E37" t="s">
        <v>203</v>
      </c>
      <c r="F37" s="1">
        <v>45575.885416666664</v>
      </c>
      <c r="G37" s="1">
        <v>45576.291666666664</v>
      </c>
      <c r="J37">
        <v>1</v>
      </c>
      <c r="K37">
        <v>9.75</v>
      </c>
      <c r="L37">
        <v>9.75</v>
      </c>
    </row>
    <row r="38" spans="1:12" x14ac:dyDescent="0.25">
      <c r="A38" s="2">
        <v>45576</v>
      </c>
      <c r="B38">
        <v>5</v>
      </c>
      <c r="C38" t="s">
        <v>6</v>
      </c>
      <c r="D38">
        <v>13</v>
      </c>
      <c r="E38" t="s">
        <v>201</v>
      </c>
      <c r="F38" s="1">
        <v>45576.291666666664</v>
      </c>
      <c r="G38" s="1">
        <v>45576.635416666664</v>
      </c>
      <c r="J38">
        <v>14.310060866451845</v>
      </c>
      <c r="K38">
        <v>118.05800214822773</v>
      </c>
      <c r="L38">
        <v>8.25</v>
      </c>
    </row>
    <row r="39" spans="1:12" hidden="1" x14ac:dyDescent="0.25">
      <c r="A39" s="2">
        <v>45576</v>
      </c>
      <c r="B39">
        <v>5</v>
      </c>
      <c r="C39" t="s">
        <v>6</v>
      </c>
      <c r="D39">
        <v>13</v>
      </c>
      <c r="E39" t="s">
        <v>202</v>
      </c>
      <c r="F39" s="1">
        <v>45576.291666666664</v>
      </c>
      <c r="G39" s="1">
        <v>45576.635416666664</v>
      </c>
      <c r="J39">
        <v>3.1563909774436092</v>
      </c>
      <c r="K39">
        <v>26.040225563909775</v>
      </c>
      <c r="L39">
        <v>8.25</v>
      </c>
    </row>
    <row r="40" spans="1:12" hidden="1" x14ac:dyDescent="0.25">
      <c r="A40" s="2">
        <v>45576</v>
      </c>
      <c r="B40">
        <v>5</v>
      </c>
      <c r="C40" t="s">
        <v>6</v>
      </c>
      <c r="D40">
        <v>13</v>
      </c>
      <c r="E40" t="s">
        <v>203</v>
      </c>
      <c r="F40" s="1">
        <v>45576.291666666664</v>
      </c>
      <c r="G40" s="1">
        <v>45576.583333333336</v>
      </c>
      <c r="J40">
        <v>5.7593984962406006</v>
      </c>
      <c r="K40">
        <v>40.315789473684205</v>
      </c>
      <c r="L40">
        <v>7</v>
      </c>
    </row>
    <row r="41" spans="1:12" x14ac:dyDescent="0.25">
      <c r="A41" s="2">
        <v>45576</v>
      </c>
      <c r="B41">
        <v>5</v>
      </c>
      <c r="C41" t="s">
        <v>171</v>
      </c>
      <c r="D41">
        <v>14</v>
      </c>
      <c r="E41" t="s">
        <v>201</v>
      </c>
      <c r="F41" s="1">
        <v>45576.635416666664</v>
      </c>
      <c r="G41" s="1">
        <v>45576.9375</v>
      </c>
      <c r="J41">
        <v>11.626924453992125</v>
      </c>
      <c r="K41">
        <v>84.295202291442905</v>
      </c>
      <c r="L41">
        <v>7.25</v>
      </c>
    </row>
    <row r="42" spans="1:12" hidden="1" x14ac:dyDescent="0.25">
      <c r="A42" s="2">
        <v>45576</v>
      </c>
      <c r="B42">
        <v>5</v>
      </c>
      <c r="C42" t="s">
        <v>171</v>
      </c>
      <c r="D42">
        <v>14</v>
      </c>
      <c r="E42" t="s">
        <v>202</v>
      </c>
      <c r="F42" s="1">
        <v>45576.635416666664</v>
      </c>
      <c r="G42" s="1">
        <v>45576.9375</v>
      </c>
      <c r="J42">
        <v>2.1042606516290729</v>
      </c>
      <c r="K42">
        <v>15.255889724310778</v>
      </c>
      <c r="L42">
        <v>7.25</v>
      </c>
    </row>
    <row r="43" spans="1:12" hidden="1" x14ac:dyDescent="0.25">
      <c r="A43" s="2">
        <v>45576</v>
      </c>
      <c r="B43">
        <v>5</v>
      </c>
      <c r="C43" t="s">
        <v>171</v>
      </c>
      <c r="D43">
        <v>14</v>
      </c>
      <c r="E43" t="s">
        <v>203</v>
      </c>
      <c r="F43" s="1">
        <v>45576.583333333336</v>
      </c>
      <c r="G43" s="1">
        <v>45576.885416666664</v>
      </c>
      <c r="J43">
        <v>2.8796992481203003</v>
      </c>
      <c r="K43">
        <v>20.877819548872179</v>
      </c>
      <c r="L43">
        <v>7.25</v>
      </c>
    </row>
    <row r="44" spans="1:12" x14ac:dyDescent="0.25">
      <c r="A44" s="2">
        <v>45576</v>
      </c>
      <c r="B44">
        <v>5</v>
      </c>
      <c r="C44" t="s">
        <v>172</v>
      </c>
      <c r="D44">
        <v>15</v>
      </c>
      <c r="E44" t="s">
        <v>201</v>
      </c>
      <c r="F44" s="1">
        <v>45576.9375</v>
      </c>
      <c r="G44" s="1">
        <v>45577.291666666664</v>
      </c>
      <c r="J44">
        <v>5.3662728249194425</v>
      </c>
      <c r="K44">
        <v>45.613319011815264</v>
      </c>
      <c r="L44">
        <v>8.5</v>
      </c>
    </row>
    <row r="45" spans="1:12" hidden="1" x14ac:dyDescent="0.25">
      <c r="A45" s="2">
        <v>45576</v>
      </c>
      <c r="B45">
        <v>5</v>
      </c>
      <c r="C45" t="s">
        <v>172</v>
      </c>
      <c r="D45">
        <v>15</v>
      </c>
      <c r="E45" t="s">
        <v>202</v>
      </c>
      <c r="F45" s="1">
        <v>45576.9375</v>
      </c>
      <c r="G45" s="1">
        <v>45577.291666666664</v>
      </c>
      <c r="J45">
        <v>1</v>
      </c>
      <c r="K45">
        <v>8.5</v>
      </c>
      <c r="L45">
        <v>8.5</v>
      </c>
    </row>
    <row r="46" spans="1:12" hidden="1" x14ac:dyDescent="0.25">
      <c r="A46" s="2">
        <v>45576</v>
      </c>
      <c r="B46">
        <v>5</v>
      </c>
      <c r="C46" t="s">
        <v>172</v>
      </c>
      <c r="D46">
        <v>15</v>
      </c>
      <c r="E46" t="s">
        <v>203</v>
      </c>
      <c r="F46" s="1">
        <v>45576.885416666664</v>
      </c>
      <c r="G46" s="1">
        <v>45577.291666666664</v>
      </c>
      <c r="J46">
        <v>1</v>
      </c>
      <c r="K46">
        <v>9.75</v>
      </c>
      <c r="L46">
        <v>9.75</v>
      </c>
    </row>
    <row r="47" spans="1:12" x14ac:dyDescent="0.25">
      <c r="A47" s="2">
        <v>45577</v>
      </c>
      <c r="B47">
        <v>6</v>
      </c>
      <c r="C47" t="s">
        <v>6</v>
      </c>
      <c r="D47">
        <v>16</v>
      </c>
      <c r="E47" t="s">
        <v>201</v>
      </c>
      <c r="F47" s="1">
        <v>45577.291666666664</v>
      </c>
      <c r="G47" s="1">
        <v>45577.635416666664</v>
      </c>
      <c r="J47">
        <v>14.310060866451845</v>
      </c>
      <c r="K47">
        <v>118.05800214822773</v>
      </c>
      <c r="L47">
        <v>8.25</v>
      </c>
    </row>
    <row r="48" spans="1:12" hidden="1" x14ac:dyDescent="0.25">
      <c r="A48" s="2">
        <v>45577</v>
      </c>
      <c r="B48">
        <v>6</v>
      </c>
      <c r="C48" t="s">
        <v>6</v>
      </c>
      <c r="D48">
        <v>16</v>
      </c>
      <c r="E48" t="s">
        <v>202</v>
      </c>
      <c r="F48" s="1">
        <v>45577.291666666664</v>
      </c>
      <c r="G48" s="1">
        <v>45577.635416666664</v>
      </c>
      <c r="J48">
        <v>3.1563909774436092</v>
      </c>
      <c r="K48">
        <v>26.040225563909775</v>
      </c>
      <c r="L48">
        <v>8.25</v>
      </c>
    </row>
    <row r="49" spans="1:12" hidden="1" x14ac:dyDescent="0.25">
      <c r="A49" s="2">
        <v>45577</v>
      </c>
      <c r="B49">
        <v>6</v>
      </c>
      <c r="C49" t="s">
        <v>6</v>
      </c>
      <c r="D49">
        <v>16</v>
      </c>
      <c r="E49" t="s">
        <v>203</v>
      </c>
      <c r="F49" s="1">
        <v>45577.291666666664</v>
      </c>
      <c r="G49" s="1">
        <v>45577.583333333336</v>
      </c>
      <c r="J49">
        <v>5.7593984962406006</v>
      </c>
      <c r="K49">
        <v>40.315789473684205</v>
      </c>
      <c r="L49">
        <v>7</v>
      </c>
    </row>
    <row r="50" spans="1:12" x14ac:dyDescent="0.25">
      <c r="A50" s="2">
        <v>45577</v>
      </c>
      <c r="B50">
        <v>6</v>
      </c>
      <c r="C50" t="s">
        <v>171</v>
      </c>
      <c r="D50">
        <v>17</v>
      </c>
      <c r="E50" t="s">
        <v>201</v>
      </c>
      <c r="F50" s="1">
        <v>45577.635416666664</v>
      </c>
      <c r="G50" s="1">
        <v>45577.9375</v>
      </c>
      <c r="J50">
        <v>11.626924453992125</v>
      </c>
      <c r="K50">
        <v>84.295202291442905</v>
      </c>
      <c r="L50">
        <v>7.25</v>
      </c>
    </row>
    <row r="51" spans="1:12" hidden="1" x14ac:dyDescent="0.25">
      <c r="A51" s="2">
        <v>45577</v>
      </c>
      <c r="B51">
        <v>6</v>
      </c>
      <c r="C51" t="s">
        <v>171</v>
      </c>
      <c r="D51">
        <v>17</v>
      </c>
      <c r="E51" t="s">
        <v>202</v>
      </c>
      <c r="F51" s="1">
        <v>45577.635416666664</v>
      </c>
      <c r="G51" s="1">
        <v>45577.9375</v>
      </c>
      <c r="J51">
        <v>2.1042606516290729</v>
      </c>
      <c r="K51">
        <v>15.255889724310778</v>
      </c>
      <c r="L51">
        <v>7.25</v>
      </c>
    </row>
    <row r="52" spans="1:12" hidden="1" x14ac:dyDescent="0.25">
      <c r="A52" s="2">
        <v>45577</v>
      </c>
      <c r="B52">
        <v>6</v>
      </c>
      <c r="C52" t="s">
        <v>171</v>
      </c>
      <c r="D52">
        <v>17</v>
      </c>
      <c r="E52" t="s">
        <v>203</v>
      </c>
      <c r="F52" s="1">
        <v>45577.583333333336</v>
      </c>
      <c r="G52" s="1">
        <v>45577.885416666664</v>
      </c>
      <c r="J52">
        <v>2.8796992481203003</v>
      </c>
      <c r="K52">
        <v>20.877819548872179</v>
      </c>
      <c r="L52">
        <v>7.25</v>
      </c>
    </row>
    <row r="53" spans="1:12" x14ac:dyDescent="0.25">
      <c r="A53" s="2">
        <v>45577</v>
      </c>
      <c r="B53">
        <v>6</v>
      </c>
      <c r="C53" t="s">
        <v>172</v>
      </c>
      <c r="D53">
        <v>18</v>
      </c>
      <c r="E53" t="s">
        <v>201</v>
      </c>
      <c r="F53" s="1">
        <v>45577.9375</v>
      </c>
      <c r="G53" s="1">
        <v>45578.291666666664</v>
      </c>
      <c r="J53">
        <v>5.3662728249194425</v>
      </c>
      <c r="K53">
        <v>45.613319011815264</v>
      </c>
      <c r="L53">
        <v>8.5</v>
      </c>
    </row>
    <row r="54" spans="1:12" hidden="1" x14ac:dyDescent="0.25">
      <c r="A54" s="2">
        <v>45577</v>
      </c>
      <c r="B54">
        <v>6</v>
      </c>
      <c r="C54" t="s">
        <v>172</v>
      </c>
      <c r="D54">
        <v>18</v>
      </c>
      <c r="E54" t="s">
        <v>202</v>
      </c>
      <c r="F54" s="1">
        <v>45577.9375</v>
      </c>
      <c r="G54" s="1">
        <v>45578.291666666664</v>
      </c>
      <c r="J54">
        <v>1</v>
      </c>
      <c r="K54">
        <v>8.5</v>
      </c>
      <c r="L54">
        <v>8.5</v>
      </c>
    </row>
    <row r="55" spans="1:12" hidden="1" x14ac:dyDescent="0.25">
      <c r="A55" s="2">
        <v>45577</v>
      </c>
      <c r="B55">
        <v>6</v>
      </c>
      <c r="C55" t="s">
        <v>172</v>
      </c>
      <c r="D55">
        <v>18</v>
      </c>
      <c r="E55" t="s">
        <v>203</v>
      </c>
      <c r="F55" s="1">
        <v>45577.885416666664</v>
      </c>
      <c r="G55" s="1">
        <v>45578.291666666664</v>
      </c>
      <c r="J55">
        <v>1</v>
      </c>
      <c r="K55">
        <v>9.75</v>
      </c>
      <c r="L55">
        <v>9.75</v>
      </c>
    </row>
    <row r="56" spans="1:12" x14ac:dyDescent="0.25">
      <c r="A56" s="2">
        <v>45578</v>
      </c>
      <c r="B56">
        <v>7</v>
      </c>
      <c r="C56" t="s">
        <v>6</v>
      </c>
      <c r="D56">
        <v>19</v>
      </c>
      <c r="E56" t="s">
        <v>201</v>
      </c>
      <c r="F56" s="1">
        <v>45578.291666666664</v>
      </c>
      <c r="G56" s="1">
        <v>45578.635416666664</v>
      </c>
      <c r="J56">
        <v>14.310060866451845</v>
      </c>
      <c r="K56">
        <v>118.05800214822773</v>
      </c>
      <c r="L56">
        <v>8.25</v>
      </c>
    </row>
    <row r="57" spans="1:12" hidden="1" x14ac:dyDescent="0.25">
      <c r="A57" s="2">
        <v>45578</v>
      </c>
      <c r="B57">
        <v>7</v>
      </c>
      <c r="C57" t="s">
        <v>6</v>
      </c>
      <c r="D57">
        <v>19</v>
      </c>
      <c r="E57" t="s">
        <v>202</v>
      </c>
      <c r="F57" s="1">
        <v>45578.291666666664</v>
      </c>
      <c r="G57" s="1">
        <v>45578.635416666664</v>
      </c>
      <c r="J57">
        <v>3.1563909774436092</v>
      </c>
      <c r="K57">
        <v>26.040225563909775</v>
      </c>
      <c r="L57">
        <v>8.25</v>
      </c>
    </row>
    <row r="58" spans="1:12" hidden="1" x14ac:dyDescent="0.25">
      <c r="A58" s="2">
        <v>45578</v>
      </c>
      <c r="B58">
        <v>7</v>
      </c>
      <c r="C58" t="s">
        <v>6</v>
      </c>
      <c r="D58">
        <v>19</v>
      </c>
      <c r="E58" t="s">
        <v>203</v>
      </c>
      <c r="F58" s="1">
        <v>45578.291666666664</v>
      </c>
      <c r="G58" s="1">
        <v>45578.583333333336</v>
      </c>
      <c r="J58">
        <v>5.7593984962406006</v>
      </c>
      <c r="K58">
        <v>40.315789473684205</v>
      </c>
      <c r="L58">
        <v>7</v>
      </c>
    </row>
    <row r="59" spans="1:12" x14ac:dyDescent="0.25">
      <c r="A59" s="2">
        <v>45578</v>
      </c>
      <c r="B59">
        <v>7</v>
      </c>
      <c r="C59" t="s">
        <v>171</v>
      </c>
      <c r="D59">
        <v>20</v>
      </c>
      <c r="E59" t="s">
        <v>201</v>
      </c>
      <c r="F59" s="1">
        <v>45578.635416666664</v>
      </c>
      <c r="G59" s="1">
        <v>45578.9375</v>
      </c>
      <c r="J59">
        <v>11.626924453992125</v>
      </c>
      <c r="K59">
        <v>84.295202291442905</v>
      </c>
      <c r="L59">
        <v>7.25</v>
      </c>
    </row>
    <row r="60" spans="1:12" hidden="1" x14ac:dyDescent="0.25">
      <c r="A60" s="2">
        <v>45578</v>
      </c>
      <c r="B60">
        <v>7</v>
      </c>
      <c r="C60" t="s">
        <v>171</v>
      </c>
      <c r="D60">
        <v>20</v>
      </c>
      <c r="E60" t="s">
        <v>202</v>
      </c>
      <c r="F60" s="1">
        <v>45578.635416666664</v>
      </c>
      <c r="G60" s="1">
        <v>45578.9375</v>
      </c>
      <c r="J60">
        <v>2.1042606516290729</v>
      </c>
      <c r="K60">
        <v>15.255889724310778</v>
      </c>
      <c r="L60">
        <v>7.25</v>
      </c>
    </row>
    <row r="61" spans="1:12" hidden="1" x14ac:dyDescent="0.25">
      <c r="A61" s="2">
        <v>45578</v>
      </c>
      <c r="B61">
        <v>7</v>
      </c>
      <c r="C61" t="s">
        <v>171</v>
      </c>
      <c r="D61">
        <v>20</v>
      </c>
      <c r="E61" t="s">
        <v>203</v>
      </c>
      <c r="F61" s="1">
        <v>45578.583333333336</v>
      </c>
      <c r="G61" s="1">
        <v>45578.885416666664</v>
      </c>
      <c r="J61">
        <v>2.8796992481203003</v>
      </c>
      <c r="K61">
        <v>20.877819548872179</v>
      </c>
      <c r="L61">
        <v>7.25</v>
      </c>
    </row>
    <row r="62" spans="1:12" x14ac:dyDescent="0.25">
      <c r="A62" s="2">
        <v>45578</v>
      </c>
      <c r="B62">
        <v>7</v>
      </c>
      <c r="C62" t="s">
        <v>172</v>
      </c>
      <c r="D62">
        <v>21</v>
      </c>
      <c r="E62" t="s">
        <v>201</v>
      </c>
      <c r="F62" s="1">
        <v>45578.9375</v>
      </c>
      <c r="G62" s="1">
        <v>45579.291666666664</v>
      </c>
      <c r="J62">
        <v>5.3662728249194425</v>
      </c>
      <c r="K62">
        <v>45.613319011815264</v>
      </c>
      <c r="L62">
        <v>8.5</v>
      </c>
    </row>
    <row r="63" spans="1:12" hidden="1" x14ac:dyDescent="0.25">
      <c r="A63" s="2">
        <v>45578</v>
      </c>
      <c r="B63">
        <v>7</v>
      </c>
      <c r="C63" t="s">
        <v>172</v>
      </c>
      <c r="D63">
        <v>21</v>
      </c>
      <c r="E63" t="s">
        <v>202</v>
      </c>
      <c r="F63" s="1">
        <v>45578.9375</v>
      </c>
      <c r="G63" s="1">
        <v>45579.291666666664</v>
      </c>
      <c r="J63">
        <v>1</v>
      </c>
      <c r="K63">
        <v>8.5</v>
      </c>
      <c r="L63">
        <v>8.5</v>
      </c>
    </row>
    <row r="64" spans="1:12" hidden="1" x14ac:dyDescent="0.25">
      <c r="A64" s="2">
        <v>45578</v>
      </c>
      <c r="B64">
        <v>7</v>
      </c>
      <c r="C64" t="s">
        <v>172</v>
      </c>
      <c r="D64">
        <v>21</v>
      </c>
      <c r="E64" t="s">
        <v>203</v>
      </c>
      <c r="F64" s="1">
        <v>45578.885416666664</v>
      </c>
      <c r="G64" s="1">
        <v>45579.291666666664</v>
      </c>
      <c r="J64">
        <v>1</v>
      </c>
      <c r="K64">
        <v>9.75</v>
      </c>
      <c r="L64">
        <v>9.75</v>
      </c>
    </row>
    <row r="65" spans="1:12" x14ac:dyDescent="0.25">
      <c r="A65" s="2">
        <v>45579</v>
      </c>
      <c r="B65">
        <v>8</v>
      </c>
      <c r="C65" t="s">
        <v>6</v>
      </c>
      <c r="D65">
        <v>22</v>
      </c>
      <c r="E65" t="s">
        <v>201</v>
      </c>
      <c r="F65" s="1">
        <v>45579.291666666664</v>
      </c>
      <c r="G65" s="1">
        <v>45579.635416666664</v>
      </c>
      <c r="J65">
        <v>14.310060866451845</v>
      </c>
      <c r="K65">
        <v>118.05800214822773</v>
      </c>
      <c r="L65">
        <v>8.25</v>
      </c>
    </row>
    <row r="66" spans="1:12" hidden="1" x14ac:dyDescent="0.25">
      <c r="A66" s="2">
        <v>45579</v>
      </c>
      <c r="B66">
        <v>8</v>
      </c>
      <c r="C66" t="s">
        <v>6</v>
      </c>
      <c r="D66">
        <v>22</v>
      </c>
      <c r="E66" t="s">
        <v>202</v>
      </c>
      <c r="F66" s="1">
        <v>45579.291666666664</v>
      </c>
      <c r="G66" s="1">
        <v>45579.635416666664</v>
      </c>
      <c r="J66">
        <v>3.1563909774436092</v>
      </c>
      <c r="K66">
        <v>26.040225563909775</v>
      </c>
      <c r="L66">
        <v>8.25</v>
      </c>
    </row>
    <row r="67" spans="1:12" hidden="1" x14ac:dyDescent="0.25">
      <c r="A67" s="2">
        <v>45579</v>
      </c>
      <c r="B67">
        <v>8</v>
      </c>
      <c r="C67" t="s">
        <v>6</v>
      </c>
      <c r="D67">
        <v>22</v>
      </c>
      <c r="E67" t="s">
        <v>203</v>
      </c>
      <c r="F67" s="1">
        <v>45579.291666666664</v>
      </c>
      <c r="G67" s="1">
        <v>45579.583333333336</v>
      </c>
      <c r="J67">
        <v>5.7593984962406006</v>
      </c>
      <c r="K67">
        <v>40.315789473684205</v>
      </c>
      <c r="L67">
        <v>7</v>
      </c>
    </row>
    <row r="68" spans="1:12" x14ac:dyDescent="0.25">
      <c r="A68" s="2">
        <v>45579</v>
      </c>
      <c r="B68">
        <v>8</v>
      </c>
      <c r="C68" t="s">
        <v>171</v>
      </c>
      <c r="D68">
        <v>23</v>
      </c>
      <c r="E68" t="s">
        <v>201</v>
      </c>
      <c r="F68" s="1">
        <v>45579.635416666664</v>
      </c>
      <c r="G68" s="1">
        <v>45579.9375</v>
      </c>
      <c r="J68">
        <v>11.626924453992125</v>
      </c>
      <c r="K68">
        <v>84.295202291442905</v>
      </c>
      <c r="L68">
        <v>7.25</v>
      </c>
    </row>
    <row r="69" spans="1:12" hidden="1" x14ac:dyDescent="0.25">
      <c r="A69" s="2">
        <v>45579</v>
      </c>
      <c r="B69">
        <v>8</v>
      </c>
      <c r="C69" t="s">
        <v>171</v>
      </c>
      <c r="D69">
        <v>23</v>
      </c>
      <c r="E69" t="s">
        <v>202</v>
      </c>
      <c r="F69" s="1">
        <v>45579.635416666664</v>
      </c>
      <c r="G69" s="1">
        <v>45579.9375</v>
      </c>
      <c r="J69">
        <v>2.1042606516290729</v>
      </c>
      <c r="K69">
        <v>15.255889724310778</v>
      </c>
      <c r="L69">
        <v>7.25</v>
      </c>
    </row>
    <row r="70" spans="1:12" hidden="1" x14ac:dyDescent="0.25">
      <c r="A70" s="2">
        <v>45579</v>
      </c>
      <c r="B70">
        <v>8</v>
      </c>
      <c r="C70" t="s">
        <v>171</v>
      </c>
      <c r="D70">
        <v>23</v>
      </c>
      <c r="E70" t="s">
        <v>203</v>
      </c>
      <c r="F70" s="1">
        <v>45579.583333333336</v>
      </c>
      <c r="G70" s="1">
        <v>45579.885416666664</v>
      </c>
      <c r="J70">
        <v>2.8796992481203003</v>
      </c>
      <c r="K70">
        <v>20.877819548872179</v>
      </c>
      <c r="L70">
        <v>7.25</v>
      </c>
    </row>
    <row r="71" spans="1:12" x14ac:dyDescent="0.25">
      <c r="A71" s="2">
        <v>45579</v>
      </c>
      <c r="B71">
        <v>8</v>
      </c>
      <c r="C71" t="s">
        <v>172</v>
      </c>
      <c r="D71">
        <v>24</v>
      </c>
      <c r="E71" t="s">
        <v>201</v>
      </c>
      <c r="F71" s="1">
        <v>45579.9375</v>
      </c>
      <c r="G71" s="1">
        <v>45580.291666666664</v>
      </c>
      <c r="J71">
        <v>5.3662728249194425</v>
      </c>
      <c r="K71">
        <v>45.613319011815264</v>
      </c>
      <c r="L71">
        <v>8.5</v>
      </c>
    </row>
    <row r="72" spans="1:12" hidden="1" x14ac:dyDescent="0.25">
      <c r="A72" s="2">
        <v>45579</v>
      </c>
      <c r="B72">
        <v>8</v>
      </c>
      <c r="C72" t="s">
        <v>172</v>
      </c>
      <c r="D72">
        <v>24</v>
      </c>
      <c r="E72" t="s">
        <v>202</v>
      </c>
      <c r="F72" s="1">
        <v>45579.9375</v>
      </c>
      <c r="G72" s="1">
        <v>45580.291666666664</v>
      </c>
      <c r="J72">
        <v>1</v>
      </c>
      <c r="K72">
        <v>8.5</v>
      </c>
      <c r="L72">
        <v>8.5</v>
      </c>
    </row>
    <row r="73" spans="1:12" hidden="1" x14ac:dyDescent="0.25">
      <c r="A73" s="2">
        <v>45579</v>
      </c>
      <c r="B73">
        <v>8</v>
      </c>
      <c r="C73" t="s">
        <v>172</v>
      </c>
      <c r="D73">
        <v>24</v>
      </c>
      <c r="E73" t="s">
        <v>203</v>
      </c>
      <c r="F73" s="1">
        <v>45579.885416666664</v>
      </c>
      <c r="G73" s="1">
        <v>45580.291666666664</v>
      </c>
      <c r="J73">
        <v>1</v>
      </c>
      <c r="K73">
        <v>9.75</v>
      </c>
      <c r="L73">
        <v>9.75</v>
      </c>
    </row>
    <row r="74" spans="1:12" x14ac:dyDescent="0.25">
      <c r="A74" s="2">
        <v>45580</v>
      </c>
      <c r="B74">
        <v>9</v>
      </c>
      <c r="C74" t="s">
        <v>6</v>
      </c>
      <c r="D74">
        <v>25</v>
      </c>
      <c r="E74" t="s">
        <v>201</v>
      </c>
      <c r="F74" s="1">
        <v>45580.291666666664</v>
      </c>
      <c r="G74" s="1">
        <v>45580.635416666664</v>
      </c>
      <c r="J74">
        <v>14.310060866451845</v>
      </c>
      <c r="K74">
        <v>118.05800214822773</v>
      </c>
      <c r="L74">
        <v>8.25</v>
      </c>
    </row>
    <row r="75" spans="1:12" hidden="1" x14ac:dyDescent="0.25">
      <c r="A75" s="2">
        <v>45580</v>
      </c>
      <c r="B75">
        <v>9</v>
      </c>
      <c r="C75" t="s">
        <v>6</v>
      </c>
      <c r="D75">
        <v>25</v>
      </c>
      <c r="E75" t="s">
        <v>202</v>
      </c>
      <c r="F75" s="1">
        <v>45580.291666666664</v>
      </c>
      <c r="G75" s="1">
        <v>45580.635416666664</v>
      </c>
      <c r="J75">
        <v>3.1563909774436092</v>
      </c>
      <c r="K75">
        <v>26.040225563909775</v>
      </c>
      <c r="L75">
        <v>8.25</v>
      </c>
    </row>
    <row r="76" spans="1:12" hidden="1" x14ac:dyDescent="0.25">
      <c r="A76" s="2">
        <v>45580</v>
      </c>
      <c r="B76">
        <v>9</v>
      </c>
      <c r="C76" t="s">
        <v>6</v>
      </c>
      <c r="D76">
        <v>25</v>
      </c>
      <c r="E76" t="s">
        <v>203</v>
      </c>
      <c r="F76" s="1">
        <v>45580.291666666664</v>
      </c>
      <c r="G76" s="1">
        <v>45580.583333333336</v>
      </c>
      <c r="J76">
        <v>5.7593984962406006</v>
      </c>
      <c r="K76">
        <v>40.315789473684205</v>
      </c>
      <c r="L76">
        <v>7</v>
      </c>
    </row>
    <row r="77" spans="1:12" x14ac:dyDescent="0.25">
      <c r="A77" s="2">
        <v>45580</v>
      </c>
      <c r="B77">
        <v>9</v>
      </c>
      <c r="C77" t="s">
        <v>171</v>
      </c>
      <c r="D77">
        <v>26</v>
      </c>
      <c r="E77" t="s">
        <v>201</v>
      </c>
      <c r="F77" s="1">
        <v>45580.635416666664</v>
      </c>
      <c r="G77" s="1">
        <v>45580.9375</v>
      </c>
      <c r="J77">
        <v>11.626924453992125</v>
      </c>
      <c r="K77">
        <v>84.295202291442905</v>
      </c>
      <c r="L77">
        <v>7.25</v>
      </c>
    </row>
    <row r="78" spans="1:12" hidden="1" x14ac:dyDescent="0.25">
      <c r="A78" s="2">
        <v>45580</v>
      </c>
      <c r="B78">
        <v>9</v>
      </c>
      <c r="C78" t="s">
        <v>171</v>
      </c>
      <c r="D78">
        <v>26</v>
      </c>
      <c r="E78" t="s">
        <v>202</v>
      </c>
      <c r="F78" s="1">
        <v>45580.635416666664</v>
      </c>
      <c r="G78" s="1">
        <v>45580.9375</v>
      </c>
      <c r="J78">
        <v>2.1042606516290729</v>
      </c>
      <c r="K78">
        <v>15.255889724310778</v>
      </c>
      <c r="L78">
        <v>7.25</v>
      </c>
    </row>
    <row r="79" spans="1:12" hidden="1" x14ac:dyDescent="0.25">
      <c r="A79" s="2">
        <v>45580</v>
      </c>
      <c r="B79">
        <v>9</v>
      </c>
      <c r="C79" t="s">
        <v>171</v>
      </c>
      <c r="D79">
        <v>26</v>
      </c>
      <c r="E79" t="s">
        <v>203</v>
      </c>
      <c r="F79" s="1">
        <v>45580.583333333336</v>
      </c>
      <c r="G79" s="1">
        <v>45580.885416666664</v>
      </c>
      <c r="J79">
        <v>2.8796992481203003</v>
      </c>
      <c r="K79">
        <v>20.877819548872179</v>
      </c>
      <c r="L79">
        <v>7.25</v>
      </c>
    </row>
    <row r="80" spans="1:12" x14ac:dyDescent="0.25">
      <c r="A80" s="2">
        <v>45580</v>
      </c>
      <c r="B80">
        <v>9</v>
      </c>
      <c r="C80" t="s">
        <v>172</v>
      </c>
      <c r="D80">
        <v>27</v>
      </c>
      <c r="E80" t="s">
        <v>201</v>
      </c>
      <c r="F80" s="1">
        <v>45580.9375</v>
      </c>
      <c r="G80" s="1">
        <v>45581.291666666664</v>
      </c>
      <c r="J80">
        <v>5.3662728249194425</v>
      </c>
      <c r="K80">
        <v>45.613319011815264</v>
      </c>
      <c r="L80">
        <v>8.5</v>
      </c>
    </row>
    <row r="81" spans="1:12" hidden="1" x14ac:dyDescent="0.25">
      <c r="A81" s="2">
        <v>45580</v>
      </c>
      <c r="B81">
        <v>9</v>
      </c>
      <c r="C81" t="s">
        <v>172</v>
      </c>
      <c r="D81">
        <v>27</v>
      </c>
      <c r="E81" t="s">
        <v>202</v>
      </c>
      <c r="F81" s="1">
        <v>45580.9375</v>
      </c>
      <c r="G81" s="1">
        <v>45581.291666666664</v>
      </c>
      <c r="J81">
        <v>1</v>
      </c>
      <c r="K81">
        <v>8.5</v>
      </c>
      <c r="L81">
        <v>8.5</v>
      </c>
    </row>
    <row r="82" spans="1:12" hidden="1" x14ac:dyDescent="0.25">
      <c r="A82" s="2">
        <v>45580</v>
      </c>
      <c r="B82">
        <v>9</v>
      </c>
      <c r="C82" t="s">
        <v>172</v>
      </c>
      <c r="D82">
        <v>27</v>
      </c>
      <c r="E82" t="s">
        <v>203</v>
      </c>
      <c r="F82" s="1">
        <v>45580.885416666664</v>
      </c>
      <c r="G82" s="1">
        <v>45581.291666666664</v>
      </c>
      <c r="J82">
        <v>1</v>
      </c>
      <c r="K82">
        <v>9.75</v>
      </c>
      <c r="L82">
        <v>9.75</v>
      </c>
    </row>
    <row r="83" spans="1:12" x14ac:dyDescent="0.25">
      <c r="A83" s="2">
        <v>45581</v>
      </c>
      <c r="B83">
        <v>10</v>
      </c>
      <c r="C83" t="s">
        <v>6</v>
      </c>
      <c r="D83">
        <v>28</v>
      </c>
      <c r="E83" t="s">
        <v>201</v>
      </c>
      <c r="F83" s="1">
        <v>45581.291666666664</v>
      </c>
      <c r="G83" s="1">
        <v>45581.635416666664</v>
      </c>
      <c r="J83">
        <v>14.310060866451845</v>
      </c>
      <c r="K83">
        <v>118.05800214822773</v>
      </c>
      <c r="L83">
        <v>8.25</v>
      </c>
    </row>
    <row r="84" spans="1:12" hidden="1" x14ac:dyDescent="0.25">
      <c r="A84" s="2">
        <v>45581</v>
      </c>
      <c r="B84">
        <v>10</v>
      </c>
      <c r="C84" t="s">
        <v>6</v>
      </c>
      <c r="D84">
        <v>28</v>
      </c>
      <c r="E84" t="s">
        <v>202</v>
      </c>
      <c r="F84" s="1">
        <v>45581.291666666664</v>
      </c>
      <c r="G84" s="1">
        <v>45581.635416666664</v>
      </c>
      <c r="J84">
        <v>3.1563909774436092</v>
      </c>
      <c r="K84">
        <v>26.040225563909775</v>
      </c>
      <c r="L84">
        <v>8.25</v>
      </c>
    </row>
    <row r="85" spans="1:12" hidden="1" x14ac:dyDescent="0.25">
      <c r="A85" s="2">
        <v>45581</v>
      </c>
      <c r="B85">
        <v>10</v>
      </c>
      <c r="C85" t="s">
        <v>6</v>
      </c>
      <c r="D85">
        <v>28</v>
      </c>
      <c r="E85" t="s">
        <v>203</v>
      </c>
      <c r="F85" s="1">
        <v>45581.291666666664</v>
      </c>
      <c r="G85" s="1">
        <v>45581.583333333336</v>
      </c>
      <c r="J85">
        <v>5.7593984962406006</v>
      </c>
      <c r="K85">
        <v>40.315789473684205</v>
      </c>
      <c r="L85">
        <v>7</v>
      </c>
    </row>
    <row r="86" spans="1:12" x14ac:dyDescent="0.25">
      <c r="A86" s="2">
        <v>45581</v>
      </c>
      <c r="B86">
        <v>10</v>
      </c>
      <c r="C86" t="s">
        <v>171</v>
      </c>
      <c r="D86">
        <v>29</v>
      </c>
      <c r="E86" t="s">
        <v>201</v>
      </c>
      <c r="F86" s="1">
        <v>45581.635416666664</v>
      </c>
      <c r="G86" s="1">
        <v>45581.9375</v>
      </c>
      <c r="J86">
        <v>11.626924453992125</v>
      </c>
      <c r="K86">
        <v>84.295202291442905</v>
      </c>
      <c r="L86">
        <v>7.25</v>
      </c>
    </row>
    <row r="87" spans="1:12" hidden="1" x14ac:dyDescent="0.25">
      <c r="A87" s="2">
        <v>45581</v>
      </c>
      <c r="B87">
        <v>10</v>
      </c>
      <c r="C87" t="s">
        <v>171</v>
      </c>
      <c r="D87">
        <v>29</v>
      </c>
      <c r="E87" t="s">
        <v>202</v>
      </c>
      <c r="F87" s="1">
        <v>45581.635416666664</v>
      </c>
      <c r="G87" s="1">
        <v>45581.9375</v>
      </c>
      <c r="J87">
        <v>2.1042606516290729</v>
      </c>
      <c r="K87">
        <v>15.255889724310778</v>
      </c>
      <c r="L87">
        <v>7.25</v>
      </c>
    </row>
    <row r="88" spans="1:12" hidden="1" x14ac:dyDescent="0.25">
      <c r="A88" s="2">
        <v>45581</v>
      </c>
      <c r="B88">
        <v>10</v>
      </c>
      <c r="C88" t="s">
        <v>171</v>
      </c>
      <c r="D88">
        <v>29</v>
      </c>
      <c r="E88" t="s">
        <v>203</v>
      </c>
      <c r="F88" s="1">
        <v>45581.583333333336</v>
      </c>
      <c r="G88" s="1">
        <v>45581.885416666664</v>
      </c>
      <c r="J88">
        <v>2.8796992481203003</v>
      </c>
      <c r="K88">
        <v>20.877819548872179</v>
      </c>
      <c r="L88">
        <v>7.25</v>
      </c>
    </row>
    <row r="89" spans="1:12" x14ac:dyDescent="0.25">
      <c r="A89" s="2">
        <v>45581</v>
      </c>
      <c r="B89">
        <v>10</v>
      </c>
      <c r="C89" t="s">
        <v>172</v>
      </c>
      <c r="D89">
        <v>30</v>
      </c>
      <c r="E89" t="s">
        <v>201</v>
      </c>
      <c r="F89" s="1">
        <v>45581.9375</v>
      </c>
      <c r="G89" s="1">
        <v>45582.291666666664</v>
      </c>
      <c r="J89">
        <v>5.3662728249194425</v>
      </c>
      <c r="K89">
        <v>45.613319011815264</v>
      </c>
      <c r="L89">
        <v>8.5</v>
      </c>
    </row>
    <row r="90" spans="1:12" hidden="1" x14ac:dyDescent="0.25">
      <c r="A90" s="2">
        <v>45581</v>
      </c>
      <c r="B90">
        <v>10</v>
      </c>
      <c r="C90" t="s">
        <v>172</v>
      </c>
      <c r="D90">
        <v>30</v>
      </c>
      <c r="E90" t="s">
        <v>202</v>
      </c>
      <c r="F90" s="1">
        <v>45581.9375</v>
      </c>
      <c r="G90" s="1">
        <v>45582.291666666664</v>
      </c>
      <c r="J90">
        <v>1</v>
      </c>
      <c r="K90">
        <v>8.5</v>
      </c>
      <c r="L90">
        <v>8.5</v>
      </c>
    </row>
    <row r="91" spans="1:12" hidden="1" x14ac:dyDescent="0.25">
      <c r="A91" s="2">
        <v>45581</v>
      </c>
      <c r="B91">
        <v>10</v>
      </c>
      <c r="C91" t="s">
        <v>172</v>
      </c>
      <c r="D91">
        <v>30</v>
      </c>
      <c r="E91" t="s">
        <v>203</v>
      </c>
      <c r="F91" s="1">
        <v>45581.885416666664</v>
      </c>
      <c r="G91" s="1">
        <v>45582.291666666664</v>
      </c>
      <c r="J91">
        <v>1</v>
      </c>
      <c r="K91">
        <v>9.75</v>
      </c>
      <c r="L91">
        <v>9.75</v>
      </c>
    </row>
    <row r="92" spans="1:12" x14ac:dyDescent="0.25">
      <c r="A92" s="2">
        <v>45582</v>
      </c>
      <c r="B92">
        <v>11</v>
      </c>
      <c r="C92" t="s">
        <v>6</v>
      </c>
      <c r="D92">
        <v>31</v>
      </c>
      <c r="E92" t="s">
        <v>201</v>
      </c>
      <c r="F92" s="1">
        <v>45582.291666666664</v>
      </c>
      <c r="G92" s="1">
        <v>45582.635416666664</v>
      </c>
      <c r="J92">
        <v>14.310060866451845</v>
      </c>
      <c r="K92">
        <v>118.05800214822773</v>
      </c>
      <c r="L92">
        <v>8.25</v>
      </c>
    </row>
    <row r="93" spans="1:12" hidden="1" x14ac:dyDescent="0.25">
      <c r="A93" s="2">
        <v>45582</v>
      </c>
      <c r="B93">
        <v>11</v>
      </c>
      <c r="C93" t="s">
        <v>6</v>
      </c>
      <c r="D93">
        <v>31</v>
      </c>
      <c r="E93" t="s">
        <v>202</v>
      </c>
      <c r="F93" s="1">
        <v>45582.291666666664</v>
      </c>
      <c r="G93" s="1">
        <v>45582.635416666664</v>
      </c>
      <c r="J93">
        <v>3.1563909774436092</v>
      </c>
      <c r="K93">
        <v>26.040225563909775</v>
      </c>
      <c r="L93">
        <v>8.25</v>
      </c>
    </row>
    <row r="94" spans="1:12" hidden="1" x14ac:dyDescent="0.25">
      <c r="A94" s="2">
        <v>45582</v>
      </c>
      <c r="B94">
        <v>11</v>
      </c>
      <c r="C94" t="s">
        <v>6</v>
      </c>
      <c r="D94">
        <v>31</v>
      </c>
      <c r="E94" t="s">
        <v>203</v>
      </c>
      <c r="F94" s="1">
        <v>45582.291666666664</v>
      </c>
      <c r="G94" s="1">
        <v>45582.583333333336</v>
      </c>
      <c r="J94">
        <v>5.7593984962406006</v>
      </c>
      <c r="K94">
        <v>40.315789473684205</v>
      </c>
      <c r="L94">
        <v>7</v>
      </c>
    </row>
    <row r="95" spans="1:12" x14ac:dyDescent="0.25">
      <c r="A95" s="2">
        <v>45582</v>
      </c>
      <c r="B95">
        <v>11</v>
      </c>
      <c r="C95" t="s">
        <v>171</v>
      </c>
      <c r="D95">
        <v>32</v>
      </c>
      <c r="E95" t="s">
        <v>201</v>
      </c>
      <c r="F95" s="1">
        <v>45582.635416666664</v>
      </c>
      <c r="G95" s="1">
        <v>45582.9375</v>
      </c>
      <c r="J95">
        <v>11.626924453992125</v>
      </c>
      <c r="K95">
        <v>84.295202291442905</v>
      </c>
      <c r="L95">
        <v>7.25</v>
      </c>
    </row>
    <row r="96" spans="1:12" hidden="1" x14ac:dyDescent="0.25">
      <c r="A96" s="2">
        <v>45582</v>
      </c>
      <c r="B96">
        <v>11</v>
      </c>
      <c r="C96" t="s">
        <v>171</v>
      </c>
      <c r="D96">
        <v>32</v>
      </c>
      <c r="E96" t="s">
        <v>202</v>
      </c>
      <c r="F96" s="1">
        <v>45582.635416666664</v>
      </c>
      <c r="G96" s="1">
        <v>45582.9375</v>
      </c>
      <c r="J96">
        <v>2.1042606516290729</v>
      </c>
      <c r="K96">
        <v>15.255889724310778</v>
      </c>
      <c r="L96">
        <v>7.25</v>
      </c>
    </row>
    <row r="97" spans="1:12" hidden="1" x14ac:dyDescent="0.25">
      <c r="A97" s="2">
        <v>45582</v>
      </c>
      <c r="B97">
        <v>11</v>
      </c>
      <c r="C97" t="s">
        <v>171</v>
      </c>
      <c r="D97">
        <v>32</v>
      </c>
      <c r="E97" t="s">
        <v>203</v>
      </c>
      <c r="F97" s="1">
        <v>45582.583333333336</v>
      </c>
      <c r="G97" s="1">
        <v>45582.885416666664</v>
      </c>
      <c r="J97">
        <v>2.8796992481203003</v>
      </c>
      <c r="K97">
        <v>20.877819548872179</v>
      </c>
      <c r="L97">
        <v>7.25</v>
      </c>
    </row>
    <row r="98" spans="1:12" x14ac:dyDescent="0.25">
      <c r="A98" s="2">
        <v>45582</v>
      </c>
      <c r="B98">
        <v>11</v>
      </c>
      <c r="C98" t="s">
        <v>172</v>
      </c>
      <c r="D98">
        <v>33</v>
      </c>
      <c r="E98" t="s">
        <v>201</v>
      </c>
      <c r="F98" s="1">
        <v>45582.9375</v>
      </c>
      <c r="G98" s="1">
        <v>45583.291666666664</v>
      </c>
      <c r="J98">
        <v>5.3662728249194425</v>
      </c>
      <c r="K98">
        <v>45.613319011815264</v>
      </c>
      <c r="L98">
        <v>8.5</v>
      </c>
    </row>
    <row r="99" spans="1:12" hidden="1" x14ac:dyDescent="0.25">
      <c r="A99" s="2">
        <v>45582</v>
      </c>
      <c r="B99">
        <v>11</v>
      </c>
      <c r="C99" t="s">
        <v>172</v>
      </c>
      <c r="D99">
        <v>33</v>
      </c>
      <c r="E99" t="s">
        <v>202</v>
      </c>
      <c r="F99" s="1">
        <v>45582.9375</v>
      </c>
      <c r="G99" s="1">
        <v>45583.291666666664</v>
      </c>
      <c r="J99">
        <v>1</v>
      </c>
      <c r="K99">
        <v>8.5</v>
      </c>
      <c r="L99">
        <v>8.5</v>
      </c>
    </row>
    <row r="100" spans="1:12" hidden="1" x14ac:dyDescent="0.25">
      <c r="A100" s="2">
        <v>45582</v>
      </c>
      <c r="B100">
        <v>11</v>
      </c>
      <c r="C100" t="s">
        <v>172</v>
      </c>
      <c r="D100">
        <v>33</v>
      </c>
      <c r="E100" t="s">
        <v>203</v>
      </c>
      <c r="F100" s="1">
        <v>45582.885416666664</v>
      </c>
      <c r="G100" s="1">
        <v>45583.291666666664</v>
      </c>
      <c r="J100">
        <v>1</v>
      </c>
      <c r="K100">
        <v>9.75</v>
      </c>
      <c r="L100">
        <v>9.75</v>
      </c>
    </row>
    <row r="101" spans="1:12" x14ac:dyDescent="0.25">
      <c r="A101" s="2">
        <v>45583</v>
      </c>
      <c r="B101">
        <v>12</v>
      </c>
      <c r="C101" t="s">
        <v>6</v>
      </c>
      <c r="D101">
        <v>34</v>
      </c>
      <c r="E101" t="s">
        <v>201</v>
      </c>
      <c r="F101" s="1">
        <v>45583.291666666664</v>
      </c>
      <c r="G101" s="1">
        <v>45583.635416666664</v>
      </c>
      <c r="J101">
        <v>14.310060866451845</v>
      </c>
      <c r="K101">
        <v>118.05800214822773</v>
      </c>
      <c r="L101">
        <v>8.25</v>
      </c>
    </row>
    <row r="102" spans="1:12" hidden="1" x14ac:dyDescent="0.25">
      <c r="A102" s="2">
        <v>45583</v>
      </c>
      <c r="B102">
        <v>12</v>
      </c>
      <c r="C102" t="s">
        <v>6</v>
      </c>
      <c r="D102">
        <v>34</v>
      </c>
      <c r="E102" t="s">
        <v>202</v>
      </c>
      <c r="F102" s="1">
        <v>45583.291666666664</v>
      </c>
      <c r="G102" s="1">
        <v>45583.635416666664</v>
      </c>
      <c r="J102">
        <v>3.1563909774436092</v>
      </c>
      <c r="K102">
        <v>26.040225563909775</v>
      </c>
      <c r="L102">
        <v>8.25</v>
      </c>
    </row>
    <row r="103" spans="1:12" hidden="1" x14ac:dyDescent="0.25">
      <c r="A103" s="2">
        <v>45583</v>
      </c>
      <c r="B103">
        <v>12</v>
      </c>
      <c r="C103" t="s">
        <v>6</v>
      </c>
      <c r="D103">
        <v>34</v>
      </c>
      <c r="E103" t="s">
        <v>203</v>
      </c>
      <c r="F103" s="1">
        <v>45583.291666666664</v>
      </c>
      <c r="G103" s="1">
        <v>45583.583333333336</v>
      </c>
      <c r="J103">
        <v>5.7593984962406006</v>
      </c>
      <c r="K103">
        <v>40.315789473684205</v>
      </c>
      <c r="L103">
        <v>7</v>
      </c>
    </row>
    <row r="104" spans="1:12" x14ac:dyDescent="0.25">
      <c r="A104" s="2">
        <v>45583</v>
      </c>
      <c r="B104">
        <v>12</v>
      </c>
      <c r="C104" t="s">
        <v>171</v>
      </c>
      <c r="D104">
        <v>35</v>
      </c>
      <c r="E104" t="s">
        <v>201</v>
      </c>
      <c r="F104" s="1">
        <v>45583.635416666664</v>
      </c>
      <c r="G104" s="1">
        <v>45583.9375</v>
      </c>
      <c r="J104">
        <v>11.626924453992125</v>
      </c>
      <c r="K104">
        <v>84.295202291442905</v>
      </c>
      <c r="L104">
        <v>7.25</v>
      </c>
    </row>
    <row r="105" spans="1:12" hidden="1" x14ac:dyDescent="0.25">
      <c r="A105" s="2">
        <v>45583</v>
      </c>
      <c r="B105">
        <v>12</v>
      </c>
      <c r="C105" t="s">
        <v>171</v>
      </c>
      <c r="D105">
        <v>35</v>
      </c>
      <c r="E105" t="s">
        <v>202</v>
      </c>
      <c r="F105" s="1">
        <v>45583.635416666664</v>
      </c>
      <c r="G105" s="1">
        <v>45583.9375</v>
      </c>
      <c r="J105">
        <v>2.1042606516290729</v>
      </c>
      <c r="K105">
        <v>15.255889724310778</v>
      </c>
      <c r="L105">
        <v>7.25</v>
      </c>
    </row>
    <row r="106" spans="1:12" hidden="1" x14ac:dyDescent="0.25">
      <c r="A106" s="2">
        <v>45583</v>
      </c>
      <c r="B106">
        <v>12</v>
      </c>
      <c r="C106" t="s">
        <v>171</v>
      </c>
      <c r="D106">
        <v>35</v>
      </c>
      <c r="E106" t="s">
        <v>203</v>
      </c>
      <c r="F106" s="1">
        <v>45583.583333333336</v>
      </c>
      <c r="G106" s="1">
        <v>45583.885416666664</v>
      </c>
      <c r="J106">
        <v>2.8796992481203003</v>
      </c>
      <c r="K106">
        <v>20.877819548872179</v>
      </c>
      <c r="L106">
        <v>7.25</v>
      </c>
    </row>
    <row r="107" spans="1:12" x14ac:dyDescent="0.25">
      <c r="A107" s="2">
        <v>45583</v>
      </c>
      <c r="B107">
        <v>12</v>
      </c>
      <c r="C107" t="s">
        <v>172</v>
      </c>
      <c r="D107">
        <v>36</v>
      </c>
      <c r="E107" t="s">
        <v>201</v>
      </c>
      <c r="F107" s="1">
        <v>45583.9375</v>
      </c>
      <c r="G107" s="1">
        <v>45584.291666666664</v>
      </c>
      <c r="J107">
        <v>5.3662728249194425</v>
      </c>
      <c r="K107">
        <v>45.613319011815264</v>
      </c>
      <c r="L107">
        <v>8.5</v>
      </c>
    </row>
    <row r="108" spans="1:12" hidden="1" x14ac:dyDescent="0.25">
      <c r="A108" s="2">
        <v>45583</v>
      </c>
      <c r="B108">
        <v>12</v>
      </c>
      <c r="C108" t="s">
        <v>172</v>
      </c>
      <c r="D108">
        <v>36</v>
      </c>
      <c r="E108" t="s">
        <v>202</v>
      </c>
      <c r="F108" s="1">
        <v>45583.9375</v>
      </c>
      <c r="G108" s="1">
        <v>45584.291666666664</v>
      </c>
      <c r="J108">
        <v>1</v>
      </c>
      <c r="K108">
        <v>8.5</v>
      </c>
      <c r="L108">
        <v>8.5</v>
      </c>
    </row>
    <row r="109" spans="1:12" hidden="1" x14ac:dyDescent="0.25">
      <c r="A109" s="2">
        <v>45583</v>
      </c>
      <c r="B109">
        <v>12</v>
      </c>
      <c r="C109" t="s">
        <v>172</v>
      </c>
      <c r="D109">
        <v>36</v>
      </c>
      <c r="E109" t="s">
        <v>203</v>
      </c>
      <c r="F109" s="1">
        <v>45583.885416666664</v>
      </c>
      <c r="G109" s="1">
        <v>45584.291666666664</v>
      </c>
      <c r="J109">
        <v>1</v>
      </c>
      <c r="K109">
        <v>9.75</v>
      </c>
      <c r="L109">
        <v>9.75</v>
      </c>
    </row>
    <row r="110" spans="1:12" x14ac:dyDescent="0.25">
      <c r="A110" s="2">
        <v>45584</v>
      </c>
      <c r="B110">
        <v>13</v>
      </c>
      <c r="C110" t="s">
        <v>6</v>
      </c>
      <c r="D110">
        <v>37</v>
      </c>
      <c r="E110" t="s">
        <v>201</v>
      </c>
      <c r="F110" s="1">
        <v>45584.291666666664</v>
      </c>
      <c r="G110" s="1">
        <v>45584.635416666664</v>
      </c>
      <c r="J110">
        <v>14.310060866451845</v>
      </c>
      <c r="K110">
        <v>118.05800214822773</v>
      </c>
      <c r="L110">
        <v>8.25</v>
      </c>
    </row>
    <row r="111" spans="1:12" hidden="1" x14ac:dyDescent="0.25">
      <c r="A111" s="2">
        <v>45584</v>
      </c>
      <c r="B111">
        <v>13</v>
      </c>
      <c r="C111" t="s">
        <v>6</v>
      </c>
      <c r="D111">
        <v>37</v>
      </c>
      <c r="E111" t="s">
        <v>202</v>
      </c>
      <c r="F111" s="1">
        <v>45584.291666666664</v>
      </c>
      <c r="G111" s="1">
        <v>45584.635416666664</v>
      </c>
      <c r="J111">
        <v>3.1563909774436092</v>
      </c>
      <c r="K111">
        <v>26.040225563909775</v>
      </c>
      <c r="L111">
        <v>8.25</v>
      </c>
    </row>
    <row r="112" spans="1:12" hidden="1" x14ac:dyDescent="0.25">
      <c r="A112" s="2">
        <v>45584</v>
      </c>
      <c r="B112">
        <v>13</v>
      </c>
      <c r="C112" t="s">
        <v>6</v>
      </c>
      <c r="D112">
        <v>37</v>
      </c>
      <c r="E112" t="s">
        <v>203</v>
      </c>
      <c r="F112" s="1">
        <v>45584.291666666664</v>
      </c>
      <c r="G112" s="1">
        <v>45584.583333333336</v>
      </c>
      <c r="J112">
        <v>5.7593984962406006</v>
      </c>
      <c r="K112">
        <v>40.315789473684205</v>
      </c>
      <c r="L112">
        <v>7</v>
      </c>
    </row>
    <row r="113" spans="1:12" x14ac:dyDescent="0.25">
      <c r="A113" s="2">
        <v>45584</v>
      </c>
      <c r="B113">
        <v>13</v>
      </c>
      <c r="C113" t="s">
        <v>171</v>
      </c>
      <c r="D113">
        <v>38</v>
      </c>
      <c r="E113" t="s">
        <v>201</v>
      </c>
      <c r="F113" s="1">
        <v>45584.635416666664</v>
      </c>
      <c r="G113" s="1">
        <v>45584.9375</v>
      </c>
      <c r="J113">
        <v>11.626924453992125</v>
      </c>
      <c r="K113">
        <v>84.295202291442905</v>
      </c>
      <c r="L113">
        <v>7.25</v>
      </c>
    </row>
    <row r="114" spans="1:12" hidden="1" x14ac:dyDescent="0.25">
      <c r="A114" s="2">
        <v>45584</v>
      </c>
      <c r="B114">
        <v>13</v>
      </c>
      <c r="C114" t="s">
        <v>171</v>
      </c>
      <c r="D114">
        <v>38</v>
      </c>
      <c r="E114" t="s">
        <v>202</v>
      </c>
      <c r="F114" s="1">
        <v>45584.635416666664</v>
      </c>
      <c r="G114" s="1">
        <v>45584.9375</v>
      </c>
      <c r="J114">
        <v>2.1042606516290729</v>
      </c>
      <c r="K114">
        <v>15.255889724310778</v>
      </c>
      <c r="L114">
        <v>7.25</v>
      </c>
    </row>
    <row r="115" spans="1:12" hidden="1" x14ac:dyDescent="0.25">
      <c r="A115" s="2">
        <v>45584</v>
      </c>
      <c r="B115">
        <v>13</v>
      </c>
      <c r="C115" t="s">
        <v>171</v>
      </c>
      <c r="D115">
        <v>38</v>
      </c>
      <c r="E115" t="s">
        <v>203</v>
      </c>
      <c r="F115" s="1">
        <v>45584.583333333336</v>
      </c>
      <c r="G115" s="1">
        <v>45584.885416666664</v>
      </c>
      <c r="J115">
        <v>2.8796992481203003</v>
      </c>
      <c r="K115">
        <v>20.877819548872179</v>
      </c>
      <c r="L115">
        <v>7.25</v>
      </c>
    </row>
    <row r="116" spans="1:12" x14ac:dyDescent="0.25">
      <c r="A116" s="2">
        <v>45584</v>
      </c>
      <c r="B116">
        <v>13</v>
      </c>
      <c r="C116" t="s">
        <v>172</v>
      </c>
      <c r="D116">
        <v>39</v>
      </c>
      <c r="E116" t="s">
        <v>201</v>
      </c>
      <c r="F116" s="1">
        <v>45584.9375</v>
      </c>
      <c r="G116" s="1">
        <v>45585.291666666664</v>
      </c>
      <c r="J116">
        <v>5.3662728249194425</v>
      </c>
      <c r="K116">
        <v>45.613319011815264</v>
      </c>
      <c r="L116">
        <v>8.5</v>
      </c>
    </row>
    <row r="117" spans="1:12" hidden="1" x14ac:dyDescent="0.25">
      <c r="A117" s="2">
        <v>45584</v>
      </c>
      <c r="B117">
        <v>13</v>
      </c>
      <c r="C117" t="s">
        <v>172</v>
      </c>
      <c r="D117">
        <v>39</v>
      </c>
      <c r="E117" t="s">
        <v>202</v>
      </c>
      <c r="F117" s="1">
        <v>45584.9375</v>
      </c>
      <c r="G117" s="1">
        <v>45585.291666666664</v>
      </c>
      <c r="J117">
        <v>1</v>
      </c>
      <c r="K117">
        <v>8.5</v>
      </c>
      <c r="L117">
        <v>8.5</v>
      </c>
    </row>
    <row r="118" spans="1:12" hidden="1" x14ac:dyDescent="0.25">
      <c r="A118" s="2">
        <v>45584</v>
      </c>
      <c r="B118">
        <v>13</v>
      </c>
      <c r="C118" t="s">
        <v>172</v>
      </c>
      <c r="D118">
        <v>39</v>
      </c>
      <c r="E118" t="s">
        <v>203</v>
      </c>
      <c r="F118" s="1">
        <v>45584.885416666664</v>
      </c>
      <c r="G118" s="1">
        <v>45585.291666666664</v>
      </c>
      <c r="J118">
        <v>1</v>
      </c>
      <c r="K118">
        <v>9.75</v>
      </c>
      <c r="L118">
        <v>9.75</v>
      </c>
    </row>
    <row r="119" spans="1:12" x14ac:dyDescent="0.25">
      <c r="A119" s="2">
        <v>45585</v>
      </c>
      <c r="B119">
        <v>14</v>
      </c>
      <c r="C119" t="s">
        <v>6</v>
      </c>
      <c r="D119">
        <v>40</v>
      </c>
      <c r="E119" t="s">
        <v>201</v>
      </c>
      <c r="F119" s="1">
        <v>45585.291666666664</v>
      </c>
      <c r="G119" s="1">
        <v>45585.635416666664</v>
      </c>
      <c r="J119">
        <v>14.310060866451845</v>
      </c>
      <c r="K119">
        <v>118.05800214822773</v>
      </c>
      <c r="L119">
        <v>8.25</v>
      </c>
    </row>
    <row r="120" spans="1:12" hidden="1" x14ac:dyDescent="0.25">
      <c r="A120" s="2">
        <v>45585</v>
      </c>
      <c r="B120">
        <v>14</v>
      </c>
      <c r="C120" t="s">
        <v>6</v>
      </c>
      <c r="D120">
        <v>40</v>
      </c>
      <c r="E120" t="s">
        <v>202</v>
      </c>
      <c r="F120" s="1">
        <v>45585.291666666664</v>
      </c>
      <c r="G120" s="1">
        <v>45585.635416666664</v>
      </c>
      <c r="J120">
        <v>3.1563909774436092</v>
      </c>
      <c r="K120">
        <v>26.040225563909775</v>
      </c>
      <c r="L120">
        <v>8.25</v>
      </c>
    </row>
    <row r="121" spans="1:12" hidden="1" x14ac:dyDescent="0.25">
      <c r="A121" s="2">
        <v>45585</v>
      </c>
      <c r="B121">
        <v>14</v>
      </c>
      <c r="C121" t="s">
        <v>6</v>
      </c>
      <c r="D121">
        <v>40</v>
      </c>
      <c r="E121" t="s">
        <v>203</v>
      </c>
      <c r="F121" s="1">
        <v>45585.291666666664</v>
      </c>
      <c r="G121" s="1">
        <v>45585.583333333336</v>
      </c>
      <c r="J121">
        <v>5.7593984962406006</v>
      </c>
      <c r="K121">
        <v>40.315789473684205</v>
      </c>
      <c r="L121">
        <v>7</v>
      </c>
    </row>
    <row r="122" spans="1:12" x14ac:dyDescent="0.25">
      <c r="A122" s="2">
        <v>45585</v>
      </c>
      <c r="B122">
        <v>14</v>
      </c>
      <c r="C122" t="s">
        <v>171</v>
      </c>
      <c r="D122">
        <v>41</v>
      </c>
      <c r="E122" t="s">
        <v>201</v>
      </c>
      <c r="F122" s="1">
        <v>45585.635416666664</v>
      </c>
      <c r="G122" s="1">
        <v>45585.9375</v>
      </c>
      <c r="J122">
        <v>11.626924453992125</v>
      </c>
      <c r="K122">
        <v>84.295202291442905</v>
      </c>
      <c r="L122">
        <v>7.25</v>
      </c>
    </row>
    <row r="123" spans="1:12" hidden="1" x14ac:dyDescent="0.25">
      <c r="A123" s="2">
        <v>45585</v>
      </c>
      <c r="B123">
        <v>14</v>
      </c>
      <c r="C123" t="s">
        <v>171</v>
      </c>
      <c r="D123">
        <v>41</v>
      </c>
      <c r="E123" t="s">
        <v>202</v>
      </c>
      <c r="F123" s="1">
        <v>45585.635416666664</v>
      </c>
      <c r="G123" s="1">
        <v>45585.9375</v>
      </c>
      <c r="J123">
        <v>2.1042606516290729</v>
      </c>
      <c r="K123">
        <v>15.255889724310778</v>
      </c>
      <c r="L123">
        <v>7.25</v>
      </c>
    </row>
    <row r="124" spans="1:12" hidden="1" x14ac:dyDescent="0.25">
      <c r="A124" s="2">
        <v>45585</v>
      </c>
      <c r="B124">
        <v>14</v>
      </c>
      <c r="C124" t="s">
        <v>171</v>
      </c>
      <c r="D124">
        <v>41</v>
      </c>
      <c r="E124" t="s">
        <v>203</v>
      </c>
      <c r="F124" s="1">
        <v>45585.583333333336</v>
      </c>
      <c r="G124" s="1">
        <v>45585.885416666664</v>
      </c>
      <c r="J124">
        <v>2.8796992481203003</v>
      </c>
      <c r="K124">
        <v>20.877819548872179</v>
      </c>
      <c r="L124">
        <v>7.25</v>
      </c>
    </row>
    <row r="125" spans="1:12" x14ac:dyDescent="0.25">
      <c r="A125" s="2">
        <v>45585</v>
      </c>
      <c r="B125">
        <v>14</v>
      </c>
      <c r="C125" t="s">
        <v>172</v>
      </c>
      <c r="D125">
        <v>42</v>
      </c>
      <c r="E125" t="s">
        <v>201</v>
      </c>
      <c r="F125" s="1">
        <v>45585.9375</v>
      </c>
      <c r="G125" s="1">
        <v>45586.291666666664</v>
      </c>
      <c r="J125">
        <v>5.3662728249194425</v>
      </c>
      <c r="K125">
        <v>45.613319011815264</v>
      </c>
      <c r="L125">
        <v>8.5</v>
      </c>
    </row>
    <row r="126" spans="1:12" hidden="1" x14ac:dyDescent="0.25">
      <c r="A126" s="2">
        <v>45585</v>
      </c>
      <c r="B126">
        <v>14</v>
      </c>
      <c r="C126" t="s">
        <v>172</v>
      </c>
      <c r="D126">
        <v>42</v>
      </c>
      <c r="E126" t="s">
        <v>202</v>
      </c>
      <c r="F126" s="1">
        <v>45585.9375</v>
      </c>
      <c r="G126" s="1">
        <v>45586.291666666664</v>
      </c>
      <c r="J126">
        <v>1</v>
      </c>
      <c r="K126">
        <v>8.5</v>
      </c>
      <c r="L126">
        <v>8.5</v>
      </c>
    </row>
    <row r="127" spans="1:12" hidden="1" x14ac:dyDescent="0.25">
      <c r="A127" s="2">
        <v>45585</v>
      </c>
      <c r="B127">
        <v>14</v>
      </c>
      <c r="C127" t="s">
        <v>172</v>
      </c>
      <c r="D127">
        <v>42</v>
      </c>
      <c r="E127" t="s">
        <v>203</v>
      </c>
      <c r="F127" s="1">
        <v>45585.885416666664</v>
      </c>
      <c r="G127" s="1">
        <v>45586.291666666664</v>
      </c>
      <c r="J127">
        <v>1</v>
      </c>
      <c r="K127">
        <v>9.75</v>
      </c>
      <c r="L127">
        <v>9.75</v>
      </c>
    </row>
  </sheetData>
  <phoneticPr fontId="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A8FB6-36F8-4A04-AC8E-E56DE5238570}">
  <dimension ref="A1:F10"/>
  <sheetViews>
    <sheetView workbookViewId="0">
      <selection sqref="A1:E28"/>
    </sheetView>
  </sheetViews>
  <sheetFormatPr defaultRowHeight="15" x14ac:dyDescent="0.25"/>
  <cols>
    <col min="1" max="1" width="7.28515625" bestFit="1" customWidth="1"/>
    <col min="2" max="2" width="7.42578125" bestFit="1" customWidth="1"/>
    <col min="3" max="3" width="13.7109375" bestFit="1" customWidth="1"/>
    <col min="4" max="4" width="11.85546875" bestFit="1" customWidth="1"/>
    <col min="5" max="5" width="18.28515625" bestFit="1" customWidth="1"/>
    <col min="6" max="6" width="14.140625" customWidth="1"/>
  </cols>
  <sheetData>
    <row r="1" spans="1:6" x14ac:dyDescent="0.25">
      <c r="A1" t="s">
        <v>28</v>
      </c>
      <c r="B1" t="s">
        <v>0</v>
      </c>
      <c r="C1" t="s">
        <v>3</v>
      </c>
      <c r="D1" t="s">
        <v>54</v>
      </c>
      <c r="E1" t="s">
        <v>206</v>
      </c>
      <c r="F1" t="s">
        <v>4</v>
      </c>
    </row>
    <row r="2" spans="1:6" x14ac:dyDescent="0.25">
      <c r="A2" t="s">
        <v>201</v>
      </c>
      <c r="B2" t="s">
        <v>6</v>
      </c>
      <c r="C2">
        <v>14.310060866451845</v>
      </c>
      <c r="D2">
        <v>7</v>
      </c>
      <c r="E2">
        <v>8.25</v>
      </c>
      <c r="F2">
        <v>118.05800214822773</v>
      </c>
    </row>
    <row r="3" spans="1:6" x14ac:dyDescent="0.25">
      <c r="A3" t="s">
        <v>201</v>
      </c>
      <c r="B3" t="s">
        <v>172</v>
      </c>
      <c r="C3">
        <v>5.3662728249194425</v>
      </c>
      <c r="D3">
        <v>22.5</v>
      </c>
      <c r="E3">
        <v>8.5</v>
      </c>
      <c r="F3">
        <v>45.613319011815264</v>
      </c>
    </row>
    <row r="4" spans="1:6" x14ac:dyDescent="0.25">
      <c r="A4" t="s">
        <v>201</v>
      </c>
      <c r="B4" t="s">
        <v>171</v>
      </c>
      <c r="C4">
        <v>11.626924453992125</v>
      </c>
      <c r="D4">
        <v>15.25</v>
      </c>
      <c r="E4">
        <v>7.25</v>
      </c>
      <c r="F4">
        <v>84.295202291442905</v>
      </c>
    </row>
    <row r="5" spans="1:6" x14ac:dyDescent="0.25">
      <c r="A5" t="s">
        <v>202</v>
      </c>
      <c r="B5" t="s">
        <v>6</v>
      </c>
      <c r="C5">
        <v>3.1563909774436092</v>
      </c>
      <c r="D5">
        <v>7</v>
      </c>
      <c r="E5">
        <v>8.25</v>
      </c>
      <c r="F5">
        <v>26.040225563909775</v>
      </c>
    </row>
    <row r="6" spans="1:6" x14ac:dyDescent="0.25">
      <c r="A6" t="s">
        <v>202</v>
      </c>
      <c r="B6" t="s">
        <v>172</v>
      </c>
      <c r="C6">
        <v>1</v>
      </c>
      <c r="D6">
        <v>22.5</v>
      </c>
      <c r="E6">
        <v>8.5</v>
      </c>
      <c r="F6">
        <v>8.5</v>
      </c>
    </row>
    <row r="7" spans="1:6" x14ac:dyDescent="0.25">
      <c r="A7" t="s">
        <v>202</v>
      </c>
      <c r="B7" t="s">
        <v>171</v>
      </c>
      <c r="C7">
        <v>2.1042606516290729</v>
      </c>
      <c r="D7">
        <v>15.25</v>
      </c>
      <c r="E7">
        <v>7.25</v>
      </c>
      <c r="F7">
        <v>15.255889724310778</v>
      </c>
    </row>
    <row r="8" spans="1:6" x14ac:dyDescent="0.25">
      <c r="A8" t="s">
        <v>203</v>
      </c>
      <c r="B8" t="s">
        <v>6</v>
      </c>
      <c r="C8">
        <v>5.7593984962406006</v>
      </c>
      <c r="D8">
        <v>7</v>
      </c>
      <c r="E8">
        <v>7</v>
      </c>
      <c r="F8">
        <v>40.315789473684205</v>
      </c>
    </row>
    <row r="9" spans="1:6" x14ac:dyDescent="0.25">
      <c r="A9" t="s">
        <v>203</v>
      </c>
      <c r="B9" t="s">
        <v>172</v>
      </c>
      <c r="C9">
        <v>1</v>
      </c>
      <c r="D9">
        <v>21.25</v>
      </c>
      <c r="E9">
        <v>9.75</v>
      </c>
      <c r="F9">
        <v>9.75</v>
      </c>
    </row>
    <row r="10" spans="1:6" x14ac:dyDescent="0.25">
      <c r="A10" t="s">
        <v>203</v>
      </c>
      <c r="B10" t="s">
        <v>171</v>
      </c>
      <c r="C10">
        <v>2.8796992481203003</v>
      </c>
      <c r="D10">
        <v>14</v>
      </c>
      <c r="E10">
        <v>7.25</v>
      </c>
      <c r="F10">
        <v>20.877819548872179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9D0A-C226-43FB-895D-9D29ABE4F7C9}">
  <dimension ref="A1:A2"/>
  <sheetViews>
    <sheetView workbookViewId="0"/>
  </sheetViews>
  <sheetFormatPr defaultRowHeight="15" x14ac:dyDescent="0.25"/>
  <cols>
    <col min="1" max="1" width="15.140625" bestFit="1" customWidth="1"/>
  </cols>
  <sheetData>
    <row r="1" spans="1:1" x14ac:dyDescent="0.25">
      <c r="A1" t="s">
        <v>173</v>
      </c>
    </row>
    <row r="2" spans="1:1" x14ac:dyDescent="0.25">
      <c r="A2">
        <v>7.6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120E-1197-49A8-BB9C-AB704F7E8C03}">
  <dimension ref="A1:F10"/>
  <sheetViews>
    <sheetView workbookViewId="0">
      <selection sqref="A1:E10"/>
    </sheetView>
  </sheetViews>
  <sheetFormatPr defaultRowHeight="15" x14ac:dyDescent="0.25"/>
  <cols>
    <col min="1" max="1" width="7.28515625" bestFit="1" customWidth="1"/>
    <col min="2" max="2" width="13.28515625" bestFit="1" customWidth="1"/>
    <col min="3" max="3" width="11.85546875" bestFit="1" customWidth="1"/>
    <col min="4" max="4" width="12" bestFit="1" customWidth="1"/>
    <col min="5" max="5" width="18.28515625" customWidth="1"/>
    <col min="6" max="6" width="12" bestFit="1" customWidth="1"/>
  </cols>
  <sheetData>
    <row r="1" spans="1:6" x14ac:dyDescent="0.25">
      <c r="A1" t="s">
        <v>28</v>
      </c>
      <c r="B1" t="s">
        <v>207</v>
      </c>
      <c r="C1" t="s">
        <v>54</v>
      </c>
      <c r="D1" t="s">
        <v>208</v>
      </c>
      <c r="E1" t="s">
        <v>206</v>
      </c>
      <c r="F1" t="s">
        <v>209</v>
      </c>
    </row>
    <row r="2" spans="1:6" x14ac:dyDescent="0.25">
      <c r="A2" t="s">
        <v>203</v>
      </c>
      <c r="B2" t="s">
        <v>6</v>
      </c>
      <c r="C2">
        <v>7</v>
      </c>
      <c r="D2">
        <v>0.29166666666666669</v>
      </c>
      <c r="E2">
        <v>7</v>
      </c>
      <c r="F2">
        <v>0.58333333333333337</v>
      </c>
    </row>
    <row r="3" spans="1:6" x14ac:dyDescent="0.25">
      <c r="A3" t="s">
        <v>203</v>
      </c>
      <c r="B3" t="s">
        <v>171</v>
      </c>
      <c r="C3">
        <v>14</v>
      </c>
      <c r="D3">
        <v>0.58333333333333337</v>
      </c>
      <c r="E3">
        <v>7.25</v>
      </c>
      <c r="F3">
        <v>0.88541666666666674</v>
      </c>
    </row>
    <row r="4" spans="1:6" x14ac:dyDescent="0.25">
      <c r="A4" t="s">
        <v>203</v>
      </c>
      <c r="B4" t="s">
        <v>172</v>
      </c>
      <c r="C4">
        <v>21.25</v>
      </c>
      <c r="D4">
        <v>0.88541666666666663</v>
      </c>
      <c r="E4">
        <v>9.75</v>
      </c>
      <c r="F4">
        <v>0.29166666666666652</v>
      </c>
    </row>
    <row r="5" spans="1:6" x14ac:dyDescent="0.25">
      <c r="A5" t="s">
        <v>201</v>
      </c>
      <c r="B5" t="s">
        <v>6</v>
      </c>
      <c r="C5">
        <v>7</v>
      </c>
      <c r="D5">
        <v>0.29166666666666669</v>
      </c>
      <c r="E5">
        <v>8.25</v>
      </c>
      <c r="F5">
        <v>0.63541666666666674</v>
      </c>
    </row>
    <row r="6" spans="1:6" x14ac:dyDescent="0.25">
      <c r="A6" t="s">
        <v>201</v>
      </c>
      <c r="B6" t="s">
        <v>171</v>
      </c>
      <c r="C6">
        <v>15.25</v>
      </c>
      <c r="D6">
        <v>0.63541666666666663</v>
      </c>
      <c r="E6">
        <v>7.25</v>
      </c>
      <c r="F6">
        <v>0.9375</v>
      </c>
    </row>
    <row r="7" spans="1:6" x14ac:dyDescent="0.25">
      <c r="A7" t="s">
        <v>201</v>
      </c>
      <c r="B7" t="s">
        <v>172</v>
      </c>
      <c r="C7">
        <v>22.5</v>
      </c>
      <c r="D7">
        <v>0.9375</v>
      </c>
      <c r="E7">
        <v>8.5</v>
      </c>
      <c r="F7">
        <v>0.29166666666666674</v>
      </c>
    </row>
    <row r="8" spans="1:6" x14ac:dyDescent="0.25">
      <c r="A8" t="s">
        <v>202</v>
      </c>
      <c r="B8" t="s">
        <v>6</v>
      </c>
      <c r="C8">
        <v>7</v>
      </c>
      <c r="D8">
        <v>0.29166666666666669</v>
      </c>
      <c r="E8">
        <v>8.25</v>
      </c>
      <c r="F8">
        <v>0.63541666666666674</v>
      </c>
    </row>
    <row r="9" spans="1:6" x14ac:dyDescent="0.25">
      <c r="A9" t="s">
        <v>202</v>
      </c>
      <c r="B9" t="s">
        <v>171</v>
      </c>
      <c r="C9">
        <v>15.25</v>
      </c>
      <c r="D9">
        <v>0.63541666666666663</v>
      </c>
      <c r="E9">
        <v>7.25</v>
      </c>
      <c r="F9">
        <v>0.9375</v>
      </c>
    </row>
    <row r="10" spans="1:6" x14ac:dyDescent="0.25">
      <c r="A10" t="s">
        <v>202</v>
      </c>
      <c r="B10" t="s">
        <v>172</v>
      </c>
      <c r="C10">
        <v>22.5</v>
      </c>
      <c r="D10">
        <v>0.9375</v>
      </c>
      <c r="E10">
        <v>8.5</v>
      </c>
      <c r="F10">
        <v>0.29166666666666674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81A8-6976-4227-80D4-E053B3408C54}">
  <dimension ref="A1:E5"/>
  <sheetViews>
    <sheetView tabSelected="1" workbookViewId="0">
      <selection activeCell="F24" sqref="F24"/>
    </sheetView>
  </sheetViews>
  <sheetFormatPr defaultRowHeight="15" x14ac:dyDescent="0.25"/>
  <cols>
    <col min="1" max="1" width="7.28515625" bestFit="1" customWidth="1"/>
    <col min="2" max="5" width="12" bestFit="1" customWidth="1"/>
  </cols>
  <sheetData>
    <row r="1" spans="1:5" x14ac:dyDescent="0.25">
      <c r="A1" t="s">
        <v>28</v>
      </c>
      <c r="B1" t="s">
        <v>6</v>
      </c>
      <c r="C1" t="s">
        <v>171</v>
      </c>
      <c r="D1" t="s">
        <v>172</v>
      </c>
      <c r="E1" t="s">
        <v>204</v>
      </c>
    </row>
    <row r="2" spans="1:5" x14ac:dyDescent="0.25">
      <c r="A2" t="s">
        <v>203</v>
      </c>
      <c r="B2">
        <v>5.7593984962406006</v>
      </c>
      <c r="C2">
        <v>2.8796992481203003</v>
      </c>
      <c r="D2">
        <v>1</v>
      </c>
      <c r="E2">
        <v>9.6390977443609014</v>
      </c>
    </row>
    <row r="3" spans="1:5" x14ac:dyDescent="0.25">
      <c r="A3" t="s">
        <v>202</v>
      </c>
      <c r="B3">
        <v>3.1563909774436092</v>
      </c>
      <c r="C3">
        <v>2.1042606516290729</v>
      </c>
      <c r="D3">
        <v>1</v>
      </c>
      <c r="E3">
        <v>6.2606516290726821</v>
      </c>
    </row>
    <row r="4" spans="1:5" x14ac:dyDescent="0.25">
      <c r="A4" t="s">
        <v>201</v>
      </c>
      <c r="B4">
        <v>14.310060866451845</v>
      </c>
      <c r="C4">
        <v>11.626924453992125</v>
      </c>
      <c r="D4">
        <v>5.3662728249194425</v>
      </c>
      <c r="E4">
        <v>31.303258145363412</v>
      </c>
    </row>
    <row r="5" spans="1:5" x14ac:dyDescent="0.25">
      <c r="A5" t="s">
        <v>205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D43C8-C97E-44B2-9AB6-B611636CC575}">
  <dimension ref="A1:G123"/>
  <sheetViews>
    <sheetView workbookViewId="0">
      <selection activeCell="M24" sqref="M24"/>
    </sheetView>
  </sheetViews>
  <sheetFormatPr defaultRowHeight="15" x14ac:dyDescent="0.25"/>
  <cols>
    <col min="1" max="1" width="7.42578125" bestFit="1" customWidth="1"/>
    <col min="2" max="2" width="23.28515625" bestFit="1" customWidth="1"/>
    <col min="3" max="3" width="9.5703125" bestFit="1" customWidth="1"/>
    <col min="4" max="4" width="10.140625" bestFit="1" customWidth="1"/>
    <col min="5" max="5" width="13.7109375" bestFit="1" customWidth="1"/>
    <col min="6" max="6" width="14.140625" bestFit="1" customWidth="1"/>
    <col min="7" max="7" width="10.7109375" bestFit="1" customWidth="1"/>
    <col min="8" max="8" width="7.42578125" bestFit="1" customWidth="1"/>
  </cols>
  <sheetData>
    <row r="1" spans="1:7" x14ac:dyDescent="0.25">
      <c r="A1" t="s">
        <v>0</v>
      </c>
      <c r="B1" t="s">
        <v>28</v>
      </c>
      <c r="C1" t="s">
        <v>45</v>
      </c>
      <c r="D1" t="s">
        <v>27</v>
      </c>
      <c r="E1" t="s">
        <v>3</v>
      </c>
      <c r="F1" t="s">
        <v>4</v>
      </c>
      <c r="G1" t="s">
        <v>56</v>
      </c>
    </row>
    <row r="2" spans="1:7" x14ac:dyDescent="0.25">
      <c r="A2" t="s">
        <v>172</v>
      </c>
      <c r="B2" t="s">
        <v>8</v>
      </c>
      <c r="C2" t="s">
        <v>46</v>
      </c>
      <c r="D2" t="s">
        <v>7</v>
      </c>
      <c r="E2">
        <v>6</v>
      </c>
      <c r="F2">
        <v>48.5</v>
      </c>
      <c r="G2" s="2">
        <v>45600</v>
      </c>
    </row>
    <row r="3" spans="1:7" x14ac:dyDescent="0.25">
      <c r="A3" t="s">
        <v>172</v>
      </c>
      <c r="B3" t="s">
        <v>25</v>
      </c>
      <c r="C3" t="s">
        <v>46</v>
      </c>
      <c r="D3" t="s">
        <v>24</v>
      </c>
      <c r="E3">
        <v>3</v>
      </c>
      <c r="F3">
        <v>25.25</v>
      </c>
      <c r="G3" s="2">
        <v>45600</v>
      </c>
    </row>
    <row r="4" spans="1:7" x14ac:dyDescent="0.25">
      <c r="A4" t="s">
        <v>172</v>
      </c>
      <c r="B4" t="s">
        <v>8</v>
      </c>
      <c r="C4" t="s">
        <v>46</v>
      </c>
      <c r="D4" t="s">
        <v>23</v>
      </c>
      <c r="E4">
        <v>5</v>
      </c>
      <c r="F4">
        <v>39</v>
      </c>
      <c r="G4" s="2">
        <v>45600</v>
      </c>
    </row>
    <row r="5" spans="1:7" x14ac:dyDescent="0.25">
      <c r="A5" t="s">
        <v>172</v>
      </c>
      <c r="B5" t="s">
        <v>8</v>
      </c>
      <c r="C5" t="s">
        <v>46</v>
      </c>
      <c r="D5" t="s">
        <v>22</v>
      </c>
      <c r="E5">
        <v>6</v>
      </c>
      <c r="F5">
        <v>48.5</v>
      </c>
      <c r="G5" s="2">
        <v>45600</v>
      </c>
    </row>
    <row r="6" spans="1:7" x14ac:dyDescent="0.25">
      <c r="A6" t="s">
        <v>172</v>
      </c>
      <c r="B6" t="s">
        <v>26</v>
      </c>
      <c r="C6" t="s">
        <v>46</v>
      </c>
      <c r="D6" t="s">
        <v>24</v>
      </c>
      <c r="E6">
        <v>1</v>
      </c>
      <c r="F6">
        <v>8.5</v>
      </c>
      <c r="G6" s="2">
        <v>45600</v>
      </c>
    </row>
    <row r="7" spans="1:7" x14ac:dyDescent="0.25">
      <c r="A7" t="s">
        <v>6</v>
      </c>
      <c r="B7" t="s">
        <v>8</v>
      </c>
      <c r="C7" t="s">
        <v>46</v>
      </c>
      <c r="D7" t="s">
        <v>7</v>
      </c>
      <c r="E7">
        <v>4</v>
      </c>
      <c r="F7">
        <v>32.5</v>
      </c>
      <c r="G7" s="2">
        <v>45600</v>
      </c>
    </row>
    <row r="8" spans="1:7" x14ac:dyDescent="0.25">
      <c r="A8" t="s">
        <v>6</v>
      </c>
      <c r="B8" t="s">
        <v>8</v>
      </c>
      <c r="C8" t="s">
        <v>46</v>
      </c>
      <c r="D8" t="s">
        <v>22</v>
      </c>
      <c r="E8">
        <v>3</v>
      </c>
      <c r="F8">
        <v>24.5</v>
      </c>
      <c r="G8" s="2">
        <v>45600</v>
      </c>
    </row>
    <row r="9" spans="1:7" x14ac:dyDescent="0.25">
      <c r="A9" t="s">
        <v>6</v>
      </c>
      <c r="B9" t="s">
        <v>25</v>
      </c>
      <c r="C9" t="s">
        <v>46</v>
      </c>
      <c r="D9" t="s">
        <v>24</v>
      </c>
      <c r="E9">
        <v>2</v>
      </c>
      <c r="F9">
        <v>17</v>
      </c>
      <c r="G9" s="2">
        <v>45600</v>
      </c>
    </row>
    <row r="10" spans="1:7" x14ac:dyDescent="0.25">
      <c r="A10" t="s">
        <v>6</v>
      </c>
      <c r="B10" t="s">
        <v>8</v>
      </c>
      <c r="C10" t="s">
        <v>46</v>
      </c>
      <c r="D10" t="s">
        <v>23</v>
      </c>
      <c r="E10">
        <v>3</v>
      </c>
      <c r="F10">
        <v>24.5</v>
      </c>
      <c r="G10" s="2">
        <v>45600</v>
      </c>
    </row>
    <row r="11" spans="1:7" x14ac:dyDescent="0.25">
      <c r="A11" t="s">
        <v>172</v>
      </c>
      <c r="B11" t="s">
        <v>26</v>
      </c>
      <c r="C11" t="s">
        <v>46</v>
      </c>
      <c r="D11" t="s">
        <v>24</v>
      </c>
      <c r="E11">
        <v>1</v>
      </c>
      <c r="F11">
        <v>8.5</v>
      </c>
      <c r="G11" s="2">
        <v>45601</v>
      </c>
    </row>
    <row r="12" spans="1:7" x14ac:dyDescent="0.25">
      <c r="A12" t="s">
        <v>172</v>
      </c>
      <c r="B12" t="s">
        <v>8</v>
      </c>
      <c r="C12" t="s">
        <v>46</v>
      </c>
      <c r="D12" t="s">
        <v>22</v>
      </c>
      <c r="E12">
        <v>6</v>
      </c>
      <c r="F12">
        <v>48.5</v>
      </c>
      <c r="G12" s="2">
        <v>45601</v>
      </c>
    </row>
    <row r="13" spans="1:7" x14ac:dyDescent="0.25">
      <c r="A13" t="s">
        <v>172</v>
      </c>
      <c r="B13" t="s">
        <v>8</v>
      </c>
      <c r="C13" t="s">
        <v>46</v>
      </c>
      <c r="D13" t="s">
        <v>23</v>
      </c>
      <c r="E13">
        <v>5</v>
      </c>
      <c r="F13">
        <v>39</v>
      </c>
      <c r="G13" s="2">
        <v>45601</v>
      </c>
    </row>
    <row r="14" spans="1:7" x14ac:dyDescent="0.25">
      <c r="A14" t="s">
        <v>172</v>
      </c>
      <c r="B14" t="s">
        <v>8</v>
      </c>
      <c r="C14" t="s">
        <v>46</v>
      </c>
      <c r="D14" t="s">
        <v>7</v>
      </c>
      <c r="E14">
        <v>6</v>
      </c>
      <c r="F14">
        <v>48.5</v>
      </c>
      <c r="G14" s="2">
        <v>45601</v>
      </c>
    </row>
    <row r="15" spans="1:7" x14ac:dyDescent="0.25">
      <c r="A15" t="s">
        <v>172</v>
      </c>
      <c r="B15" t="s">
        <v>25</v>
      </c>
      <c r="C15" t="s">
        <v>46</v>
      </c>
      <c r="D15" t="s">
        <v>24</v>
      </c>
      <c r="E15">
        <v>3</v>
      </c>
      <c r="F15">
        <v>25.25</v>
      </c>
      <c r="G15" s="2">
        <v>45601</v>
      </c>
    </row>
    <row r="16" spans="1:7" x14ac:dyDescent="0.25">
      <c r="A16" t="s">
        <v>6</v>
      </c>
      <c r="B16" t="s">
        <v>8</v>
      </c>
      <c r="C16" t="s">
        <v>46</v>
      </c>
      <c r="D16" t="s">
        <v>7</v>
      </c>
      <c r="E16">
        <v>4</v>
      </c>
      <c r="F16">
        <v>32.5</v>
      </c>
      <c r="G16" s="2">
        <v>45601</v>
      </c>
    </row>
    <row r="17" spans="1:7" x14ac:dyDescent="0.25">
      <c r="A17" t="s">
        <v>6</v>
      </c>
      <c r="B17" t="s">
        <v>25</v>
      </c>
      <c r="C17" t="s">
        <v>46</v>
      </c>
      <c r="D17" t="s">
        <v>24</v>
      </c>
      <c r="E17">
        <v>2</v>
      </c>
      <c r="F17">
        <v>17</v>
      </c>
      <c r="G17" s="2">
        <v>45601</v>
      </c>
    </row>
    <row r="18" spans="1:7" x14ac:dyDescent="0.25">
      <c r="A18" t="s">
        <v>6</v>
      </c>
      <c r="B18" t="s">
        <v>8</v>
      </c>
      <c r="C18" t="s">
        <v>46</v>
      </c>
      <c r="D18" t="s">
        <v>23</v>
      </c>
      <c r="E18">
        <v>3</v>
      </c>
      <c r="F18">
        <v>24.5</v>
      </c>
      <c r="G18" s="2">
        <v>45601</v>
      </c>
    </row>
    <row r="19" spans="1:7" x14ac:dyDescent="0.25">
      <c r="A19" t="s">
        <v>6</v>
      </c>
      <c r="B19" t="s">
        <v>8</v>
      </c>
      <c r="C19" t="s">
        <v>46</v>
      </c>
      <c r="D19" t="s">
        <v>22</v>
      </c>
      <c r="E19">
        <v>3</v>
      </c>
      <c r="F19">
        <v>24.5</v>
      </c>
      <c r="G19" s="2">
        <v>45601</v>
      </c>
    </row>
    <row r="20" spans="1:7" x14ac:dyDescent="0.25">
      <c r="A20" t="s">
        <v>172</v>
      </c>
      <c r="B20" t="s">
        <v>8</v>
      </c>
      <c r="C20" t="s">
        <v>46</v>
      </c>
      <c r="D20" t="s">
        <v>23</v>
      </c>
      <c r="E20">
        <v>5</v>
      </c>
      <c r="F20">
        <v>39</v>
      </c>
      <c r="G20" s="2">
        <v>45602</v>
      </c>
    </row>
    <row r="21" spans="1:7" x14ac:dyDescent="0.25">
      <c r="A21" t="s">
        <v>172</v>
      </c>
      <c r="B21" t="s">
        <v>25</v>
      </c>
      <c r="C21" t="s">
        <v>46</v>
      </c>
      <c r="D21" t="s">
        <v>24</v>
      </c>
      <c r="E21">
        <v>3</v>
      </c>
      <c r="F21">
        <v>25.25</v>
      </c>
      <c r="G21" s="2">
        <v>45602</v>
      </c>
    </row>
    <row r="22" spans="1:7" x14ac:dyDescent="0.25">
      <c r="A22" t="s">
        <v>172</v>
      </c>
      <c r="B22" t="s">
        <v>8</v>
      </c>
      <c r="C22" t="s">
        <v>46</v>
      </c>
      <c r="D22" t="s">
        <v>22</v>
      </c>
      <c r="E22">
        <v>6</v>
      </c>
      <c r="F22">
        <v>48.5</v>
      </c>
      <c r="G22" s="2">
        <v>45602</v>
      </c>
    </row>
    <row r="23" spans="1:7" x14ac:dyDescent="0.25">
      <c r="A23" t="s">
        <v>172</v>
      </c>
      <c r="B23" t="s">
        <v>26</v>
      </c>
      <c r="C23" t="s">
        <v>46</v>
      </c>
      <c r="D23" t="s">
        <v>24</v>
      </c>
      <c r="E23">
        <v>1</v>
      </c>
      <c r="F23">
        <v>8.5</v>
      </c>
      <c r="G23" s="2">
        <v>45602</v>
      </c>
    </row>
    <row r="24" spans="1:7" x14ac:dyDescent="0.25">
      <c r="A24" t="s">
        <v>172</v>
      </c>
      <c r="B24" t="s">
        <v>8</v>
      </c>
      <c r="C24" t="s">
        <v>46</v>
      </c>
      <c r="D24" t="s">
        <v>7</v>
      </c>
      <c r="E24">
        <v>6</v>
      </c>
      <c r="F24">
        <v>48.5</v>
      </c>
      <c r="G24" s="2">
        <v>45602</v>
      </c>
    </row>
    <row r="25" spans="1:7" x14ac:dyDescent="0.25">
      <c r="A25" t="s">
        <v>6</v>
      </c>
      <c r="B25" t="s">
        <v>8</v>
      </c>
      <c r="C25" t="s">
        <v>46</v>
      </c>
      <c r="D25" t="s">
        <v>7</v>
      </c>
      <c r="E25">
        <v>4</v>
      </c>
      <c r="F25">
        <v>32.5</v>
      </c>
      <c r="G25" s="2">
        <v>45602</v>
      </c>
    </row>
    <row r="26" spans="1:7" x14ac:dyDescent="0.25">
      <c r="A26" t="s">
        <v>6</v>
      </c>
      <c r="B26" t="s">
        <v>25</v>
      </c>
      <c r="C26" t="s">
        <v>46</v>
      </c>
      <c r="D26" t="s">
        <v>24</v>
      </c>
      <c r="E26">
        <v>2</v>
      </c>
      <c r="F26">
        <v>17</v>
      </c>
      <c r="G26" s="2">
        <v>45602</v>
      </c>
    </row>
    <row r="27" spans="1:7" x14ac:dyDescent="0.25">
      <c r="A27" t="s">
        <v>6</v>
      </c>
      <c r="B27" t="s">
        <v>8</v>
      </c>
      <c r="C27" t="s">
        <v>46</v>
      </c>
      <c r="D27" t="s">
        <v>23</v>
      </c>
      <c r="E27">
        <v>3</v>
      </c>
      <c r="F27">
        <v>24.5</v>
      </c>
      <c r="G27" s="2">
        <v>45602</v>
      </c>
    </row>
    <row r="28" spans="1:7" x14ac:dyDescent="0.25">
      <c r="A28" t="s">
        <v>6</v>
      </c>
      <c r="B28" t="s">
        <v>8</v>
      </c>
      <c r="C28" t="s">
        <v>46</v>
      </c>
      <c r="D28" t="s">
        <v>22</v>
      </c>
      <c r="E28">
        <v>3</v>
      </c>
      <c r="F28">
        <v>24.5</v>
      </c>
      <c r="G28" s="2">
        <v>45602</v>
      </c>
    </row>
    <row r="29" spans="1:7" x14ac:dyDescent="0.25">
      <c r="A29" t="s">
        <v>172</v>
      </c>
      <c r="B29" t="s">
        <v>26</v>
      </c>
      <c r="C29" t="s">
        <v>46</v>
      </c>
      <c r="D29" t="s">
        <v>24</v>
      </c>
      <c r="E29">
        <v>1</v>
      </c>
      <c r="F29">
        <v>7.5</v>
      </c>
      <c r="G29" s="2">
        <v>45603</v>
      </c>
    </row>
    <row r="30" spans="1:7" x14ac:dyDescent="0.25">
      <c r="A30" t="s">
        <v>172</v>
      </c>
      <c r="B30" t="s">
        <v>25</v>
      </c>
      <c r="C30" t="s">
        <v>46</v>
      </c>
      <c r="D30" t="s">
        <v>24</v>
      </c>
      <c r="E30">
        <v>3</v>
      </c>
      <c r="F30">
        <v>25.25</v>
      </c>
      <c r="G30" s="2">
        <v>45603</v>
      </c>
    </row>
    <row r="31" spans="1:7" x14ac:dyDescent="0.25">
      <c r="A31" t="s">
        <v>172</v>
      </c>
      <c r="B31" t="s">
        <v>8</v>
      </c>
      <c r="C31" t="s">
        <v>46</v>
      </c>
      <c r="D31" t="s">
        <v>23</v>
      </c>
      <c r="E31">
        <v>5</v>
      </c>
      <c r="F31">
        <v>39</v>
      </c>
      <c r="G31" s="2">
        <v>45603</v>
      </c>
    </row>
    <row r="32" spans="1:7" x14ac:dyDescent="0.25">
      <c r="A32" t="s">
        <v>172</v>
      </c>
      <c r="B32" t="s">
        <v>8</v>
      </c>
      <c r="C32" t="s">
        <v>46</v>
      </c>
      <c r="D32" t="s">
        <v>22</v>
      </c>
      <c r="E32">
        <v>6</v>
      </c>
      <c r="F32">
        <v>48.5</v>
      </c>
      <c r="G32" s="2">
        <v>45603</v>
      </c>
    </row>
    <row r="33" spans="1:7" x14ac:dyDescent="0.25">
      <c r="A33" t="s">
        <v>172</v>
      </c>
      <c r="B33" t="s">
        <v>8</v>
      </c>
      <c r="C33" t="s">
        <v>46</v>
      </c>
      <c r="D33" t="s">
        <v>7</v>
      </c>
      <c r="E33">
        <v>6</v>
      </c>
      <c r="F33">
        <v>48.5</v>
      </c>
      <c r="G33" s="2">
        <v>45603</v>
      </c>
    </row>
    <row r="34" spans="1:7" x14ac:dyDescent="0.25">
      <c r="A34" t="s">
        <v>6</v>
      </c>
      <c r="B34" t="s">
        <v>8</v>
      </c>
      <c r="C34" t="s">
        <v>46</v>
      </c>
      <c r="D34" t="s">
        <v>7</v>
      </c>
      <c r="E34">
        <v>4</v>
      </c>
      <c r="F34">
        <v>32.5</v>
      </c>
      <c r="G34" s="2">
        <v>45603</v>
      </c>
    </row>
    <row r="35" spans="1:7" x14ac:dyDescent="0.25">
      <c r="A35" t="s">
        <v>6</v>
      </c>
      <c r="B35" t="s">
        <v>8</v>
      </c>
      <c r="C35" t="s">
        <v>46</v>
      </c>
      <c r="D35" t="s">
        <v>22</v>
      </c>
      <c r="E35">
        <v>3</v>
      </c>
      <c r="F35">
        <v>24.5</v>
      </c>
      <c r="G35" s="2">
        <v>45603</v>
      </c>
    </row>
    <row r="36" spans="1:7" x14ac:dyDescent="0.25">
      <c r="A36" t="s">
        <v>6</v>
      </c>
      <c r="B36" t="s">
        <v>25</v>
      </c>
      <c r="C36" t="s">
        <v>46</v>
      </c>
      <c r="D36" t="s">
        <v>24</v>
      </c>
      <c r="E36">
        <v>2</v>
      </c>
      <c r="F36">
        <v>17</v>
      </c>
      <c r="G36" s="2">
        <v>45603</v>
      </c>
    </row>
    <row r="37" spans="1:7" x14ac:dyDescent="0.25">
      <c r="A37" t="s">
        <v>6</v>
      </c>
      <c r="B37" t="s">
        <v>8</v>
      </c>
      <c r="C37" t="s">
        <v>46</v>
      </c>
      <c r="D37" t="s">
        <v>23</v>
      </c>
      <c r="E37">
        <v>3</v>
      </c>
      <c r="F37">
        <v>24.5</v>
      </c>
      <c r="G37" s="2">
        <v>45603</v>
      </c>
    </row>
    <row r="38" spans="1:7" x14ac:dyDescent="0.25">
      <c r="A38" t="s">
        <v>172</v>
      </c>
      <c r="B38" t="s">
        <v>8</v>
      </c>
      <c r="C38" t="s">
        <v>46</v>
      </c>
      <c r="D38" t="s">
        <v>22</v>
      </c>
      <c r="E38">
        <v>6</v>
      </c>
      <c r="F38">
        <v>48.5</v>
      </c>
      <c r="G38" s="2">
        <v>45604</v>
      </c>
    </row>
    <row r="39" spans="1:7" x14ac:dyDescent="0.25">
      <c r="A39" t="s">
        <v>172</v>
      </c>
      <c r="B39" t="s">
        <v>8</v>
      </c>
      <c r="C39" t="s">
        <v>46</v>
      </c>
      <c r="D39" t="s">
        <v>23</v>
      </c>
      <c r="E39">
        <v>5</v>
      </c>
      <c r="F39">
        <v>39</v>
      </c>
      <c r="G39" s="2">
        <v>45604</v>
      </c>
    </row>
    <row r="40" spans="1:7" x14ac:dyDescent="0.25">
      <c r="A40" t="s">
        <v>172</v>
      </c>
      <c r="B40" t="s">
        <v>26</v>
      </c>
      <c r="C40" t="s">
        <v>46</v>
      </c>
      <c r="D40" t="s">
        <v>24</v>
      </c>
      <c r="E40">
        <v>1</v>
      </c>
      <c r="F40">
        <v>7.5</v>
      </c>
      <c r="G40" s="2">
        <v>45604</v>
      </c>
    </row>
    <row r="41" spans="1:7" x14ac:dyDescent="0.25">
      <c r="A41" t="s">
        <v>172</v>
      </c>
      <c r="B41" t="s">
        <v>25</v>
      </c>
      <c r="C41" t="s">
        <v>46</v>
      </c>
      <c r="D41" t="s">
        <v>24</v>
      </c>
      <c r="E41">
        <v>3</v>
      </c>
      <c r="F41">
        <v>25.25</v>
      </c>
      <c r="G41" s="2">
        <v>45604</v>
      </c>
    </row>
    <row r="42" spans="1:7" x14ac:dyDescent="0.25">
      <c r="A42" t="s">
        <v>172</v>
      </c>
      <c r="B42" t="s">
        <v>8</v>
      </c>
      <c r="C42" t="s">
        <v>46</v>
      </c>
      <c r="D42" t="s">
        <v>7</v>
      </c>
      <c r="E42">
        <v>6</v>
      </c>
      <c r="F42">
        <v>48.5</v>
      </c>
      <c r="G42" s="2">
        <v>45604</v>
      </c>
    </row>
    <row r="43" spans="1:7" x14ac:dyDescent="0.25">
      <c r="A43" t="s">
        <v>6</v>
      </c>
      <c r="B43" t="s">
        <v>8</v>
      </c>
      <c r="C43" t="s">
        <v>46</v>
      </c>
      <c r="D43" t="s">
        <v>7</v>
      </c>
      <c r="E43">
        <v>4</v>
      </c>
      <c r="F43">
        <v>32.5</v>
      </c>
      <c r="G43" s="2">
        <v>45604</v>
      </c>
    </row>
    <row r="44" spans="1:7" x14ac:dyDescent="0.25">
      <c r="A44" t="s">
        <v>6</v>
      </c>
      <c r="B44" t="s">
        <v>8</v>
      </c>
      <c r="C44" t="s">
        <v>46</v>
      </c>
      <c r="D44" t="s">
        <v>22</v>
      </c>
      <c r="E44">
        <v>3</v>
      </c>
      <c r="F44">
        <v>24.5</v>
      </c>
      <c r="G44" s="2">
        <v>45604</v>
      </c>
    </row>
    <row r="45" spans="1:7" x14ac:dyDescent="0.25">
      <c r="A45" t="s">
        <v>6</v>
      </c>
      <c r="B45" t="s">
        <v>25</v>
      </c>
      <c r="C45" t="s">
        <v>46</v>
      </c>
      <c r="D45" t="s">
        <v>24</v>
      </c>
      <c r="E45">
        <v>2</v>
      </c>
      <c r="F45">
        <v>17</v>
      </c>
      <c r="G45" s="2">
        <v>45604</v>
      </c>
    </row>
    <row r="46" spans="1:7" x14ac:dyDescent="0.25">
      <c r="A46" t="s">
        <v>6</v>
      </c>
      <c r="B46" t="s">
        <v>8</v>
      </c>
      <c r="C46" t="s">
        <v>46</v>
      </c>
      <c r="D46" t="s">
        <v>23</v>
      </c>
      <c r="E46">
        <v>3</v>
      </c>
      <c r="F46">
        <v>24.5</v>
      </c>
      <c r="G46" s="2">
        <v>45604</v>
      </c>
    </row>
    <row r="47" spans="1:7" x14ac:dyDescent="0.25">
      <c r="A47" t="s">
        <v>172</v>
      </c>
      <c r="B47" t="s">
        <v>8</v>
      </c>
      <c r="C47" t="s">
        <v>46</v>
      </c>
      <c r="D47" t="s">
        <v>22</v>
      </c>
      <c r="E47">
        <v>6</v>
      </c>
      <c r="F47">
        <v>48.5</v>
      </c>
      <c r="G47" s="2">
        <v>45605</v>
      </c>
    </row>
    <row r="48" spans="1:7" x14ac:dyDescent="0.25">
      <c r="A48" t="s">
        <v>172</v>
      </c>
      <c r="B48" t="s">
        <v>8</v>
      </c>
      <c r="C48" t="s">
        <v>46</v>
      </c>
      <c r="D48" t="s">
        <v>23</v>
      </c>
      <c r="E48">
        <v>5</v>
      </c>
      <c r="F48">
        <v>39</v>
      </c>
      <c r="G48" s="2">
        <v>45605</v>
      </c>
    </row>
    <row r="49" spans="1:7" x14ac:dyDescent="0.25">
      <c r="A49" t="s">
        <v>172</v>
      </c>
      <c r="B49" t="s">
        <v>25</v>
      </c>
      <c r="C49" t="s">
        <v>46</v>
      </c>
      <c r="D49" t="s">
        <v>24</v>
      </c>
      <c r="E49">
        <v>3</v>
      </c>
      <c r="F49">
        <v>25.25</v>
      </c>
      <c r="G49" s="2">
        <v>45605</v>
      </c>
    </row>
    <row r="50" spans="1:7" x14ac:dyDescent="0.25">
      <c r="A50" t="s">
        <v>172</v>
      </c>
      <c r="B50" t="s">
        <v>8</v>
      </c>
      <c r="C50" t="s">
        <v>46</v>
      </c>
      <c r="D50" t="s">
        <v>7</v>
      </c>
      <c r="E50">
        <v>6</v>
      </c>
      <c r="F50">
        <v>48.5</v>
      </c>
      <c r="G50" s="2">
        <v>45605</v>
      </c>
    </row>
    <row r="51" spans="1:7" x14ac:dyDescent="0.25">
      <c r="A51" t="s">
        <v>6</v>
      </c>
      <c r="B51" t="s">
        <v>8</v>
      </c>
      <c r="C51" t="s">
        <v>46</v>
      </c>
      <c r="D51" t="s">
        <v>7</v>
      </c>
      <c r="E51">
        <v>4</v>
      </c>
      <c r="F51">
        <v>32.5</v>
      </c>
      <c r="G51" s="2">
        <v>45605</v>
      </c>
    </row>
    <row r="52" spans="1:7" x14ac:dyDescent="0.25">
      <c r="A52" t="s">
        <v>6</v>
      </c>
      <c r="B52" t="s">
        <v>25</v>
      </c>
      <c r="C52" t="s">
        <v>46</v>
      </c>
      <c r="D52" t="s">
        <v>24</v>
      </c>
      <c r="E52">
        <v>2</v>
      </c>
      <c r="F52">
        <v>17</v>
      </c>
      <c r="G52" s="2">
        <v>45605</v>
      </c>
    </row>
    <row r="53" spans="1:7" x14ac:dyDescent="0.25">
      <c r="A53" t="s">
        <v>6</v>
      </c>
      <c r="B53" t="s">
        <v>8</v>
      </c>
      <c r="C53" t="s">
        <v>46</v>
      </c>
      <c r="D53" t="s">
        <v>22</v>
      </c>
      <c r="E53">
        <v>3</v>
      </c>
      <c r="F53">
        <v>24.5</v>
      </c>
      <c r="G53" s="2">
        <v>45605</v>
      </c>
    </row>
    <row r="54" spans="1:7" x14ac:dyDescent="0.25">
      <c r="A54" t="s">
        <v>6</v>
      </c>
      <c r="B54" t="s">
        <v>8</v>
      </c>
      <c r="C54" t="s">
        <v>46</v>
      </c>
      <c r="D54" t="s">
        <v>23</v>
      </c>
      <c r="E54">
        <v>3</v>
      </c>
      <c r="F54">
        <v>24.5</v>
      </c>
      <c r="G54" s="2">
        <v>45605</v>
      </c>
    </row>
    <row r="55" spans="1:7" x14ac:dyDescent="0.25">
      <c r="A55" t="s">
        <v>172</v>
      </c>
      <c r="B55" t="s">
        <v>8</v>
      </c>
      <c r="C55" t="s">
        <v>46</v>
      </c>
      <c r="D55" t="s">
        <v>7</v>
      </c>
      <c r="E55">
        <v>6</v>
      </c>
      <c r="F55">
        <v>48.5</v>
      </c>
      <c r="G55" s="2">
        <v>45606</v>
      </c>
    </row>
    <row r="56" spans="1:7" x14ac:dyDescent="0.25">
      <c r="A56" t="s">
        <v>172</v>
      </c>
      <c r="B56" t="s">
        <v>8</v>
      </c>
      <c r="C56" t="s">
        <v>46</v>
      </c>
      <c r="D56" t="s">
        <v>23</v>
      </c>
      <c r="E56">
        <v>5</v>
      </c>
      <c r="F56">
        <v>39</v>
      </c>
      <c r="G56" s="2">
        <v>45606</v>
      </c>
    </row>
    <row r="57" spans="1:7" x14ac:dyDescent="0.25">
      <c r="A57" t="s">
        <v>172</v>
      </c>
      <c r="B57" t="s">
        <v>8</v>
      </c>
      <c r="C57" t="s">
        <v>46</v>
      </c>
      <c r="D57" t="s">
        <v>22</v>
      </c>
      <c r="E57">
        <v>6</v>
      </c>
      <c r="F57">
        <v>48.5</v>
      </c>
      <c r="G57" s="2">
        <v>45606</v>
      </c>
    </row>
    <row r="58" spans="1:7" x14ac:dyDescent="0.25">
      <c r="A58" t="s">
        <v>172</v>
      </c>
      <c r="B58" t="s">
        <v>25</v>
      </c>
      <c r="C58" t="s">
        <v>46</v>
      </c>
      <c r="D58" t="s">
        <v>24</v>
      </c>
      <c r="E58">
        <v>3</v>
      </c>
      <c r="F58">
        <v>25.25</v>
      </c>
      <c r="G58" s="2">
        <v>45606</v>
      </c>
    </row>
    <row r="59" spans="1:7" x14ac:dyDescent="0.25">
      <c r="A59" t="s">
        <v>6</v>
      </c>
      <c r="B59" t="s">
        <v>8</v>
      </c>
      <c r="C59" t="s">
        <v>46</v>
      </c>
      <c r="D59" t="s">
        <v>7</v>
      </c>
      <c r="E59">
        <v>4</v>
      </c>
      <c r="F59">
        <v>32.5</v>
      </c>
      <c r="G59" s="2">
        <v>45606</v>
      </c>
    </row>
    <row r="60" spans="1:7" x14ac:dyDescent="0.25">
      <c r="A60" t="s">
        <v>6</v>
      </c>
      <c r="B60" t="s">
        <v>8</v>
      </c>
      <c r="C60" t="s">
        <v>46</v>
      </c>
      <c r="D60" t="s">
        <v>23</v>
      </c>
      <c r="E60">
        <v>3</v>
      </c>
      <c r="F60">
        <v>24.5</v>
      </c>
      <c r="G60" s="2">
        <v>45606</v>
      </c>
    </row>
    <row r="61" spans="1:7" x14ac:dyDescent="0.25">
      <c r="A61" t="s">
        <v>6</v>
      </c>
      <c r="B61" t="s">
        <v>8</v>
      </c>
      <c r="C61" t="s">
        <v>46</v>
      </c>
      <c r="D61" t="s">
        <v>22</v>
      </c>
      <c r="E61">
        <v>3</v>
      </c>
      <c r="F61">
        <v>24.5</v>
      </c>
      <c r="G61" s="2">
        <v>45606</v>
      </c>
    </row>
    <row r="62" spans="1:7" x14ac:dyDescent="0.25">
      <c r="A62" t="s">
        <v>6</v>
      </c>
      <c r="B62" t="s">
        <v>25</v>
      </c>
      <c r="C62" t="s">
        <v>46</v>
      </c>
      <c r="D62" t="s">
        <v>24</v>
      </c>
      <c r="E62">
        <v>2</v>
      </c>
      <c r="F62">
        <v>17</v>
      </c>
      <c r="G62" s="2">
        <v>45606</v>
      </c>
    </row>
    <row r="63" spans="1:7" x14ac:dyDescent="0.25">
      <c r="A63" t="s">
        <v>172</v>
      </c>
      <c r="B63" t="s">
        <v>8</v>
      </c>
      <c r="C63" t="s">
        <v>46</v>
      </c>
      <c r="D63" t="s">
        <v>7</v>
      </c>
      <c r="E63">
        <v>6</v>
      </c>
      <c r="F63">
        <v>48.5</v>
      </c>
      <c r="G63" s="2">
        <v>45607</v>
      </c>
    </row>
    <row r="64" spans="1:7" x14ac:dyDescent="0.25">
      <c r="A64" t="s">
        <v>172</v>
      </c>
      <c r="B64" t="s">
        <v>8</v>
      </c>
      <c r="C64" t="s">
        <v>46</v>
      </c>
      <c r="D64" t="s">
        <v>22</v>
      </c>
      <c r="E64">
        <v>6</v>
      </c>
      <c r="F64">
        <v>48.5</v>
      </c>
      <c r="G64" s="2">
        <v>45607</v>
      </c>
    </row>
    <row r="65" spans="1:7" x14ac:dyDescent="0.25">
      <c r="A65" t="s">
        <v>172</v>
      </c>
      <c r="B65" t="s">
        <v>25</v>
      </c>
      <c r="C65" t="s">
        <v>46</v>
      </c>
      <c r="D65" t="s">
        <v>24</v>
      </c>
      <c r="E65">
        <v>3</v>
      </c>
      <c r="F65">
        <v>25.25</v>
      </c>
      <c r="G65" s="2">
        <v>45607</v>
      </c>
    </row>
    <row r="66" spans="1:7" x14ac:dyDescent="0.25">
      <c r="A66" t="s">
        <v>172</v>
      </c>
      <c r="B66" t="s">
        <v>8</v>
      </c>
      <c r="C66" t="s">
        <v>46</v>
      </c>
      <c r="D66" t="s">
        <v>23</v>
      </c>
      <c r="E66">
        <v>5</v>
      </c>
      <c r="F66">
        <v>39</v>
      </c>
      <c r="G66" s="2">
        <v>45607</v>
      </c>
    </row>
    <row r="67" spans="1:7" x14ac:dyDescent="0.25">
      <c r="A67" t="s">
        <v>172</v>
      </c>
      <c r="B67" t="s">
        <v>26</v>
      </c>
      <c r="C67" t="s">
        <v>46</v>
      </c>
      <c r="D67" t="s">
        <v>24</v>
      </c>
      <c r="E67">
        <v>1</v>
      </c>
      <c r="F67">
        <v>8.5</v>
      </c>
      <c r="G67" s="2">
        <v>45607</v>
      </c>
    </row>
    <row r="68" spans="1:7" x14ac:dyDescent="0.25">
      <c r="A68" t="s">
        <v>6</v>
      </c>
      <c r="B68" t="s">
        <v>8</v>
      </c>
      <c r="C68" t="s">
        <v>46</v>
      </c>
      <c r="D68" t="s">
        <v>7</v>
      </c>
      <c r="E68">
        <v>4</v>
      </c>
      <c r="F68">
        <v>32.5</v>
      </c>
      <c r="G68" s="2">
        <v>45607</v>
      </c>
    </row>
    <row r="69" spans="1:7" x14ac:dyDescent="0.25">
      <c r="A69" t="s">
        <v>6</v>
      </c>
      <c r="B69" t="s">
        <v>8</v>
      </c>
      <c r="C69" t="s">
        <v>46</v>
      </c>
      <c r="D69" t="s">
        <v>22</v>
      </c>
      <c r="E69">
        <v>3</v>
      </c>
      <c r="F69">
        <v>24.5</v>
      </c>
      <c r="G69" s="2">
        <v>45607</v>
      </c>
    </row>
    <row r="70" spans="1:7" x14ac:dyDescent="0.25">
      <c r="A70" t="s">
        <v>6</v>
      </c>
      <c r="B70" t="s">
        <v>8</v>
      </c>
      <c r="C70" t="s">
        <v>46</v>
      </c>
      <c r="D70" t="s">
        <v>23</v>
      </c>
      <c r="E70">
        <v>3</v>
      </c>
      <c r="F70">
        <v>24.5</v>
      </c>
      <c r="G70" s="2">
        <v>45607</v>
      </c>
    </row>
    <row r="71" spans="1:7" x14ac:dyDescent="0.25">
      <c r="A71" t="s">
        <v>6</v>
      </c>
      <c r="B71" t="s">
        <v>25</v>
      </c>
      <c r="C71" t="s">
        <v>46</v>
      </c>
      <c r="D71" t="s">
        <v>24</v>
      </c>
      <c r="E71">
        <v>2</v>
      </c>
      <c r="F71">
        <v>17</v>
      </c>
      <c r="G71" s="2">
        <v>45607</v>
      </c>
    </row>
    <row r="72" spans="1:7" x14ac:dyDescent="0.25">
      <c r="A72" t="s">
        <v>172</v>
      </c>
      <c r="B72" t="s">
        <v>25</v>
      </c>
      <c r="C72" t="s">
        <v>46</v>
      </c>
      <c r="D72" t="s">
        <v>24</v>
      </c>
      <c r="E72">
        <v>3</v>
      </c>
      <c r="F72">
        <v>25.25</v>
      </c>
      <c r="G72" s="2">
        <v>45608</v>
      </c>
    </row>
    <row r="73" spans="1:7" x14ac:dyDescent="0.25">
      <c r="A73" t="s">
        <v>172</v>
      </c>
      <c r="B73" t="s">
        <v>26</v>
      </c>
      <c r="C73" t="s">
        <v>46</v>
      </c>
      <c r="D73" t="s">
        <v>24</v>
      </c>
      <c r="E73">
        <v>1</v>
      </c>
      <c r="F73">
        <v>8.5</v>
      </c>
      <c r="G73" s="2">
        <v>45608</v>
      </c>
    </row>
    <row r="74" spans="1:7" x14ac:dyDescent="0.25">
      <c r="A74" t="s">
        <v>172</v>
      </c>
      <c r="B74" t="s">
        <v>8</v>
      </c>
      <c r="C74" t="s">
        <v>46</v>
      </c>
      <c r="D74" t="s">
        <v>22</v>
      </c>
      <c r="E74">
        <v>6</v>
      </c>
      <c r="F74">
        <v>48.5</v>
      </c>
      <c r="G74" s="2">
        <v>45608</v>
      </c>
    </row>
    <row r="75" spans="1:7" x14ac:dyDescent="0.25">
      <c r="A75" t="s">
        <v>172</v>
      </c>
      <c r="B75" t="s">
        <v>8</v>
      </c>
      <c r="C75" t="s">
        <v>46</v>
      </c>
      <c r="D75" t="s">
        <v>7</v>
      </c>
      <c r="E75">
        <v>6</v>
      </c>
      <c r="F75">
        <v>48.5</v>
      </c>
      <c r="G75" s="2">
        <v>45608</v>
      </c>
    </row>
    <row r="76" spans="1:7" x14ac:dyDescent="0.25">
      <c r="A76" t="s">
        <v>172</v>
      </c>
      <c r="B76" t="s">
        <v>8</v>
      </c>
      <c r="C76" t="s">
        <v>46</v>
      </c>
      <c r="D76" t="s">
        <v>23</v>
      </c>
      <c r="E76">
        <v>5</v>
      </c>
      <c r="F76">
        <v>39</v>
      </c>
      <c r="G76" s="2">
        <v>45608</v>
      </c>
    </row>
    <row r="77" spans="1:7" x14ac:dyDescent="0.25">
      <c r="A77" t="s">
        <v>6</v>
      </c>
      <c r="B77" t="s">
        <v>8</v>
      </c>
      <c r="C77" t="s">
        <v>46</v>
      </c>
      <c r="D77" t="s">
        <v>7</v>
      </c>
      <c r="E77">
        <v>4</v>
      </c>
      <c r="F77">
        <v>32.5</v>
      </c>
      <c r="G77" s="2">
        <v>45608</v>
      </c>
    </row>
    <row r="78" spans="1:7" x14ac:dyDescent="0.25">
      <c r="A78" t="s">
        <v>6</v>
      </c>
      <c r="B78" t="s">
        <v>25</v>
      </c>
      <c r="C78" t="s">
        <v>46</v>
      </c>
      <c r="D78" t="s">
        <v>24</v>
      </c>
      <c r="E78">
        <v>2</v>
      </c>
      <c r="F78">
        <v>17</v>
      </c>
      <c r="G78" s="2">
        <v>45608</v>
      </c>
    </row>
    <row r="79" spans="1:7" x14ac:dyDescent="0.25">
      <c r="A79" t="s">
        <v>6</v>
      </c>
      <c r="B79" t="s">
        <v>8</v>
      </c>
      <c r="C79" t="s">
        <v>46</v>
      </c>
      <c r="D79" t="s">
        <v>23</v>
      </c>
      <c r="E79">
        <v>3</v>
      </c>
      <c r="F79">
        <v>24.5</v>
      </c>
      <c r="G79" s="2">
        <v>45608</v>
      </c>
    </row>
    <row r="80" spans="1:7" x14ac:dyDescent="0.25">
      <c r="A80" t="s">
        <v>6</v>
      </c>
      <c r="B80" t="s">
        <v>8</v>
      </c>
      <c r="C80" t="s">
        <v>46</v>
      </c>
      <c r="D80" t="s">
        <v>22</v>
      </c>
      <c r="E80">
        <v>3</v>
      </c>
      <c r="F80">
        <v>24.5</v>
      </c>
      <c r="G80" s="2">
        <v>45608</v>
      </c>
    </row>
    <row r="81" spans="1:7" x14ac:dyDescent="0.25">
      <c r="A81" t="s">
        <v>172</v>
      </c>
      <c r="B81" t="s">
        <v>25</v>
      </c>
      <c r="C81" t="s">
        <v>46</v>
      </c>
      <c r="D81" t="s">
        <v>24</v>
      </c>
      <c r="E81">
        <v>3</v>
      </c>
      <c r="F81">
        <v>25.25</v>
      </c>
      <c r="G81" s="2">
        <v>45609</v>
      </c>
    </row>
    <row r="82" spans="1:7" x14ac:dyDescent="0.25">
      <c r="A82" t="s">
        <v>172</v>
      </c>
      <c r="B82" t="s">
        <v>26</v>
      </c>
      <c r="C82" t="s">
        <v>46</v>
      </c>
      <c r="D82" t="s">
        <v>24</v>
      </c>
      <c r="E82">
        <v>1</v>
      </c>
      <c r="F82">
        <v>8.5</v>
      </c>
      <c r="G82" s="2">
        <v>45609</v>
      </c>
    </row>
    <row r="83" spans="1:7" x14ac:dyDescent="0.25">
      <c r="A83" t="s">
        <v>172</v>
      </c>
      <c r="B83" t="s">
        <v>8</v>
      </c>
      <c r="C83" t="s">
        <v>46</v>
      </c>
      <c r="D83" t="s">
        <v>23</v>
      </c>
      <c r="E83">
        <v>5</v>
      </c>
      <c r="F83">
        <v>39</v>
      </c>
      <c r="G83" s="2">
        <v>45609</v>
      </c>
    </row>
    <row r="84" spans="1:7" x14ac:dyDescent="0.25">
      <c r="A84" t="s">
        <v>172</v>
      </c>
      <c r="B84" t="s">
        <v>8</v>
      </c>
      <c r="C84" t="s">
        <v>46</v>
      </c>
      <c r="D84" t="s">
        <v>22</v>
      </c>
      <c r="E84">
        <v>6</v>
      </c>
      <c r="F84">
        <v>48.5</v>
      </c>
      <c r="G84" s="2">
        <v>45609</v>
      </c>
    </row>
    <row r="85" spans="1:7" x14ac:dyDescent="0.25">
      <c r="A85" t="s">
        <v>172</v>
      </c>
      <c r="B85" t="s">
        <v>8</v>
      </c>
      <c r="C85" t="s">
        <v>46</v>
      </c>
      <c r="D85" t="s">
        <v>7</v>
      </c>
      <c r="E85">
        <v>6</v>
      </c>
      <c r="F85">
        <v>48.5</v>
      </c>
      <c r="G85" s="2">
        <v>45609</v>
      </c>
    </row>
    <row r="86" spans="1:7" x14ac:dyDescent="0.25">
      <c r="A86" t="s">
        <v>6</v>
      </c>
      <c r="B86" t="s">
        <v>8</v>
      </c>
      <c r="C86" t="s">
        <v>46</v>
      </c>
      <c r="D86" t="s">
        <v>7</v>
      </c>
      <c r="E86">
        <v>4</v>
      </c>
      <c r="F86">
        <v>32.5</v>
      </c>
      <c r="G86" s="2">
        <v>45609</v>
      </c>
    </row>
    <row r="87" spans="1:7" x14ac:dyDescent="0.25">
      <c r="A87" t="s">
        <v>6</v>
      </c>
      <c r="B87" t="s">
        <v>25</v>
      </c>
      <c r="C87" t="s">
        <v>46</v>
      </c>
      <c r="D87" t="s">
        <v>24</v>
      </c>
      <c r="E87">
        <v>2</v>
      </c>
      <c r="F87">
        <v>17</v>
      </c>
      <c r="G87" s="2">
        <v>45609</v>
      </c>
    </row>
    <row r="88" spans="1:7" x14ac:dyDescent="0.25">
      <c r="A88" t="s">
        <v>6</v>
      </c>
      <c r="B88" t="s">
        <v>8</v>
      </c>
      <c r="C88" t="s">
        <v>46</v>
      </c>
      <c r="D88" t="s">
        <v>22</v>
      </c>
      <c r="E88">
        <v>3</v>
      </c>
      <c r="F88">
        <v>24.5</v>
      </c>
      <c r="G88" s="2">
        <v>45609</v>
      </c>
    </row>
    <row r="89" spans="1:7" x14ac:dyDescent="0.25">
      <c r="A89" t="s">
        <v>6</v>
      </c>
      <c r="B89" t="s">
        <v>8</v>
      </c>
      <c r="C89" t="s">
        <v>46</v>
      </c>
      <c r="D89" t="s">
        <v>23</v>
      </c>
      <c r="E89">
        <v>3</v>
      </c>
      <c r="F89">
        <v>24.5</v>
      </c>
      <c r="G89" s="2">
        <v>45609</v>
      </c>
    </row>
    <row r="90" spans="1:7" x14ac:dyDescent="0.25">
      <c r="A90" t="s">
        <v>172</v>
      </c>
      <c r="B90" t="s">
        <v>8</v>
      </c>
      <c r="C90" t="s">
        <v>46</v>
      </c>
      <c r="D90" t="s">
        <v>22</v>
      </c>
      <c r="E90">
        <v>6</v>
      </c>
      <c r="F90">
        <v>48.5</v>
      </c>
      <c r="G90" s="2">
        <v>45610</v>
      </c>
    </row>
    <row r="91" spans="1:7" x14ac:dyDescent="0.25">
      <c r="A91" t="s">
        <v>172</v>
      </c>
      <c r="B91" t="s">
        <v>8</v>
      </c>
      <c r="C91" t="s">
        <v>46</v>
      </c>
      <c r="D91" t="s">
        <v>23</v>
      </c>
      <c r="E91">
        <v>5</v>
      </c>
      <c r="F91">
        <v>39</v>
      </c>
      <c r="G91" s="2">
        <v>45610</v>
      </c>
    </row>
    <row r="92" spans="1:7" x14ac:dyDescent="0.25">
      <c r="A92" t="s">
        <v>172</v>
      </c>
      <c r="B92" t="s">
        <v>8</v>
      </c>
      <c r="C92" t="s">
        <v>46</v>
      </c>
      <c r="D92" t="s">
        <v>7</v>
      </c>
      <c r="E92">
        <v>6</v>
      </c>
      <c r="F92">
        <v>48.5</v>
      </c>
      <c r="G92" s="2">
        <v>45610</v>
      </c>
    </row>
    <row r="93" spans="1:7" x14ac:dyDescent="0.25">
      <c r="A93" t="s">
        <v>172</v>
      </c>
      <c r="B93" t="s">
        <v>26</v>
      </c>
      <c r="C93" t="s">
        <v>46</v>
      </c>
      <c r="D93" t="s">
        <v>24</v>
      </c>
      <c r="E93">
        <v>1</v>
      </c>
      <c r="F93">
        <v>7.5</v>
      </c>
      <c r="G93" s="2">
        <v>45610</v>
      </c>
    </row>
    <row r="94" spans="1:7" x14ac:dyDescent="0.25">
      <c r="A94" t="s">
        <v>172</v>
      </c>
      <c r="B94" t="s">
        <v>25</v>
      </c>
      <c r="C94" t="s">
        <v>46</v>
      </c>
      <c r="D94" t="s">
        <v>24</v>
      </c>
      <c r="E94">
        <v>3</v>
      </c>
      <c r="F94">
        <v>25.25</v>
      </c>
      <c r="G94" s="2">
        <v>45610</v>
      </c>
    </row>
    <row r="95" spans="1:7" x14ac:dyDescent="0.25">
      <c r="A95" t="s">
        <v>6</v>
      </c>
      <c r="B95" t="s">
        <v>8</v>
      </c>
      <c r="C95" t="s">
        <v>46</v>
      </c>
      <c r="D95" t="s">
        <v>7</v>
      </c>
      <c r="E95">
        <v>4</v>
      </c>
      <c r="F95">
        <v>32.5</v>
      </c>
      <c r="G95" s="2">
        <v>45610</v>
      </c>
    </row>
    <row r="96" spans="1:7" x14ac:dyDescent="0.25">
      <c r="A96" t="s">
        <v>6</v>
      </c>
      <c r="B96" t="s">
        <v>8</v>
      </c>
      <c r="C96" t="s">
        <v>46</v>
      </c>
      <c r="D96" t="s">
        <v>23</v>
      </c>
      <c r="E96">
        <v>3</v>
      </c>
      <c r="F96">
        <v>24.5</v>
      </c>
      <c r="G96" s="2">
        <v>45610</v>
      </c>
    </row>
    <row r="97" spans="1:7" x14ac:dyDescent="0.25">
      <c r="A97" t="s">
        <v>6</v>
      </c>
      <c r="B97" t="s">
        <v>8</v>
      </c>
      <c r="C97" t="s">
        <v>46</v>
      </c>
      <c r="D97" t="s">
        <v>22</v>
      </c>
      <c r="E97">
        <v>3</v>
      </c>
      <c r="F97">
        <v>24.5</v>
      </c>
      <c r="G97" s="2">
        <v>45610</v>
      </c>
    </row>
    <row r="98" spans="1:7" x14ac:dyDescent="0.25">
      <c r="A98" t="s">
        <v>6</v>
      </c>
      <c r="B98" t="s">
        <v>25</v>
      </c>
      <c r="C98" t="s">
        <v>46</v>
      </c>
      <c r="D98" t="s">
        <v>24</v>
      </c>
      <c r="E98">
        <v>2</v>
      </c>
      <c r="F98">
        <v>17</v>
      </c>
      <c r="G98" s="2">
        <v>45610</v>
      </c>
    </row>
    <row r="99" spans="1:7" x14ac:dyDescent="0.25">
      <c r="A99" t="s">
        <v>172</v>
      </c>
      <c r="B99" t="s">
        <v>26</v>
      </c>
      <c r="C99" t="s">
        <v>46</v>
      </c>
      <c r="D99" t="s">
        <v>24</v>
      </c>
      <c r="E99">
        <v>1</v>
      </c>
      <c r="F99">
        <v>7.5</v>
      </c>
      <c r="G99" s="2">
        <v>45611</v>
      </c>
    </row>
    <row r="100" spans="1:7" x14ac:dyDescent="0.25">
      <c r="A100" t="s">
        <v>172</v>
      </c>
      <c r="B100" t="s">
        <v>25</v>
      </c>
      <c r="C100" t="s">
        <v>46</v>
      </c>
      <c r="D100" t="s">
        <v>24</v>
      </c>
      <c r="E100">
        <v>3</v>
      </c>
      <c r="F100">
        <v>25.25</v>
      </c>
      <c r="G100" s="2">
        <v>45611</v>
      </c>
    </row>
    <row r="101" spans="1:7" x14ac:dyDescent="0.25">
      <c r="A101" t="s">
        <v>172</v>
      </c>
      <c r="B101" t="s">
        <v>8</v>
      </c>
      <c r="C101" t="s">
        <v>46</v>
      </c>
      <c r="D101" t="s">
        <v>22</v>
      </c>
      <c r="E101">
        <v>6</v>
      </c>
      <c r="F101">
        <v>48.5</v>
      </c>
      <c r="G101" s="2">
        <v>45611</v>
      </c>
    </row>
    <row r="102" spans="1:7" x14ac:dyDescent="0.25">
      <c r="A102" t="s">
        <v>172</v>
      </c>
      <c r="B102" t="s">
        <v>8</v>
      </c>
      <c r="C102" t="s">
        <v>46</v>
      </c>
      <c r="D102" t="s">
        <v>7</v>
      </c>
      <c r="E102">
        <v>6</v>
      </c>
      <c r="F102">
        <v>48.5</v>
      </c>
      <c r="G102" s="2">
        <v>45611</v>
      </c>
    </row>
    <row r="103" spans="1:7" x14ac:dyDescent="0.25">
      <c r="A103" t="s">
        <v>172</v>
      </c>
      <c r="B103" t="s">
        <v>8</v>
      </c>
      <c r="C103" t="s">
        <v>46</v>
      </c>
      <c r="D103" t="s">
        <v>23</v>
      </c>
      <c r="E103">
        <v>5</v>
      </c>
      <c r="F103">
        <v>39</v>
      </c>
      <c r="G103" s="2">
        <v>45611</v>
      </c>
    </row>
    <row r="104" spans="1:7" x14ac:dyDescent="0.25">
      <c r="A104" t="s">
        <v>6</v>
      </c>
      <c r="B104" t="s">
        <v>8</v>
      </c>
      <c r="C104" t="s">
        <v>46</v>
      </c>
      <c r="D104" t="s">
        <v>7</v>
      </c>
      <c r="E104">
        <v>4</v>
      </c>
      <c r="F104">
        <v>32.5</v>
      </c>
      <c r="G104" s="2">
        <v>45611</v>
      </c>
    </row>
    <row r="105" spans="1:7" x14ac:dyDescent="0.25">
      <c r="A105" t="s">
        <v>6</v>
      </c>
      <c r="B105" t="s">
        <v>8</v>
      </c>
      <c r="C105" t="s">
        <v>46</v>
      </c>
      <c r="D105" t="s">
        <v>23</v>
      </c>
      <c r="E105">
        <v>3</v>
      </c>
      <c r="F105">
        <v>24.5</v>
      </c>
      <c r="G105" s="2">
        <v>45611</v>
      </c>
    </row>
    <row r="106" spans="1:7" x14ac:dyDescent="0.25">
      <c r="A106" t="s">
        <v>6</v>
      </c>
      <c r="B106" t="s">
        <v>8</v>
      </c>
      <c r="C106" t="s">
        <v>46</v>
      </c>
      <c r="D106" t="s">
        <v>22</v>
      </c>
      <c r="E106">
        <v>3</v>
      </c>
      <c r="F106">
        <v>24.5</v>
      </c>
      <c r="G106" s="2">
        <v>45611</v>
      </c>
    </row>
    <row r="107" spans="1:7" x14ac:dyDescent="0.25">
      <c r="A107" t="s">
        <v>6</v>
      </c>
      <c r="B107" t="s">
        <v>25</v>
      </c>
      <c r="C107" t="s">
        <v>46</v>
      </c>
      <c r="D107" t="s">
        <v>24</v>
      </c>
      <c r="E107">
        <v>2</v>
      </c>
      <c r="F107">
        <v>17</v>
      </c>
      <c r="G107" s="2">
        <v>45611</v>
      </c>
    </row>
    <row r="108" spans="1:7" x14ac:dyDescent="0.25">
      <c r="A108" t="s">
        <v>172</v>
      </c>
      <c r="B108" t="s">
        <v>8</v>
      </c>
      <c r="C108" t="s">
        <v>46</v>
      </c>
      <c r="D108" t="s">
        <v>23</v>
      </c>
      <c r="E108">
        <v>5</v>
      </c>
      <c r="F108">
        <v>39</v>
      </c>
      <c r="G108" s="2">
        <v>45612</v>
      </c>
    </row>
    <row r="109" spans="1:7" x14ac:dyDescent="0.25">
      <c r="A109" t="s">
        <v>172</v>
      </c>
      <c r="B109" t="s">
        <v>8</v>
      </c>
      <c r="C109" t="s">
        <v>46</v>
      </c>
      <c r="D109" t="s">
        <v>22</v>
      </c>
      <c r="E109">
        <v>6</v>
      </c>
      <c r="F109">
        <v>48.5</v>
      </c>
      <c r="G109" s="2">
        <v>45612</v>
      </c>
    </row>
    <row r="110" spans="1:7" x14ac:dyDescent="0.25">
      <c r="A110" t="s">
        <v>172</v>
      </c>
      <c r="B110" t="s">
        <v>8</v>
      </c>
      <c r="C110" t="s">
        <v>46</v>
      </c>
      <c r="D110" t="s">
        <v>7</v>
      </c>
      <c r="E110">
        <v>6</v>
      </c>
      <c r="F110">
        <v>48.5</v>
      </c>
      <c r="G110" s="2">
        <v>45612</v>
      </c>
    </row>
    <row r="111" spans="1:7" x14ac:dyDescent="0.25">
      <c r="A111" t="s">
        <v>172</v>
      </c>
      <c r="B111" t="s">
        <v>25</v>
      </c>
      <c r="C111" t="s">
        <v>46</v>
      </c>
      <c r="D111" t="s">
        <v>24</v>
      </c>
      <c r="E111">
        <v>3</v>
      </c>
      <c r="F111">
        <v>25.25</v>
      </c>
      <c r="G111" s="2">
        <v>45612</v>
      </c>
    </row>
    <row r="112" spans="1:7" x14ac:dyDescent="0.25">
      <c r="A112" t="s">
        <v>6</v>
      </c>
      <c r="B112" t="s">
        <v>8</v>
      </c>
      <c r="C112" t="s">
        <v>46</v>
      </c>
      <c r="D112" t="s">
        <v>7</v>
      </c>
      <c r="E112">
        <v>4</v>
      </c>
      <c r="F112">
        <v>32.5</v>
      </c>
      <c r="G112" s="2">
        <v>45612</v>
      </c>
    </row>
    <row r="113" spans="1:7" x14ac:dyDescent="0.25">
      <c r="A113" t="s">
        <v>6</v>
      </c>
      <c r="B113" t="s">
        <v>8</v>
      </c>
      <c r="C113" t="s">
        <v>46</v>
      </c>
      <c r="D113" t="s">
        <v>22</v>
      </c>
      <c r="E113">
        <v>3</v>
      </c>
      <c r="F113">
        <v>24.5</v>
      </c>
      <c r="G113" s="2">
        <v>45612</v>
      </c>
    </row>
    <row r="114" spans="1:7" x14ac:dyDescent="0.25">
      <c r="A114" t="s">
        <v>6</v>
      </c>
      <c r="B114" t="s">
        <v>8</v>
      </c>
      <c r="C114" t="s">
        <v>46</v>
      </c>
      <c r="D114" t="s">
        <v>23</v>
      </c>
      <c r="E114">
        <v>3</v>
      </c>
      <c r="F114">
        <v>24.5</v>
      </c>
      <c r="G114" s="2">
        <v>45612</v>
      </c>
    </row>
    <row r="115" spans="1:7" x14ac:dyDescent="0.25">
      <c r="A115" t="s">
        <v>6</v>
      </c>
      <c r="B115" t="s">
        <v>25</v>
      </c>
      <c r="C115" t="s">
        <v>46</v>
      </c>
      <c r="D115" t="s">
        <v>24</v>
      </c>
      <c r="E115">
        <v>2</v>
      </c>
      <c r="F115">
        <v>17</v>
      </c>
      <c r="G115" s="2">
        <v>45612</v>
      </c>
    </row>
    <row r="116" spans="1:7" x14ac:dyDescent="0.25">
      <c r="A116" t="s">
        <v>172</v>
      </c>
      <c r="B116" t="s">
        <v>8</v>
      </c>
      <c r="C116" t="s">
        <v>46</v>
      </c>
      <c r="D116" t="s">
        <v>22</v>
      </c>
      <c r="E116">
        <v>6</v>
      </c>
      <c r="F116">
        <v>48.5</v>
      </c>
      <c r="G116" s="2">
        <v>45613</v>
      </c>
    </row>
    <row r="117" spans="1:7" x14ac:dyDescent="0.25">
      <c r="A117" t="s">
        <v>172</v>
      </c>
      <c r="B117" t="s">
        <v>8</v>
      </c>
      <c r="C117" t="s">
        <v>46</v>
      </c>
      <c r="D117" t="s">
        <v>23</v>
      </c>
      <c r="E117">
        <v>5</v>
      </c>
      <c r="F117">
        <v>39</v>
      </c>
      <c r="G117" s="2">
        <v>45613</v>
      </c>
    </row>
    <row r="118" spans="1:7" x14ac:dyDescent="0.25">
      <c r="A118" t="s">
        <v>172</v>
      </c>
      <c r="B118" t="s">
        <v>8</v>
      </c>
      <c r="C118" t="s">
        <v>46</v>
      </c>
      <c r="D118" t="s">
        <v>7</v>
      </c>
      <c r="E118">
        <v>6</v>
      </c>
      <c r="F118">
        <v>48.5</v>
      </c>
      <c r="G118" s="2">
        <v>45613</v>
      </c>
    </row>
    <row r="119" spans="1:7" x14ac:dyDescent="0.25">
      <c r="A119" t="s">
        <v>172</v>
      </c>
      <c r="B119" t="s">
        <v>25</v>
      </c>
      <c r="C119" t="s">
        <v>46</v>
      </c>
      <c r="D119" t="s">
        <v>24</v>
      </c>
      <c r="E119">
        <v>3</v>
      </c>
      <c r="F119">
        <v>25.25</v>
      </c>
      <c r="G119" s="2">
        <v>45613</v>
      </c>
    </row>
    <row r="120" spans="1:7" x14ac:dyDescent="0.25">
      <c r="A120" t="s">
        <v>6</v>
      </c>
      <c r="B120" t="s">
        <v>8</v>
      </c>
      <c r="C120" t="s">
        <v>46</v>
      </c>
      <c r="D120" t="s">
        <v>7</v>
      </c>
      <c r="E120">
        <v>4</v>
      </c>
      <c r="F120">
        <v>32.5</v>
      </c>
      <c r="G120" s="2">
        <v>45613</v>
      </c>
    </row>
    <row r="121" spans="1:7" x14ac:dyDescent="0.25">
      <c r="A121" t="s">
        <v>6</v>
      </c>
      <c r="B121" t="s">
        <v>25</v>
      </c>
      <c r="C121" t="s">
        <v>46</v>
      </c>
      <c r="D121" t="s">
        <v>24</v>
      </c>
      <c r="E121">
        <v>2</v>
      </c>
      <c r="F121">
        <v>17</v>
      </c>
      <c r="G121" s="2">
        <v>45613</v>
      </c>
    </row>
    <row r="122" spans="1:7" x14ac:dyDescent="0.25">
      <c r="A122" t="s">
        <v>6</v>
      </c>
      <c r="B122" t="s">
        <v>8</v>
      </c>
      <c r="C122" t="s">
        <v>46</v>
      </c>
      <c r="D122" t="s">
        <v>22</v>
      </c>
      <c r="E122">
        <v>3</v>
      </c>
      <c r="F122">
        <v>24.5</v>
      </c>
      <c r="G122" s="2">
        <v>45613</v>
      </c>
    </row>
    <row r="123" spans="1:7" x14ac:dyDescent="0.25">
      <c r="A123" t="s">
        <v>6</v>
      </c>
      <c r="B123" t="s">
        <v>8</v>
      </c>
      <c r="C123" t="s">
        <v>46</v>
      </c>
      <c r="D123" t="s">
        <v>23</v>
      </c>
      <c r="E123">
        <v>3</v>
      </c>
      <c r="F123">
        <v>24.5</v>
      </c>
      <c r="G123" s="2">
        <v>45613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B408-6983-4954-BB06-9F0AE67B1F81}">
  <sheetPr>
    <tabColor rgb="FFFF0000"/>
  </sheetPr>
  <dimension ref="A1:E4"/>
  <sheetViews>
    <sheetView workbookViewId="0">
      <selection activeCell="C17" sqref="C17"/>
    </sheetView>
  </sheetViews>
  <sheetFormatPr defaultRowHeight="15" x14ac:dyDescent="0.25"/>
  <cols>
    <col min="1" max="1" width="9.5703125" bestFit="1" customWidth="1"/>
    <col min="2" max="2" width="23.28515625" bestFit="1" customWidth="1"/>
    <col min="3" max="3" width="20.140625" bestFit="1" customWidth="1"/>
    <col min="4" max="4" width="19" bestFit="1" customWidth="1"/>
    <col min="5" max="5" width="29.85546875" bestFit="1" customWidth="1"/>
  </cols>
  <sheetData>
    <row r="1" spans="1:5" x14ac:dyDescent="0.25">
      <c r="A1" t="s">
        <v>45</v>
      </c>
      <c r="B1" t="s">
        <v>28</v>
      </c>
      <c r="C1" t="s">
        <v>178</v>
      </c>
      <c r="D1" t="s">
        <v>179</v>
      </c>
      <c r="E1" t="s">
        <v>180</v>
      </c>
    </row>
    <row r="2" spans="1:5" x14ac:dyDescent="0.25">
      <c r="A2" t="s">
        <v>46</v>
      </c>
      <c r="B2" t="s">
        <v>8</v>
      </c>
      <c r="C2">
        <v>3045</v>
      </c>
      <c r="D2">
        <v>1522.5</v>
      </c>
      <c r="E2">
        <v>1425.9735000000001</v>
      </c>
    </row>
    <row r="3" spans="1:5" x14ac:dyDescent="0.25">
      <c r="A3" t="s">
        <v>46</v>
      </c>
      <c r="B3" t="s">
        <v>26</v>
      </c>
      <c r="C3">
        <v>81</v>
      </c>
      <c r="D3">
        <v>40.5</v>
      </c>
      <c r="E3">
        <v>37.932299999999998</v>
      </c>
    </row>
    <row r="4" spans="1:5" x14ac:dyDescent="0.25">
      <c r="A4" t="s">
        <v>46</v>
      </c>
      <c r="B4" t="s">
        <v>25</v>
      </c>
      <c r="C4">
        <v>591.5</v>
      </c>
      <c r="D4">
        <v>295.75</v>
      </c>
      <c r="E4">
        <v>276.99945000000002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551C-E777-4FC7-BB69-0DB5321451DD}">
  <dimension ref="A1"/>
  <sheetViews>
    <sheetView workbookViewId="0">
      <selection activeCell="D4" sqref="D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BBE42521EE0684FB91080D193FD289B" ma:contentTypeVersion="12" ma:contentTypeDescription="Create a new document." ma:contentTypeScope="" ma:versionID="47cccb59cbe8c704ee7bf746635a25e0">
  <xsd:schema xmlns:xsd="http://www.w3.org/2001/XMLSchema" xmlns:xs="http://www.w3.org/2001/XMLSchema" xmlns:p="http://schemas.microsoft.com/office/2006/metadata/properties" xmlns:ns2="f82d1b6b-c0e6-44b0-99a2-d357b2d50896" xmlns:ns3="3be0b85a-8471-4f10-b038-505fde09e598" targetNamespace="http://schemas.microsoft.com/office/2006/metadata/properties" ma:root="true" ma:fieldsID="5bc806a59855b1e4bcc59406b6445b2a" ns2:_="" ns3:_="">
    <xsd:import namespace="f82d1b6b-c0e6-44b0-99a2-d357b2d50896"/>
    <xsd:import namespace="3be0b85a-8471-4f10-b038-505fde09e59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2d1b6b-c0e6-44b0-99a2-d357b2d508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f4192a9-ce52-406f-9dc9-4d585e014db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e0b85a-8471-4f10-b038-505fde09e59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f462d04-e98a-404c-8b3f-11055a86a13c}" ma:internalName="TaxCatchAll" ma:showField="CatchAllData" ma:web="3be0b85a-8471-4f10-b038-505fde09e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82d1b6b-c0e6-44b0-99a2-d357b2d50896">
      <Terms xmlns="http://schemas.microsoft.com/office/infopath/2007/PartnerControls"/>
    </lcf76f155ced4ddcb4097134ff3c332f>
    <TaxCatchAll xmlns="3be0b85a-8471-4f10-b038-505fde09e598" xsi:nil="true"/>
  </documentManagement>
</p:properties>
</file>

<file path=customXml/itemProps1.xml><?xml version="1.0" encoding="utf-8"?>
<ds:datastoreItem xmlns:ds="http://schemas.openxmlformats.org/officeDocument/2006/customXml" ds:itemID="{5A2C6245-B0D7-4DC3-84BC-6CA2DAEFDFA0}">
  <ds:schemaRefs>
    <ds:schemaRef ds:uri="http://schemas.microsoft.com/DataMashup"/>
  </ds:schemaRefs>
</ds:datastoreItem>
</file>

<file path=customXml/itemProps2.xml><?xml version="1.0" encoding="utf-8"?>
<ds:datastoreItem xmlns:ds="http://schemas.openxmlformats.org/officeDocument/2006/customXml" ds:itemID="{5251D4F3-7867-4635-BAF2-386EBD37F834}"/>
</file>

<file path=customXml/itemProps3.xml><?xml version="1.0" encoding="utf-8"?>
<ds:datastoreItem xmlns:ds="http://schemas.openxmlformats.org/officeDocument/2006/customXml" ds:itemID="{1640D2E2-575A-421F-B639-1DDD073FDABA}">
  <ds:schemaRefs>
    <ds:schemaRef ds:uri="http://schemas.microsoft.com/sharepoint/v3/contenttype/forms"/>
  </ds:schemaRefs>
</ds:datastoreItem>
</file>

<file path=customXml/itemProps4.xml><?xml version="1.0" encoding="utf-8"?>
<ds:datastoreItem xmlns:ds="http://schemas.openxmlformats.org/officeDocument/2006/customXml" ds:itemID="{B2542A80-B521-4B82-81D5-5025DA7D6DCD}">
  <ds:schemaRefs>
    <ds:schemaRef ds:uri="http://schemas.microsoft.com/office/infopath/2007/PartnerControls"/>
    <ds:schemaRef ds:uri="http://schemas.openxmlformats.org/package/2006/metadata/core-properties"/>
    <ds:schemaRef ds:uri="http://schemas.microsoft.com/office/2006/metadata/properties"/>
    <ds:schemaRef ds:uri="http://schemas.microsoft.com/office/2006/documentManagement/types"/>
    <ds:schemaRef ds:uri="http://purl.org/dc/terms/"/>
    <ds:schemaRef ds:uri="f82d1b6b-c0e6-44b0-99a2-d357b2d50896"/>
    <ds:schemaRef ds:uri="http://purl.org/dc/elements/1.1/"/>
    <ds:schemaRef ds:uri="http://purl.org/dc/dcmitype/"/>
    <ds:schemaRef ds:uri="3be0b85a-8471-4f10-b038-505fde09e59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FILEPATH</vt:lpstr>
      <vt:lpstr>IMPORT PermutationDimensions (2</vt:lpstr>
      <vt:lpstr>IMPORT PermutationDimensions</vt:lpstr>
      <vt:lpstr>IMPORTMasterSchedule</vt:lpstr>
      <vt:lpstr>ExtractMatrix</vt:lpstr>
      <vt:lpstr>ShiftUnitDemandHRS</vt:lpstr>
      <vt:lpstr>RoleShiftDemandANACC Prepare</vt:lpstr>
      <vt:lpstr>ShiftDuration</vt:lpstr>
      <vt:lpstr>IMPORT ShiftPeriod</vt:lpstr>
      <vt:lpstr>IMPORT RoleShiftDemandANACC</vt:lpstr>
      <vt:lpstr>ShiftUnitDemandHRS-no time</vt:lpstr>
      <vt:lpstr>DemandWeeksHrsHRS</vt:lpstr>
      <vt:lpstr>Sheet1</vt:lpstr>
      <vt:lpstr>FILEPATH!Client</vt:lpstr>
      <vt:lpstr>FILEPATH!Date</vt:lpstr>
      <vt:lpstr>FILEPATH!Type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 James</cp:lastModifiedBy>
  <dcterms:created xsi:type="dcterms:W3CDTF">2023-06-07T02:21:12Z</dcterms:created>
  <dcterms:modified xsi:type="dcterms:W3CDTF">2025-01-08T07:44:20Z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0x0101008BBE42521EE0684FB91080D193FD289B</vt:lpwstr>
  </property>
  <property fmtid="{D5CDD505-2E9C-101B-9397-08002B2CF9AE}" pid="3" name="MediaServiceImageTags">
    <vt:lpwstr/>
  </property>
</Properties>
</file>