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B5A87CAD-CBBF-4440-B843-497A79357B77}" xr6:coauthVersionLast="47" xr6:coauthVersionMax="47" xr10:uidLastSave="{00000000-0000-0000-0000-000000000000}"/>
  <bookViews>
    <workbookView xWindow="-120" yWindow="-120" windowWidth="38640" windowHeight="21120" xr2:uid="{01873B3D-33AD-4427-8934-6FA8B063128C}"/>
  </bookViews>
  <sheets>
    <sheet name="UnitL1RolePath" sheetId="11" r:id="rId1"/>
    <sheet name="FILEPATH" sheetId="6" r:id="rId2"/>
    <sheet name="AvailabilityDayShiftMATRIXRaw" sheetId="2" r:id="rId3"/>
    <sheet name="Availability-StaffList" sheetId="10" r:id="rId4"/>
    <sheet name="RoleResDayAvailabilityCapped" sheetId="7" r:id="rId5"/>
    <sheet name="MultiRoles" sheetId="9" r:id="rId6"/>
    <sheet name="IMPORT ResRolesProportion2" sheetId="8" r:id="rId7"/>
    <sheet name="ResDayShift" sheetId="3" r:id="rId8"/>
  </sheets>
  <externalReferences>
    <externalReference r:id="rId9"/>
    <externalReference r:id="rId10"/>
    <externalReference r:id="rId11"/>
    <externalReference r:id="rId12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1">FILEPATH!$B$30</definedName>
    <definedName name="Client" localSheetId="0">UnitL1RolePath!$B$18</definedName>
    <definedName name="Client">[1]FILEPATH!$B$30</definedName>
    <definedName name="Contractor_Margin" localSheetId="0">#REF!</definedName>
    <definedName name="Contractor_Margin">#REF!</definedName>
    <definedName name="Date" localSheetId="1">FILEPATH!$B$33</definedName>
    <definedName name="Date" localSheetId="0">#REF!</definedName>
    <definedName name="Date">[1]FILEPATH!$B$33</definedName>
    <definedName name="Directory" localSheetId="1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2" hidden="1">AvailabilityDayShiftMATRIXRaw!$A$1:$AV$98</definedName>
    <definedName name="ExternalData_1" localSheetId="0" hidden="1">UnitL1RolePath!$A$3:$B$9</definedName>
    <definedName name="ExternalData_2" localSheetId="7" hidden="1">ResDayShift!$A$1:$G$989</definedName>
    <definedName name="ExternalData_3" localSheetId="6" hidden="1">'IMPORT ResRolesProportion2'!$A$1:$E$6</definedName>
    <definedName name="ExternalData_3" localSheetId="4" hidden="1">'RoleResDayAvailabilityCapped'!$A$1:$E$97</definedName>
    <definedName name="ExternalData_4" localSheetId="5" hidden="1">MultiRoles!$A$1:$C$11</definedName>
    <definedName name="ExternalData_4" localSheetId="4" hidden="1">'RoleResDayAvailabilityCapped'!$I$1:$J$4</definedName>
    <definedName name="ExternalData_5" localSheetId="3" hidden="1">'Availability-StaffList'!$A$1:$B$97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1">FILEPATH!#REF!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UnitL1RolePath!$B$39</definedName>
    <definedName name="Role">#REF!</definedName>
    <definedName name="ROLE_TITLE">#REF!</definedName>
    <definedName name="Type" localSheetId="1">FILEPATH!$B$31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  <c r="B1" i="11" s="1"/>
  <c r="E7" i="6"/>
  <c r="B6" i="6" a="1"/>
  <c r="B6" i="6" s="1"/>
  <c r="B4" i="6" a="1"/>
  <c r="B4" i="6" s="1"/>
  <c r="C11" i="6" l="1"/>
  <c r="C8" i="6"/>
  <c r="C7" i="6"/>
  <c r="C6" i="6"/>
  <c r="E6" i="6"/>
  <c r="B36" i="6"/>
  <c r="B26" i="6"/>
  <c r="C20" i="6"/>
  <c r="C23" i="6" s="1"/>
  <c r="C9" i="6" l="1"/>
  <c r="B13" i="6" s="1"/>
  <c r="B15" i="6" l="1"/>
  <c r="B1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2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3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4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5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6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7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8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9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10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11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12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13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14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15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16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<sst xmlns="http://schemas.openxmlformats.org/spreadsheetml/2006/main" count="5651" uniqueCount="198">
  <si>
    <t>SharedPath</t>
  </si>
  <si>
    <t>Client</t>
  </si>
  <si>
    <t>Type</t>
  </si>
  <si>
    <t>04 Analysis</t>
  </si>
  <si>
    <t>Settings Directory</t>
  </si>
  <si>
    <t>2. Calculations</t>
  </si>
  <si>
    <t xml:space="preserve">This file </t>
  </si>
  <si>
    <t>Intervals.xlsx</t>
  </si>
  <si>
    <t>Settings.xlsx</t>
  </si>
  <si>
    <t>Location</t>
  </si>
  <si>
    <t xml:space="preserve"> Source1 = Excel.CurrentWorkbook(){[Name="Folder"]}[Content],</t>
  </si>
  <si>
    <t>Root Location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</si>
  <si>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</si>
  <si>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</si>
  <si>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</si>
  <si>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</si>
  <si>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Role</t>
  </si>
  <si>
    <t>ID Number</t>
  </si>
  <si>
    <t>Name</t>
  </si>
  <si>
    <t>Contracted Weekly Hours</t>
  </si>
  <si>
    <t>1-Mon-AM</t>
  </si>
  <si>
    <t>1-Mon-PM</t>
  </si>
  <si>
    <t>1-Mon-NIGHT</t>
  </si>
  <si>
    <t>1-Tue-AM</t>
  </si>
  <si>
    <t>1-Tue-PM</t>
  </si>
  <si>
    <t>1-Tue-NIGHT</t>
  </si>
  <si>
    <t>1-Wed-AM</t>
  </si>
  <si>
    <t>1-Wed-PM</t>
  </si>
  <si>
    <t>1-Wed-NIGHT</t>
  </si>
  <si>
    <t>1-Thu-AM</t>
  </si>
  <si>
    <t>1-Thu-PM</t>
  </si>
  <si>
    <t>1-Thu-NIGHT</t>
  </si>
  <si>
    <t>1-Fri-AM</t>
  </si>
  <si>
    <t>1-Fri-PM</t>
  </si>
  <si>
    <t>1-Fri-NIGHT</t>
  </si>
  <si>
    <t>1-Sat-AM</t>
  </si>
  <si>
    <t>1-Sat-PM</t>
  </si>
  <si>
    <t>1-Sat-NIGHT</t>
  </si>
  <si>
    <t>1-Sun-AM</t>
  </si>
  <si>
    <t>1-Sun-PM</t>
  </si>
  <si>
    <t>1-Sun-NIGHT</t>
  </si>
  <si>
    <t>X</t>
  </si>
  <si>
    <t>x</t>
  </si>
  <si>
    <t>Week</t>
  </si>
  <si>
    <t>Day</t>
  </si>
  <si>
    <t>Shift</t>
  </si>
  <si>
    <t>EffectiveShiftHrs</t>
  </si>
  <si>
    <t>Date</t>
  </si>
  <si>
    <t>Mon</t>
  </si>
  <si>
    <t>AM</t>
  </si>
  <si>
    <t>NIGHT</t>
  </si>
  <si>
    <t>PM</t>
  </si>
  <si>
    <t>Tue</t>
  </si>
  <si>
    <t>Wed</t>
  </si>
  <si>
    <t>Thu</t>
  </si>
  <si>
    <t>Fri</t>
  </si>
  <si>
    <t>Sat</t>
  </si>
  <si>
    <t>Sun</t>
  </si>
  <si>
    <t>MaxAvailability</t>
  </si>
  <si>
    <t>Count</t>
  </si>
  <si>
    <t>StdRosterDays</t>
  </si>
  <si>
    <t>AvailabilityCapped</t>
  </si>
  <si>
    <t>Full Name</t>
  </si>
  <si>
    <t>ID</t>
  </si>
  <si>
    <t>Employment Status</t>
  </si>
  <si>
    <t>Aarati THAPA</t>
  </si>
  <si>
    <t>AIN</t>
  </si>
  <si>
    <t>Ajay SUNAR</t>
  </si>
  <si>
    <t>Ajit MAHARJAN</t>
  </si>
  <si>
    <t>Anil BUDHA MAGAR</t>
  </si>
  <si>
    <t>Anju CHHETRI</t>
  </si>
  <si>
    <t>Anuradha SHARMA</t>
  </si>
  <si>
    <t>Arati RAJBHANDARI</t>
  </si>
  <si>
    <t>Arpana THAPA</t>
  </si>
  <si>
    <t>Augusto URQUIZO</t>
  </si>
  <si>
    <t>Binu ROKKA</t>
  </si>
  <si>
    <t>Bishnu PUN</t>
  </si>
  <si>
    <t>Bola HULME</t>
  </si>
  <si>
    <t>Cherry RAMOS</t>
  </si>
  <si>
    <t>Cyrus SISON</t>
  </si>
  <si>
    <t>Dinesh BHATT</t>
  </si>
  <si>
    <t>Evangeline PE BENITO</t>
  </si>
  <si>
    <t>Geeta LAMICHHANE</t>
  </si>
  <si>
    <t>Gillian KIPSOI</t>
  </si>
  <si>
    <t>Januka GHIMIRE</t>
  </si>
  <si>
    <t>Jenila ACHARYA</t>
  </si>
  <si>
    <t>Kanchan MALA</t>
  </si>
  <si>
    <t>Karuna KC</t>
  </si>
  <si>
    <t>Krishna KATWAL</t>
  </si>
  <si>
    <t>Kuo-Sung CHEN</t>
  </si>
  <si>
    <t>Lal TAMANG</t>
  </si>
  <si>
    <t>Laxmi LAMA</t>
  </si>
  <si>
    <t>Laxmi LEPCHA</t>
  </si>
  <si>
    <t>Mae PANGANDAMAN</t>
  </si>
  <si>
    <t>Meavao LEULUAIALII</t>
  </si>
  <si>
    <t>Mele TUPOU</t>
  </si>
  <si>
    <t>Miaad HAMO</t>
  </si>
  <si>
    <t>Monica KATHET</t>
  </si>
  <si>
    <t>Namuna THAPA</t>
  </si>
  <si>
    <t>Nirmala MAHARJAN</t>
  </si>
  <si>
    <t>Nisha KHATRI</t>
  </si>
  <si>
    <t>Nita SHRESTHA</t>
  </si>
  <si>
    <t>Paramjit KANG</t>
  </si>
  <si>
    <t>Parvinder KAUR</t>
  </si>
  <si>
    <t>Pasang SHERPA</t>
  </si>
  <si>
    <t>Prashant GYALANG MAGAR</t>
  </si>
  <si>
    <t>Pratibha MISHRA</t>
  </si>
  <si>
    <t>Preety THAPA</t>
  </si>
  <si>
    <t>Puja SUBBA</t>
  </si>
  <si>
    <t>Puspa SHRESTHA</t>
  </si>
  <si>
    <t>Radha SUBEDI GAUTAM</t>
  </si>
  <si>
    <t>Regina ADDAE</t>
  </si>
  <si>
    <t>Rina SHRESTHA</t>
  </si>
  <si>
    <t>Ritu KAMBOJ</t>
  </si>
  <si>
    <t>Robert MCPHERSON</t>
  </si>
  <si>
    <t>Robert SMITH</t>
  </si>
  <si>
    <t>Salina MAHARJAN</t>
  </si>
  <si>
    <t>Salina RAI</t>
  </si>
  <si>
    <t>Samikshya DHUNGANA</t>
  </si>
  <si>
    <t>Sangeeta SANGEETA</t>
  </si>
  <si>
    <t>Sanjiv KHATIWADA</t>
  </si>
  <si>
    <t>Sarah SAWE</t>
  </si>
  <si>
    <t>Sarinna CHUENCHUTAWEESAP</t>
  </si>
  <si>
    <t>Shahana PAGADDINNIMATH</t>
  </si>
  <si>
    <t>Silia FUNAKI</t>
  </si>
  <si>
    <t>Simin KE</t>
  </si>
  <si>
    <t>Smriti BHATTA</t>
  </si>
  <si>
    <t>Sona TAMANG</t>
  </si>
  <si>
    <t>Sushmita LAMA</t>
  </si>
  <si>
    <t>Udeni CHANDRASEKARE</t>
  </si>
  <si>
    <t>Urmila SHRESTHA</t>
  </si>
  <si>
    <t>Ushmita THAPALIYA</t>
  </si>
  <si>
    <t>Yi QUAN</t>
  </si>
  <si>
    <t>AINC4</t>
  </si>
  <si>
    <t>Archana SINGH</t>
  </si>
  <si>
    <t>Lyvia LILY</t>
  </si>
  <si>
    <t>Marina GILLMAN</t>
  </si>
  <si>
    <t>Vivianna LOSE</t>
  </si>
  <si>
    <t>Bidhi KC SOTI</t>
  </si>
  <si>
    <t>RN</t>
  </si>
  <si>
    <t>Harpreet Kaur KALIRAUNE</t>
  </si>
  <si>
    <t>Lijun MEI</t>
  </si>
  <si>
    <t>Linyi ZHOU</t>
  </si>
  <si>
    <t>Naomi NDIRANGU</t>
  </si>
  <si>
    <t>Parisha SHRESTHA</t>
  </si>
  <si>
    <t>Prasanna THAPA</t>
  </si>
  <si>
    <t>Renu BHATTARAI</t>
  </si>
  <si>
    <t>Sneha NAHARKI</t>
  </si>
  <si>
    <t>Xian ZHUANG</t>
  </si>
  <si>
    <t>Xin Li</t>
  </si>
  <si>
    <t>Total</t>
  </si>
  <si>
    <t>AINC4HrsAvilPref</t>
  </si>
  <si>
    <t>MultiRole</t>
  </si>
  <si>
    <t>2-Mon-AM2-</t>
  </si>
  <si>
    <t>2-Mon-PM3</t>
  </si>
  <si>
    <t>2-Mon-NIGHT4</t>
  </si>
  <si>
    <t>2-Tue-AM5</t>
  </si>
  <si>
    <t>2-Tue-PM6</t>
  </si>
  <si>
    <t>2-Tue-NIGHT7</t>
  </si>
  <si>
    <t>2-Wed-AM8</t>
  </si>
  <si>
    <t>2-Wed-PM9</t>
  </si>
  <si>
    <t>2-Wed-NIGHT10</t>
  </si>
  <si>
    <t>2-Thu-AM11</t>
  </si>
  <si>
    <t>2-Thu-PM12-</t>
  </si>
  <si>
    <t>2-Thu-NIGHT13</t>
  </si>
  <si>
    <t>2-Fri-AM14</t>
  </si>
  <si>
    <t>2-Fri-PM15</t>
  </si>
  <si>
    <t>2-Fri-NIGHT16</t>
  </si>
  <si>
    <t>2-Sat-AM17</t>
  </si>
  <si>
    <t>2-Sat-PM18</t>
  </si>
  <si>
    <t>2-Sat-NIGHT19</t>
  </si>
  <si>
    <t>2-Sun-AM2-0</t>
  </si>
  <si>
    <t>2-Sun-PM2-1</t>
  </si>
  <si>
    <t>2-Sun-NIGHT2-2-</t>
  </si>
  <si>
    <t>C:\Users\Alex\Centri\4. Production - Documents\WFEffectiveness\4.1.1 AGED CARE\01 Christadelphian Aged Care\240715\FACILITIES\ASHB</t>
  </si>
  <si>
    <t>Anita THAPA</t>
  </si>
  <si>
    <t>Nabina CHAULAGAIN</t>
  </si>
  <si>
    <t>Pramila SHRESTHA</t>
  </si>
  <si>
    <t>Lei SUN</t>
  </si>
  <si>
    <t>Bhuwan POKHREL</t>
  </si>
  <si>
    <t>Pratima ADHIKARI KHANAL</t>
  </si>
  <si>
    <t>Variable Name</t>
  </si>
  <si>
    <t>Value</t>
  </si>
  <si>
    <t>UserName</t>
  </si>
  <si>
    <t>Root Path</t>
  </si>
  <si>
    <t>Unit</t>
  </si>
  <si>
    <t>Unit1</t>
  </si>
  <si>
    <t>FileName</t>
  </si>
  <si>
    <t>CLIENT</t>
  </si>
  <si>
    <t>Capacity-ShiftAvailability.xlsx</t>
  </si>
  <si>
    <t>Alex</t>
  </si>
  <si>
    <t>C:\Users\Alex\CentriNOTSYNC\ResidentialCare\CLIENT\DATExx-Whiddon\UNITS\Unit1\2. Calculations</t>
  </si>
  <si>
    <t>DATExx-Whiddon</t>
  </si>
  <si>
    <t>Damien Stewart</t>
  </si>
  <si>
    <t>Mana Tuikilakil</t>
  </si>
  <si>
    <t xml:space="preserve">Mandy Manpreet </t>
  </si>
  <si>
    <t>Mani Kaur</t>
  </si>
  <si>
    <t>Robert Steven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</si>
</sst>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b/>
      <sz val="10"/>
      <color rgb="FF000000"/>
      <name val="Times New Roman"/>
      <family val="1"/>
    </font>
    <font>
      <sz val="10"/>
      <color theme="0" tint="-0.499984740745262"/>
      <name val="Times New Roman"/>
      <family val="1"/>
      <charset val="204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1" xfId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0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7" fillId="0" borderId="0" xfId="1" applyFont="1" applyAlignment="1">
      <alignment horizontal="left" vertical="top"/>
    </xf>
    <xf numFmtId="14" fontId="0" fillId="0" borderId="0" xfId="0" applyNumberFormat="1"/>
    <xf numFmtId="0" fontId="9" fillId="0" borderId="2" xfId="0" applyFont="1" applyBorder="1"/>
    <xf numFmtId="0" fontId="10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</cellXfs>
  <cellStyles count="2">
    <cellStyle name="Normal" xfId="0" builtinId="0"/>
    <cellStyle name="Normal 2" xfId="1" xr:uid="{F382428D-D237-4667-9AC8-929C59358911}"/>
  </cellStyles>
  <dxfs count="12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COMPUTERPATH.xlsx" TargetMode="External"/><Relationship Id="rId1" Type="http://schemas.openxmlformats.org/officeDocument/2006/relationships/externalLinkPath" Target="https://centri001.sharepoint.com/sites/2.0Accounts/Shared%20Documents/2.1.1%20RFBI-PoC/2.0%20RFBI/04.1%20PoC/04%20Analysis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wojAMNtMEafITSMnMZsuXilD8tw-NZHsNlaQj4qnPsv_Gi1Kk0aT6ktvm6p1Hm_" itemId="01JKT3HL7SDNGNSKGC6VDKCIWUFSNWSVXY">
      <xxl21:absoluteUrl r:id="rId2"/>
    </xxl21:alternateUrls>
    <sheetNames>
      <sheetName val="Computerpath"/>
      <sheetName val="FILEPATH"/>
      <sheetName val="StaffList"/>
      <sheetName val="Allocation"/>
      <sheetName val="ResourceShiftAllocation"/>
      <sheetName val="Metadata"/>
    </sheetNames>
    <definedNames>
      <definedName name="Client" refersTo="='Computerpath'!$B$14"/>
    </definedNames>
    <sheetDataSet>
      <sheetData sheetId="0">
        <row r="14">
          <cell r="B14" t="str">
            <v>04.1 PoC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DEAE424-1E6F-4AC1-A0B7-B9419B956C0F}" autoFormatId="16" applyNumberFormats="0" applyBorderFormats="0" applyFontFormats="0" applyPatternFormats="0" applyAlignmentFormats="0" applyWidthHeightFormats="0">
  <queryTableRefresh nextId="158">
    <queryTableFields count="48">
      <queryTableField id="2" name="ID Number" tableColumnId="2"/>
      <queryTableField id="67" name="Full Name" tableColumnId="3"/>
      <queryTableField id="60" name="Role" tableColumnId="1"/>
      <queryTableField id="68" name="ID" tableColumnId="5"/>
      <queryTableField id="69" name="Employment Status" tableColumnId="6"/>
      <queryTableField id="4" name="Contracted Weekly Hours" tableColumnId="4"/>
      <queryTableField id="9" name="1-Mon-AM" tableColumnId="9"/>
      <queryTableField id="10" name="1-Mon-PM" tableColumnId="10"/>
      <queryTableField id="11" name="1-Mon-NIGHT" tableColumnId="11"/>
      <queryTableField id="12" name="1-Tue-AM" tableColumnId="12"/>
      <queryTableField id="13" name="1-Tue-PM" tableColumnId="13"/>
      <queryTableField id="14" name="1-Tue-NIGHT" tableColumnId="14"/>
      <queryTableField id="15" name="1-Wed-AM" tableColumnId="15"/>
      <queryTableField id="16" name="1-Wed-PM" tableColumnId="16"/>
      <queryTableField id="17" name="1-Wed-NIGHT" tableColumnId="17"/>
      <queryTableField id="18" name="1-Thu-AM" tableColumnId="18"/>
      <queryTableField id="19" name="1-Thu-PM" tableColumnId="19"/>
      <queryTableField id="20" name="1-Thu-NIGHT" tableColumnId="20"/>
      <queryTableField id="21" name="1-Fri-AM" tableColumnId="21"/>
      <queryTableField id="22" name="1-Fri-PM" tableColumnId="22"/>
      <queryTableField id="23" name="1-Fri-NIGHT" tableColumnId="23"/>
      <queryTableField id="24" name="1-Sat-AM" tableColumnId="24"/>
      <queryTableField id="25" name="1-Sat-PM" tableColumnId="25"/>
      <queryTableField id="26" name="1-Sat-NIGHT" tableColumnId="26"/>
      <queryTableField id="27" name="1-Sun-AM" tableColumnId="27"/>
      <queryTableField id="28" name="1-Sun-PM" tableColumnId="28"/>
      <queryTableField id="29" name="1-Sun-NIGHT" tableColumnId="29"/>
      <queryTableField id="137" name="2-Mon-AM2-" tableColumnId="7"/>
      <queryTableField id="138" name="2-Mon-PM3" tableColumnId="8"/>
      <queryTableField id="139" name="2-Mon-NIGHT4" tableColumnId="30"/>
      <queryTableField id="140" name="2-Tue-AM5" tableColumnId="31"/>
      <queryTableField id="141" name="2-Tue-PM6" tableColumnId="32"/>
      <queryTableField id="142" name="2-Tue-NIGHT7" tableColumnId="33"/>
      <queryTableField id="143" name="2-Wed-AM8" tableColumnId="34"/>
      <queryTableField id="144" name="2-Wed-PM9" tableColumnId="35"/>
      <queryTableField id="145" name="2-Wed-NIGHT10" tableColumnId="36"/>
      <queryTableField id="146" name="2-Thu-AM11" tableColumnId="37"/>
      <queryTableField id="147" name="2-Thu-PM12-" tableColumnId="38"/>
      <queryTableField id="148" name="2-Thu-NIGHT13" tableColumnId="39"/>
      <queryTableField id="149" name="2-Fri-AM14" tableColumnId="40"/>
      <queryTableField id="150" name="2-Fri-PM15" tableColumnId="41"/>
      <queryTableField id="151" name="2-Fri-NIGHT16" tableColumnId="42"/>
      <queryTableField id="152" name="2-Sat-AM17" tableColumnId="43"/>
      <queryTableField id="153" name="2-Sat-PM18" tableColumnId="44"/>
      <queryTableField id="154" name="2-Sat-NIGHT19" tableColumnId="45"/>
      <queryTableField id="155" name="2-Sun-AM2-0" tableColumnId="46"/>
      <queryTableField id="156" name="2-Sun-PM2-1" tableColumnId="47"/>
      <queryTableField id="157" name="2-Sun-NIGHT2-2-" tableColumnId="4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258AAD6C-FE7D-4B41-885F-A810024B03D1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Rol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2BA634D5-AAC1-40B1-917E-C8FD8A7DA6D9}" autoFormatId="16" applyNumberFormats="0" applyBorderFormats="0" applyFontFormats="0" applyPatternFormats="0" applyAlignmentFormats="0" applyWidthHeightFormats="0">
  <queryTableRefresh nextId="12">
    <queryTableFields count="5">
      <queryTableField id="3" name="Count" tableColumnId="3"/>
      <queryTableField id="4" name="StdRosterDays" tableColumnId="4"/>
      <queryTableField id="5" name="AvailabilityCapped" tableColumnId="5"/>
      <queryTableField id="2" name="Name" tableColumnId="2"/>
      <queryTableField id="1" name="Role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5DC8C0FB-9595-4D32-8824-B548E445F9A2}" autoFormatId="16" applyNumberFormats="0" applyBorderFormats="0" applyFontFormats="0" applyPatternFormats="0" applyAlignmentFormats="0" applyWidthHeightFormats="0">
  <queryTableRefresh nextId="3">
    <queryTableFields count="2">
      <queryTableField id="1" name="Role" tableColumnId="1"/>
      <queryTableField id="2" name="AvailabilityCapped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D469D1C5-9C9B-460C-BF3F-A46C2EE5F4FA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AINC4HrsAvilPref" tableColumnId="2"/>
      <queryTableField id="3" name="MultiRol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8E3B461B-0251-430D-B42F-C10A6314005E}" autoFormatId="16" applyNumberFormats="0" applyBorderFormats="0" applyFontFormats="0" applyPatternFormats="0" applyAlignmentFormats="0" applyWidthHeightFormats="0">
  <queryTableRefresh nextId="7">
    <queryTableFields count="5">
      <queryTableField id="1" name="Name" tableColumnId="1"/>
      <queryTableField id="3" name="AIN" tableColumnId="3"/>
      <queryTableField id="2" name="AINC4" tableColumnId="2"/>
      <queryTableField id="4" name="Total" tableColumnId="4"/>
      <queryTableField id="5" name="AINC4HrsAvilPref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B1362A27-AA66-418E-A986-D609428C1FEE}" autoFormatId="16" applyNumberFormats="0" applyBorderFormats="0" applyFontFormats="0" applyPatternFormats="0" applyAlignmentFormats="0" applyWidthHeightFormats="0">
  <queryTableRefresh nextId="24">
    <queryTableFields count="7">
      <queryTableField id="1" name="Role" tableColumnId="1"/>
      <queryTableField id="7" name="Week" tableColumnId="7"/>
      <queryTableField id="8" name="Day" tableColumnId="8"/>
      <queryTableField id="9" name="Shift" tableColumnId="9"/>
      <queryTableField id="10" name="EffectiveShiftHrs" tableColumnId="10"/>
      <queryTableField id="11" name="Date" tableColumnId="11"/>
      <queryTableField id="2" name="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9" tableType="queryTable" totalsRowShown="0" headerRowDxfId="11" headerRowCellStyle="Normal 2">
  <autoFilter ref="A3:B9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82543-536F-4D28-B821-4F8D7A41EEE7}" name="Folder" displayName="Folder" ref="B35:B36" totalsRowShown="0" dataDxfId="10" dataCellStyle="Normal 2">
  <autoFilter ref="B35:B36" xr:uid="{56272DB7-7BB8-46CC-B188-5BD9424345D9}"/>
  <tableColumns count="1">
    <tableColumn id="1" xr3:uid="{4ADC3AC6-4D62-4889-9C14-9FF76EBCE265}" name="Folder" dataDxfId="9" dataCellStyle="Normal 2">
      <calculatedColumnFormula>B20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8C0F8B-359E-4D7B-9B00-91249861917B}" name="MaxAvailability" displayName="MaxAvailability" ref="B43:B44" totalsRowShown="0" headerRowDxfId="8" dataDxfId="7" headerRowCellStyle="Normal 2" dataCellStyle="Normal 2">
  <autoFilter ref="B43:B44" xr:uid="{B4BE93C5-5635-4146-B292-6A216A758169}"/>
  <tableColumns count="1">
    <tableColumn id="1" xr3:uid="{D6620C2B-7FA6-4BBE-A508-BE647E18BE75}" name="MaxAvailability" dataDxfId="6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CF0557-EED2-4F37-AE4A-215E344EE36E}" name="IMPORT_AvailabilityDayShiftMATRIXRaw" displayName="IMPORT_AvailabilityDayShiftMATRIXRaw" ref="A1:AV98" tableType="queryTable" totalsRowShown="0">
  <autoFilter ref="A1:AV98" xr:uid="{8FCF0557-EED2-4F37-AE4A-215E344EE36E}"/>
  <tableColumns count="48">
    <tableColumn id="2" xr3:uid="{8D443C31-A989-4315-8102-99CE55025D99}" uniqueName="2" name="ID Number" queryTableFieldId="2"/>
    <tableColumn id="3" xr3:uid="{21AE0983-2A60-462B-A2AC-37271A6D5B43}" uniqueName="3" name="Full Name" queryTableFieldId="67"/>
    <tableColumn id="1" xr3:uid="{35407D98-BC31-490F-96C6-359B956B93CA}" uniqueName="1" name="Role" queryTableFieldId="60"/>
    <tableColumn id="5" xr3:uid="{1EA27ABC-D7E8-4D20-89D7-350E6500B5B1}" uniqueName="5" name="ID" queryTableFieldId="68"/>
    <tableColumn id="6" xr3:uid="{C23596F6-6F6E-4D5D-AC27-E48156A371F7}" uniqueName="6" name="Employment Status" queryTableFieldId="69"/>
    <tableColumn id="4" xr3:uid="{5FC101A6-76FF-4A16-B0D0-502E129FD31F}" uniqueName="4" name="Contracted Weekly Hours" queryTableFieldId="4"/>
    <tableColumn id="9" xr3:uid="{0E73AA75-A309-4EA8-ADFA-11E4772D1FDF}" uniqueName="9" name="1-Mon-AM" queryTableFieldId="9"/>
    <tableColumn id="10" xr3:uid="{39FB4E05-4B68-403C-BA74-8437B70133F1}" uniqueName="10" name="1-Mon-PM" queryTableFieldId="10"/>
    <tableColumn id="11" xr3:uid="{DCEE8B69-D925-4AA6-8E2A-14CC68800D01}" uniqueName="11" name="1-Mon-NIGHT" queryTableFieldId="11"/>
    <tableColumn id="12" xr3:uid="{932A22FC-72E1-443F-B1F3-306195B66074}" uniqueName="12" name="1-Tue-AM" queryTableFieldId="12"/>
    <tableColumn id="13" xr3:uid="{48547BC1-D0A6-4FAD-B35A-A45AE48C938E}" uniqueName="13" name="1-Tue-PM" queryTableFieldId="13"/>
    <tableColumn id="14" xr3:uid="{CD83A238-176C-4D58-8BC6-1F45941D04A7}" uniqueName="14" name="1-Tue-NIGHT" queryTableFieldId="14"/>
    <tableColumn id="15" xr3:uid="{A1E32A5C-0FA5-4B41-8ADE-5DB3785EA9CD}" uniqueName="15" name="1-Wed-AM" queryTableFieldId="15"/>
    <tableColumn id="16" xr3:uid="{4D4D4D22-D517-4817-95B2-ABAA8794E1FF}" uniqueName="16" name="1-Wed-PM" queryTableFieldId="16"/>
    <tableColumn id="17" xr3:uid="{1AE95842-DDC4-438E-B8DE-6F07BF23439C}" uniqueName="17" name="1-Wed-NIGHT" queryTableFieldId="17"/>
    <tableColumn id="18" xr3:uid="{3514F2A2-A030-45DB-9F3F-0D5E353476CE}" uniqueName="18" name="1-Thu-AM" queryTableFieldId="18"/>
    <tableColumn id="19" xr3:uid="{8B0AA909-B1BA-4F48-B3B5-E3E1DA224EFC}" uniqueName="19" name="1-Thu-PM" queryTableFieldId="19"/>
    <tableColumn id="20" xr3:uid="{88335A71-469A-468E-9B6E-BC5AC2DC5982}" uniqueName="20" name="1-Thu-NIGHT" queryTableFieldId="20"/>
    <tableColumn id="21" xr3:uid="{21821FC9-F188-4D88-96E3-325E9A859F4D}" uniqueName="21" name="1-Fri-AM" queryTableFieldId="21"/>
    <tableColumn id="22" xr3:uid="{37875D7B-5F41-4DC2-92F8-2742111DED43}" uniqueName="22" name="1-Fri-PM" queryTableFieldId="22"/>
    <tableColumn id="23" xr3:uid="{92E08DB8-B06D-40C6-ABCC-5805284EE54A}" uniqueName="23" name="1-Fri-NIGHT" queryTableFieldId="23"/>
    <tableColumn id="24" xr3:uid="{3B0D8EE6-771C-457D-B044-630363439992}" uniqueName="24" name="1-Sat-AM" queryTableFieldId="24"/>
    <tableColumn id="25" xr3:uid="{689A87C9-D432-4C03-8958-A75D4BCF0BF5}" uniqueName="25" name="1-Sat-PM" queryTableFieldId="25"/>
    <tableColumn id="26" xr3:uid="{B22DBDBE-54A8-468B-AAC6-866B632345A3}" uniqueName="26" name="1-Sat-NIGHT" queryTableFieldId="26"/>
    <tableColumn id="27" xr3:uid="{77C91AD2-EF3E-4094-BB79-3513044656C6}" uniqueName="27" name="1-Sun-AM" queryTableFieldId="27"/>
    <tableColumn id="28" xr3:uid="{DE678403-FE1C-4DFF-85B4-680B1C3BBFC6}" uniqueName="28" name="1-Sun-PM" queryTableFieldId="28"/>
    <tableColumn id="29" xr3:uid="{887D1D54-9399-4FE4-A0A9-8023821FB942}" uniqueName="29" name="1-Sun-NIGHT" queryTableFieldId="29"/>
    <tableColumn id="7" xr3:uid="{68A135F1-2703-4637-AAF0-81480B2B5959}" uniqueName="7" name="2-Mon-AM2-" queryTableFieldId="137"/>
    <tableColumn id="8" xr3:uid="{B2E4EE41-314D-4CA0-A12F-FAAB1E586B83}" uniqueName="8" name="2-Mon-PM3" queryTableFieldId="138"/>
    <tableColumn id="30" xr3:uid="{9FB0F78A-19A3-46FF-BA16-6A27AFA695E0}" uniqueName="30" name="2-Mon-NIGHT4" queryTableFieldId="139"/>
    <tableColumn id="31" xr3:uid="{86458CCA-9CF2-4E91-AD83-31D14C6AA93B}" uniqueName="31" name="2-Tue-AM5" queryTableFieldId="140"/>
    <tableColumn id="32" xr3:uid="{3B874378-8B91-4EBC-9FE8-B5D0DFC0D825}" uniqueName="32" name="2-Tue-PM6" queryTableFieldId="141"/>
    <tableColumn id="33" xr3:uid="{5C19E10F-BAEA-46F7-AF73-E35849334475}" uniqueName="33" name="2-Tue-NIGHT7" queryTableFieldId="142"/>
    <tableColumn id="34" xr3:uid="{F7757ABA-2707-43AC-8666-30AD1202E702}" uniqueName="34" name="2-Wed-AM8" queryTableFieldId="143"/>
    <tableColumn id="35" xr3:uid="{F07DDAF7-6109-4896-9A96-2D7BABE481FA}" uniqueName="35" name="2-Wed-PM9" queryTableFieldId="144"/>
    <tableColumn id="36" xr3:uid="{92B21D97-071E-494E-8342-74354FF11E57}" uniqueName="36" name="2-Wed-NIGHT10" queryTableFieldId="145"/>
    <tableColumn id="37" xr3:uid="{876C80D9-828F-4252-97D8-331B91867E14}" uniqueName="37" name="2-Thu-AM11" queryTableFieldId="146"/>
    <tableColumn id="38" xr3:uid="{552B238F-0CEC-4909-8431-FE64AD507812}" uniqueName="38" name="2-Thu-PM12-" queryTableFieldId="147"/>
    <tableColumn id="39" xr3:uid="{62C0BCB8-0D39-4FEB-9C1A-5C273A7232A6}" uniqueName="39" name="2-Thu-NIGHT13" queryTableFieldId="148"/>
    <tableColumn id="40" xr3:uid="{EE0AE2EE-4A50-40AE-9CEC-0D34D0B1B247}" uniqueName="40" name="2-Fri-AM14" queryTableFieldId="149"/>
    <tableColumn id="41" xr3:uid="{F522F0A2-ADB1-4C80-8BA2-66FF43FDC090}" uniqueName="41" name="2-Fri-PM15" queryTableFieldId="150"/>
    <tableColumn id="42" xr3:uid="{992C45D5-A3F2-4BB0-9D99-870E541BD280}" uniqueName="42" name="2-Fri-NIGHT16" queryTableFieldId="151"/>
    <tableColumn id="43" xr3:uid="{36EE4ED2-CBFF-4D13-B95F-420C63810562}" uniqueName="43" name="2-Sat-AM17" queryTableFieldId="152"/>
    <tableColumn id="44" xr3:uid="{5807F3A5-ADE0-44FF-BB87-D9D79B9C0A43}" uniqueName="44" name="2-Sat-PM18" queryTableFieldId="153"/>
    <tableColumn id="45" xr3:uid="{1B505A8F-FCDC-4693-8151-6E95EB1DEAE8}" uniqueName="45" name="2-Sat-NIGHT19" queryTableFieldId="154"/>
    <tableColumn id="46" xr3:uid="{173F6E20-D4AB-46F2-9391-A37908D16A72}" uniqueName="46" name="2-Sun-AM2-0" queryTableFieldId="155"/>
    <tableColumn id="47" xr3:uid="{855C6BE6-F998-492C-98B6-61AD8DEA25C9}" uniqueName="47" name="2-Sun-PM2-1" queryTableFieldId="156"/>
    <tableColumn id="48" xr3:uid="{C6D0AC0F-9F75-4C3F-ADCF-0C535045B678}" uniqueName="48" name="2-Sun-NIGHT2-2-" queryTableFieldId="15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29714B-4AFE-4743-B1B8-A65F48FAE3D6}" name="Availability_StaffList" displayName="Availability_StaffList" ref="A1:B97" tableType="queryTable" totalsRowShown="0">
  <autoFilter ref="A1:B97" xr:uid="{4C29714B-4AFE-4743-B1B8-A65F48FAE3D6}"/>
  <tableColumns count="2">
    <tableColumn id="1" xr3:uid="{D318F890-29FD-45AE-8986-AEF08E24DD23}" uniqueName="1" name="Name" queryTableFieldId="1"/>
    <tableColumn id="2" xr3:uid="{A01919EB-D086-4063-9222-262E87B8BDA1}" uniqueName="2" name="Role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56017A-F2E4-4974-ABEE-B676B87F78BD}" name="RoleResDayAvailabilityCapped" displayName="RoleResDayAvailabilityCapped" ref="A1:E97" tableType="queryTable" totalsRowShown="0">
  <autoFilter ref="A1:E97" xr:uid="{5D56017A-F2E4-4974-ABEE-B676B87F78BD}"/>
  <sortState xmlns:xlrd2="http://schemas.microsoft.com/office/spreadsheetml/2017/richdata2" ref="A2:E97">
    <sortCondition ref="D1:D97"/>
  </sortState>
  <tableColumns count="5">
    <tableColumn id="3" xr3:uid="{10131B1B-3005-4572-BC56-FA5EF05E2AD8}" uniqueName="3" name="Count" queryTableFieldId="3"/>
    <tableColumn id="4" xr3:uid="{534F0CDF-C148-476F-AA0E-4734B3C14D9D}" uniqueName="4" name="StdRosterDays" queryTableFieldId="4"/>
    <tableColumn id="5" xr3:uid="{30EAC269-79BC-4CEC-9148-479DE6A808CE}" uniqueName="5" name="AvailabilityCapped" queryTableFieldId="5"/>
    <tableColumn id="2" xr3:uid="{4D70904F-E562-49E0-BD37-753EA1091E52}" uniqueName="2" name="Name" queryTableFieldId="2"/>
    <tableColumn id="1" xr3:uid="{9B4B4F85-805F-4035-A4FD-0DE7F01FC748}" uniqueName="1" name="Role" queryTableField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E9B3D-07EE-4419-A2DF-C71943614B46}" name="RoleAvailabilityCapped" displayName="RoleAvailabilityCapped" ref="I1:J4" tableType="queryTable" totalsRowShown="0">
  <autoFilter ref="I1:J4" xr:uid="{B1FE9B3D-07EE-4419-A2DF-C71943614B46}"/>
  <tableColumns count="2">
    <tableColumn id="1" xr3:uid="{AB127F3D-005E-4DA5-B767-FD5A9AB32B95}" uniqueName="1" name="Role" queryTableFieldId="1"/>
    <tableColumn id="2" xr3:uid="{9C8218E1-7BEE-43F1-A0DC-5B31061AFD42}" uniqueName="2" name="AvailabilityCapped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E56D4E-72A0-485B-A3C1-C92A2F18E5AE}" name="MultiRoles" displayName="MultiRoles" ref="A1:C11" tableType="queryTable" totalsRowShown="0">
  <autoFilter ref="A1:C11" xr:uid="{06E56D4E-72A0-485B-A3C1-C92A2F18E5AE}"/>
  <tableColumns count="3">
    <tableColumn id="1" xr3:uid="{D56BBDB4-B923-4D0B-AF67-BF379EADA03C}" uniqueName="1" name="Name" queryTableFieldId="1" dataDxfId="5"/>
    <tableColumn id="2" xr3:uid="{562BC37F-3ADF-473F-8854-E65E16AC979A}" uniqueName="2" name="AINC4HrsAvilPref" queryTableFieldId="2"/>
    <tableColumn id="3" xr3:uid="{9E1981E9-FE66-44B9-9AB4-3D933AF664DB}" uniqueName="3" name="MultiRole" queryTableFieldId="3" dataDxf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FC0722-D170-467C-9285-92342DDDA406}" name="IMPORT_MultiRolesResRolesProportion" displayName="IMPORT_MultiRolesResRolesProportion" ref="A1:E6" tableType="queryTable" totalsRowShown="0">
  <autoFilter ref="A1:E6" xr:uid="{B4FC0722-D170-467C-9285-92342DDDA406}"/>
  <tableColumns count="5">
    <tableColumn id="1" xr3:uid="{EEADF378-BFEC-4BA5-80D6-528BEB38719E}" uniqueName="1" name="Name" queryTableFieldId="1" dataDxfId="3"/>
    <tableColumn id="3" xr3:uid="{C66241A0-0C15-4711-91A0-7FA280BAE9CE}" uniqueName="3" name="AIN" queryTableFieldId="3"/>
    <tableColumn id="2" xr3:uid="{31E6166C-088C-45B3-80CB-DB96C9F99E45}" uniqueName="2" name="AINC4" queryTableFieldId="2"/>
    <tableColumn id="4" xr3:uid="{C83E8BD2-EFD1-4BA2-9244-1C4A0A2045ED}" uniqueName="4" name="Total" queryTableFieldId="4"/>
    <tableColumn id="5" xr3:uid="{B187249A-19A6-4C21-ABFC-693B7E3B9064}" uniqueName="5" name="AINC4HrsAvilPref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D980F7-F76D-4B3A-A096-F1A1024B57A2}" name="Table_ResDayShift" displayName="Table_ResDayShift" ref="A1:G989" tableType="queryTable" totalsRowShown="0">
  <autoFilter ref="A1:G989" xr:uid="{A3D980F7-F76D-4B3A-A096-F1A1024B57A2}">
    <filterColumn colId="6">
      <filters>
        <filter val="Yi QUAN (AIN)"/>
        <filter val="Yi QUAN (AINC4)"/>
      </filters>
    </filterColumn>
  </autoFilter>
  <tableColumns count="7">
    <tableColumn id="1" xr3:uid="{1566F7CD-922E-455E-9A7E-B389F6897D60}" uniqueName="1" name="Role" queryTableFieldId="1"/>
    <tableColumn id="7" xr3:uid="{8F726E0F-1911-43B1-97D1-107690088237}" uniqueName="7" name="Week" queryTableFieldId="7"/>
    <tableColumn id="8" xr3:uid="{BE34C24F-DA7E-4C52-8F64-30733A1897D6}" uniqueName="8" name="Day" queryTableFieldId="8" dataDxfId="2"/>
    <tableColumn id="9" xr3:uid="{A39F11B3-FABB-4DE6-ABC0-236388383086}" uniqueName="9" name="Shift" queryTableFieldId="9" dataDxfId="1"/>
    <tableColumn id="10" xr3:uid="{B4AC6D94-8051-4921-915A-44467E324564}" uniqueName="10" name="EffectiveShiftHrs" queryTableFieldId="10"/>
    <tableColumn id="11" xr3:uid="{9D98A20A-0450-4A78-8885-827BD9604DB3}" uniqueName="11" name="Date" queryTableFieldId="11" dataDxfId="0"/>
    <tableColumn id="2" xr3:uid="{42E9E69D-BD43-40D8-801F-53BA4D255611}" uniqueName="2" name="Nam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0"/>
  <sheetViews>
    <sheetView tabSelected="1"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2" t="str" cm="1">
        <f t="array" aca="1" ref="B1" ca="1">CELL("filename")</f>
        <v>C:\Users\Alex\CentriNOTSYNC\ResidentialCare\CLIENT\DATExx-Whiddon\UNITS\Unit1\2. Calculations\[Capacity-ShiftAvailability.xlsx]ResDayShift</v>
      </c>
    </row>
    <row r="2" spans="1:4" x14ac:dyDescent="0.25">
      <c r="A2" s="1"/>
      <c r="B2" s="1"/>
    </row>
    <row r="3" spans="1:4" x14ac:dyDescent="0.25">
      <c r="A3" s="2" t="s">
        <v>181</v>
      </c>
      <c r="B3" s="2" t="s">
        <v>182</v>
      </c>
    </row>
    <row r="4" spans="1:4" ht="15" x14ac:dyDescent="0.25">
      <c r="A4" t="s">
        <v>183</v>
      </c>
      <c r="B4" t="s">
        <v>190</v>
      </c>
    </row>
    <row r="5" spans="1:4" ht="15" x14ac:dyDescent="0.25">
      <c r="A5" t="s">
        <v>184</v>
      </c>
      <c r="B5" t="s">
        <v>191</v>
      </c>
    </row>
    <row r="6" spans="1:4" ht="15" x14ac:dyDescent="0.25">
      <c r="A6" t="s">
        <v>1</v>
      </c>
      <c r="B6" t="s">
        <v>188</v>
      </c>
    </row>
    <row r="7" spans="1:4" ht="15" x14ac:dyDescent="0.25">
      <c r="A7" t="s">
        <v>47</v>
      </c>
      <c r="B7" t="s">
        <v>192</v>
      </c>
    </row>
    <row r="8" spans="1:4" ht="15" x14ac:dyDescent="0.25">
      <c r="A8" t="s">
        <v>185</v>
      </c>
      <c r="B8" t="s">
        <v>186</v>
      </c>
    </row>
    <row r="9" spans="1:4" ht="15" x14ac:dyDescent="0.25">
      <c r="A9" t="s">
        <v>187</v>
      </c>
      <c r="B9" t="s">
        <v>189</v>
      </c>
    </row>
    <row r="10" spans="1:4" ht="15" x14ac:dyDescent="0.25">
      <c r="A10"/>
      <c r="B10"/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13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14"/>
    </row>
    <row r="21" spans="1:3" x14ac:dyDescent="0.25">
      <c r="C21" s="14"/>
    </row>
    <row r="22" spans="1:3" x14ac:dyDescent="0.25">
      <c r="C22" s="14"/>
    </row>
    <row r="23" spans="1:3" x14ac:dyDescent="0.25">
      <c r="A23" s="4"/>
      <c r="B23" s="4"/>
      <c r="C23" s="14"/>
    </row>
    <row r="24" spans="1:3" x14ac:dyDescent="0.25">
      <c r="C24" s="15"/>
    </row>
    <row r="25" spans="1:3" x14ac:dyDescent="0.25">
      <c r="A25" s="14"/>
      <c r="B25" s="14"/>
      <c r="C25" s="14"/>
    </row>
    <row r="26" spans="1:3" x14ac:dyDescent="0.25">
      <c r="A26" s="14"/>
      <c r="B26" s="14"/>
      <c r="C26" s="14"/>
    </row>
    <row r="27" spans="1:3" x14ac:dyDescent="0.25">
      <c r="C27" s="14"/>
    </row>
    <row r="30" spans="1:3" x14ac:dyDescent="0.25">
      <c r="B30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41B0C-83E8-4B70-96BB-0B4FD523D3CF}">
  <dimension ref="A4:R49"/>
  <sheetViews>
    <sheetView workbookViewId="0">
      <selection activeCell="B21" sqref="B21"/>
    </sheetView>
  </sheetViews>
  <sheetFormatPr defaultColWidth="9.140625" defaultRowHeight="12.75" x14ac:dyDescent="0.25"/>
  <cols>
    <col min="1" max="1" width="18.5703125" style="2" customWidth="1"/>
    <col min="2" max="2" width="113.140625" style="2" customWidth="1"/>
    <col min="3" max="3" width="12.85546875" style="2" customWidth="1"/>
    <col min="4" max="16384" width="9.140625" style="2"/>
  </cols>
  <sheetData>
    <row r="4" spans="1:5" x14ac:dyDescent="0.25">
      <c r="A4" s="1" t="s">
        <v>0</v>
      </c>
      <c r="B4" s="1" t="str" cm="1">
        <f t="array" aca="1" ref="B4" ca="1">CELL("filename",E19)</f>
        <v>C:\Users\Alex\CentriNOTSYNC\ResidentialCare\CLIENT\DATExx-Whiddon\UNITS\Unit1\2. Calculations\[Capacity-ShiftAvailability.xlsx]FILEPATH</v>
      </c>
    </row>
    <row r="5" spans="1:5" x14ac:dyDescent="0.25">
      <c r="A5" s="1"/>
      <c r="B5" s="1"/>
    </row>
    <row r="6" spans="1:5" x14ac:dyDescent="0.25">
      <c r="A6" s="3" t="s">
        <v>1</v>
      </c>
      <c r="B6" s="3" t="str" cm="1">
        <f t="array" ref="B6">[4]!Client</f>
        <v>04.1 PoC</v>
      </c>
      <c r="C6" s="2" t="e">
        <f ca="1">FIND(B6,B4)</f>
        <v>#VALUE!</v>
      </c>
      <c r="E6" s="2">
        <f>LEN(B6)</f>
        <v>8</v>
      </c>
    </row>
    <row r="7" spans="1:5" x14ac:dyDescent="0.25">
      <c r="A7" s="4" t="s">
        <v>2</v>
      </c>
      <c r="B7" s="4" t="s">
        <v>3</v>
      </c>
      <c r="C7" s="2" t="e">
        <f ca="1">FIND(B7,B4)</f>
        <v>#VALUE!</v>
      </c>
      <c r="E7" s="2">
        <f>LEN(B7)</f>
        <v>11</v>
      </c>
    </row>
    <row r="8" spans="1:5" x14ac:dyDescent="0.25">
      <c r="A8" s="2" t="s">
        <v>4</v>
      </c>
      <c r="B8" s="2" t="s">
        <v>5</v>
      </c>
      <c r="C8" s="5">
        <f ca="1">FIND(B8,B4)</f>
        <v>79</v>
      </c>
      <c r="D8" s="4"/>
    </row>
    <row r="9" spans="1:5" x14ac:dyDescent="0.25">
      <c r="C9" s="2" t="e">
        <f ca="1">C8-C7</f>
        <v>#VALUE!</v>
      </c>
      <c r="D9" s="4"/>
    </row>
    <row r="10" spans="1:5" x14ac:dyDescent="0.25">
      <c r="D10" s="4"/>
    </row>
    <row r="11" spans="1:5" x14ac:dyDescent="0.25">
      <c r="A11" s="1" t="s">
        <v>6</v>
      </c>
      <c r="B11" s="4" t="s">
        <v>7</v>
      </c>
      <c r="C11" s="5" t="e">
        <f ca="1">FIND(B11,B4)</f>
        <v>#VALUE!</v>
      </c>
    </row>
    <row r="13" spans="1:5" x14ac:dyDescent="0.25">
      <c r="B13" s="6" t="e">
        <f ca="1">MID(B4,C6+2+E6+E7,C9-E7-2)</f>
        <v>#VALUE!</v>
      </c>
    </row>
    <row r="14" spans="1:5" x14ac:dyDescent="0.25">
      <c r="A14" s="4"/>
      <c r="B14" s="4" t="e">
        <f ca="1">LEFT(B13,6)</f>
        <v>#VALUE!</v>
      </c>
    </row>
    <row r="15" spans="1:5" x14ac:dyDescent="0.25">
      <c r="A15" s="1"/>
      <c r="B15" s="2" t="e">
        <f ca="1">RIGHT(B13,4)</f>
        <v>#VALUE!</v>
      </c>
    </row>
    <row r="16" spans="1:5" x14ac:dyDescent="0.25">
      <c r="A16" s="1"/>
    </row>
    <row r="17" spans="1:18" x14ac:dyDescent="0.25">
      <c r="A17" s="1"/>
    </row>
    <row r="19" spans="1:18" x14ac:dyDescent="0.25">
      <c r="A19" s="7" t="s">
        <v>8</v>
      </c>
    </row>
    <row r="20" spans="1:18" x14ac:dyDescent="0.25">
      <c r="A20" s="3" t="s">
        <v>9</v>
      </c>
      <c r="B20" s="3" t="s">
        <v>174</v>
      </c>
      <c r="C20" s="2">
        <f>LEN(B20)</f>
        <v>130</v>
      </c>
    </row>
    <row r="23" spans="1:18" x14ac:dyDescent="0.25">
      <c r="A23" s="1"/>
      <c r="B23" s="1"/>
      <c r="C23" s="2">
        <f>SUM(C20:C22)</f>
        <v>130</v>
      </c>
    </row>
    <row r="24" spans="1:18" x14ac:dyDescent="0.25">
      <c r="A24" s="1"/>
      <c r="B24" s="1"/>
    </row>
    <row r="25" spans="1:18" x14ac:dyDescent="0.25">
      <c r="A25" s="1"/>
      <c r="B25" s="1"/>
    </row>
    <row r="26" spans="1:18" x14ac:dyDescent="0.25">
      <c r="A26" s="1"/>
      <c r="B26" s="2" t="str">
        <f>B20&amp;"\"</f>
        <v>C:\Users\Alex\Centri\4. Production - Documents\WFEffectiveness\4.1.1 AGED CARE\01 Christadelphian Aged Care\240715\FACILITIES\ASHB\</v>
      </c>
    </row>
    <row r="27" spans="1:18" x14ac:dyDescent="0.25">
      <c r="A27" s="1"/>
      <c r="B27" s="1"/>
    </row>
    <row r="28" spans="1:18" ht="15" x14ac:dyDescent="0.25">
      <c r="A28" s="8"/>
      <c r="B28" s="8"/>
      <c r="M28" s="9" t="s">
        <v>10</v>
      </c>
      <c r="N28" s="9"/>
      <c r="O28" s="9"/>
      <c r="P28" s="9"/>
      <c r="Q28" s="9"/>
      <c r="R28" s="9"/>
    </row>
    <row r="29" spans="1:18" x14ac:dyDescent="0.25">
      <c r="A29" s="2" t="s">
        <v>11</v>
      </c>
      <c r="M29" s="9" t="s">
        <v>12</v>
      </c>
      <c r="N29" s="9"/>
      <c r="O29" s="9"/>
      <c r="P29" s="9"/>
      <c r="Q29" s="9"/>
      <c r="R29" s="9"/>
    </row>
    <row r="30" spans="1:18" x14ac:dyDescent="0.25">
      <c r="A30" s="10"/>
      <c r="B30" s="10"/>
      <c r="M30" s="9" t="s">
        <v>13</v>
      </c>
      <c r="N30" s="9"/>
      <c r="O30" s="9"/>
      <c r="P30" s="9"/>
      <c r="Q30" s="9"/>
      <c r="R30" s="9"/>
    </row>
    <row r="31" spans="1:18" x14ac:dyDescent="0.25">
      <c r="A31" s="4"/>
      <c r="B31" s="4"/>
      <c r="M31" s="9" t="s">
        <v>13</v>
      </c>
      <c r="N31" s="9"/>
      <c r="O31" s="9"/>
      <c r="P31" s="9"/>
      <c r="Q31" s="9"/>
      <c r="R31" s="9"/>
    </row>
    <row r="32" spans="1:18" x14ac:dyDescent="0.25">
      <c r="M32" s="9" t="s">
        <v>14</v>
      </c>
      <c r="N32" s="9"/>
      <c r="O32" s="9"/>
      <c r="P32" s="9"/>
      <c r="Q32" s="9"/>
      <c r="R32" s="9"/>
    </row>
    <row r="33" spans="2:2" x14ac:dyDescent="0.25">
      <c r="B33" s="6"/>
    </row>
    <row r="35" spans="2:2" x14ac:dyDescent="0.25">
      <c r="B35" s="2" t="s">
        <v>15</v>
      </c>
    </row>
    <row r="36" spans="2:2" x14ac:dyDescent="0.25">
      <c r="B36" s="2" t="str">
        <f>B20</f>
        <v>C:\Users\Alex\Centri\4. Production - Documents\WFEffectiveness\4.1.1 AGED CARE\01 Christadelphian Aged Care\240715\FACILITIES\ASHB</v>
      </c>
    </row>
    <row r="43" spans="2:2" x14ac:dyDescent="0.25">
      <c r="B43" s="2" t="s">
        <v>58</v>
      </c>
    </row>
    <row r="44" spans="2:2" x14ac:dyDescent="0.25">
      <c r="B44" s="2">
        <v>10</v>
      </c>
    </row>
    <row r="49" spans="2:2" x14ac:dyDescent="0.25">
      <c r="B49" s="1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9B99-4E78-47E3-A5EB-0D2FB77EFDAE}">
  <dimension ref="A1:AV98"/>
  <sheetViews>
    <sheetView workbookViewId="0">
      <selection activeCell="L19" sqref="L19"/>
    </sheetView>
  </sheetViews>
  <sheetFormatPr defaultRowHeight="15" x14ac:dyDescent="0.25"/>
  <cols>
    <col min="1" max="1" width="12.85546875" bestFit="1" customWidth="1"/>
    <col min="2" max="2" width="28" bestFit="1" customWidth="1"/>
    <col min="3" max="3" width="7.28515625" bestFit="1" customWidth="1"/>
    <col min="4" max="4" width="5.140625" bestFit="1" customWidth="1"/>
    <col min="5" max="5" width="20.7109375" bestFit="1" customWidth="1"/>
    <col min="6" max="6" width="26.28515625" bestFit="1" customWidth="1"/>
    <col min="7" max="7" width="13" bestFit="1" customWidth="1"/>
    <col min="8" max="8" width="12.85546875" bestFit="1" customWidth="1"/>
    <col min="9" max="9" width="15.7109375" bestFit="1" customWidth="1"/>
    <col min="10" max="10" width="12.140625" bestFit="1" customWidth="1"/>
    <col min="11" max="11" width="12" bestFit="1" customWidth="1"/>
    <col min="12" max="12" width="14.7109375" bestFit="1" customWidth="1"/>
    <col min="13" max="13" width="13.140625" bestFit="1" customWidth="1"/>
    <col min="14" max="14" width="13" bestFit="1" customWidth="1"/>
    <col min="15" max="15" width="15.85546875" bestFit="1" customWidth="1"/>
    <col min="16" max="16" width="12.140625" bestFit="1" customWidth="1"/>
    <col min="17" max="17" width="12" bestFit="1" customWidth="1"/>
    <col min="18" max="18" width="14.7109375" bestFit="1" customWidth="1"/>
    <col min="19" max="19" width="11.140625" bestFit="1" customWidth="1"/>
    <col min="20" max="20" width="11" bestFit="1" customWidth="1"/>
    <col min="21" max="21" width="13.7109375" bestFit="1" customWidth="1"/>
    <col min="22" max="22" width="11.5703125" bestFit="1" customWidth="1"/>
    <col min="23" max="23" width="11.42578125" bestFit="1" customWidth="1"/>
    <col min="24" max="24" width="14.140625" bestFit="1" customWidth="1"/>
    <col min="25" max="25" width="12.140625" bestFit="1" customWidth="1"/>
    <col min="26" max="26" width="12" bestFit="1" customWidth="1"/>
    <col min="27" max="27" width="14.7109375" bestFit="1" customWidth="1"/>
    <col min="28" max="28" width="14.7109375" customWidth="1"/>
    <col min="29" max="29" width="13.85546875" bestFit="1" customWidth="1"/>
    <col min="30" max="30" width="16.7109375" bestFit="1" customWidth="1"/>
    <col min="31" max="31" width="13.140625" bestFit="1" customWidth="1"/>
    <col min="32" max="32" width="13" bestFit="1" customWidth="1"/>
    <col min="33" max="33" width="15.85546875" bestFit="1" customWidth="1"/>
    <col min="34" max="34" width="14.140625" bestFit="1" customWidth="1"/>
    <col min="35" max="35" width="14" bestFit="1" customWidth="1"/>
    <col min="36" max="36" width="17.85546875" bestFit="1" customWidth="1"/>
    <col min="37" max="37" width="14.140625" bestFit="1" customWidth="1"/>
    <col min="38" max="38" width="14.7109375" customWidth="1"/>
    <col min="39" max="39" width="16.85546875" bestFit="1" customWidth="1"/>
    <col min="40" max="40" width="13.140625" bestFit="1" customWidth="1"/>
    <col min="41" max="41" width="13" bestFit="1" customWidth="1"/>
    <col min="42" max="42" width="15.85546875" bestFit="1" customWidth="1"/>
    <col min="43" max="43" width="13.5703125" bestFit="1" customWidth="1"/>
    <col min="44" max="44" width="13.42578125" bestFit="1" customWidth="1"/>
    <col min="45" max="45" width="16.28515625" bestFit="1" customWidth="1"/>
    <col min="46" max="46" width="14.85546875" bestFit="1" customWidth="1"/>
    <col min="47" max="47" width="14.7109375" customWidth="1"/>
    <col min="48" max="48" width="18.28515625" bestFit="1" customWidth="1"/>
    <col min="49" max="49" width="14" bestFit="1" customWidth="1"/>
    <col min="50" max="50" width="13.85546875" bestFit="1" customWidth="1"/>
    <col min="51" max="51" width="16.7109375" bestFit="1" customWidth="1"/>
    <col min="52" max="52" width="13.140625" bestFit="1" customWidth="1"/>
    <col min="53" max="53" width="13" bestFit="1" customWidth="1"/>
    <col min="54" max="54" width="15.85546875" bestFit="1" customWidth="1"/>
    <col min="55" max="55" width="14.140625" bestFit="1" customWidth="1"/>
    <col min="56" max="56" width="14" bestFit="1" customWidth="1"/>
    <col min="57" max="57" width="17.85546875" bestFit="1" customWidth="1"/>
    <col min="58" max="58" width="14.140625" bestFit="1" customWidth="1"/>
    <col min="59" max="59" width="14" bestFit="1" customWidth="1"/>
    <col min="60" max="60" width="16.85546875" bestFit="1" customWidth="1"/>
    <col min="61" max="61" width="13.140625" bestFit="1" customWidth="1"/>
    <col min="62" max="62" width="13" bestFit="1" customWidth="1"/>
    <col min="63" max="63" width="15.85546875" bestFit="1" customWidth="1"/>
    <col min="64" max="64" width="13.5703125" bestFit="1" customWidth="1"/>
    <col min="65" max="65" width="13.42578125" bestFit="1" customWidth="1"/>
    <col min="66" max="66" width="16.28515625" bestFit="1" customWidth="1"/>
    <col min="67" max="67" width="14.140625" bestFit="1" customWidth="1"/>
    <col min="68" max="68" width="14" bestFit="1" customWidth="1"/>
    <col min="69" max="69" width="16.85546875" bestFit="1" customWidth="1"/>
    <col min="70" max="70" width="13" bestFit="1" customWidth="1"/>
    <col min="71" max="71" width="12.85546875" bestFit="1" customWidth="1"/>
    <col min="72" max="72" width="15.7109375" bestFit="1" customWidth="1"/>
    <col min="73" max="73" width="12.140625" bestFit="1" customWidth="1"/>
    <col min="74" max="74" width="12" bestFit="1" customWidth="1"/>
    <col min="75" max="75" width="14.7109375" customWidth="1"/>
    <col min="76" max="76" width="13.140625" bestFit="1" customWidth="1"/>
    <col min="77" max="77" width="13" bestFit="1" customWidth="1"/>
    <col min="78" max="78" width="15.85546875" bestFit="1" customWidth="1"/>
    <col min="79" max="79" width="12.140625" bestFit="1" customWidth="1"/>
    <col min="80" max="80" width="12" bestFit="1" customWidth="1"/>
    <col min="81" max="81" width="14.7109375" customWidth="1"/>
    <col min="82" max="82" width="11.140625" bestFit="1" customWidth="1"/>
    <col min="83" max="83" width="11" bestFit="1" customWidth="1"/>
    <col min="84" max="84" width="13.7109375" bestFit="1" customWidth="1"/>
    <col min="85" max="85" width="11.5703125" bestFit="1" customWidth="1"/>
    <col min="86" max="86" width="11.42578125" bestFit="1" customWidth="1"/>
    <col min="87" max="87" width="14.140625" bestFit="1" customWidth="1"/>
    <col min="88" max="88" width="12.140625" bestFit="1" customWidth="1"/>
    <col min="89" max="89" width="12" bestFit="1" customWidth="1"/>
    <col min="90" max="90" width="14.7109375" customWidth="1"/>
    <col min="91" max="91" width="14" bestFit="1" customWidth="1"/>
    <col min="92" max="92" width="13.85546875" bestFit="1" customWidth="1"/>
    <col min="93" max="93" width="16.7109375" bestFit="1" customWidth="1"/>
    <col min="94" max="94" width="13.140625" bestFit="1" customWidth="1"/>
    <col min="95" max="95" width="13" bestFit="1" customWidth="1"/>
    <col min="96" max="96" width="15.85546875" bestFit="1" customWidth="1"/>
    <col min="97" max="97" width="14.140625" bestFit="1" customWidth="1"/>
    <col min="98" max="98" width="14" bestFit="1" customWidth="1"/>
    <col min="99" max="99" width="17.85546875" bestFit="1" customWidth="1"/>
    <col min="100" max="100" width="14.140625" bestFit="1" customWidth="1"/>
    <col min="101" max="101" width="14" bestFit="1" customWidth="1"/>
    <col min="102" max="102" width="16.85546875" bestFit="1" customWidth="1"/>
    <col min="103" max="103" width="13.140625" bestFit="1" customWidth="1"/>
    <col min="104" max="104" width="13" bestFit="1" customWidth="1"/>
    <col min="105" max="105" width="15.85546875" bestFit="1" customWidth="1"/>
    <col min="106" max="106" width="13.5703125" bestFit="1" customWidth="1"/>
    <col min="107" max="107" width="13.42578125" bestFit="1" customWidth="1"/>
    <col min="108" max="108" width="16.28515625" bestFit="1" customWidth="1"/>
    <col min="109" max="109" width="14.140625" bestFit="1" customWidth="1"/>
    <col min="110" max="110" width="14" bestFit="1" customWidth="1"/>
    <col min="111" max="111" width="16.85546875" bestFit="1" customWidth="1"/>
    <col min="112" max="112" width="11.42578125" bestFit="1" customWidth="1"/>
    <col min="113" max="113" width="14.140625" bestFit="1" customWidth="1"/>
    <col min="114" max="114" width="12.140625" bestFit="1" customWidth="1"/>
    <col min="115" max="115" width="12" bestFit="1" customWidth="1"/>
    <col min="116" max="116" width="14.7109375" bestFit="1" customWidth="1"/>
    <col min="117" max="117" width="11.140625" bestFit="1" customWidth="1"/>
    <col min="118" max="118" width="13" bestFit="1" customWidth="1"/>
    <col min="119" max="119" width="12.85546875" bestFit="1" customWidth="1"/>
    <col min="120" max="120" width="15.7109375" bestFit="1" customWidth="1"/>
    <col min="121" max="121" width="12.140625" bestFit="1" customWidth="1"/>
    <col min="122" max="122" width="12" bestFit="1" customWidth="1"/>
    <col min="123" max="123" width="14.7109375" bestFit="1" customWidth="1"/>
    <col min="124" max="124" width="13.140625" bestFit="1" customWidth="1"/>
    <col min="125" max="125" width="13" bestFit="1" customWidth="1"/>
    <col min="126" max="126" width="15.85546875" bestFit="1" customWidth="1"/>
    <col min="127" max="127" width="12.140625" bestFit="1" customWidth="1"/>
    <col min="128" max="128" width="12" bestFit="1" customWidth="1"/>
    <col min="129" max="129" width="14.7109375" bestFit="1" customWidth="1"/>
    <col min="130" max="130" width="11.140625" bestFit="1" customWidth="1"/>
    <col min="131" max="131" width="11" bestFit="1" customWidth="1"/>
    <col min="132" max="132" width="13.7109375" bestFit="1" customWidth="1"/>
    <col min="133" max="133" width="11.5703125" bestFit="1" customWidth="1"/>
    <col min="134" max="134" width="11.42578125" bestFit="1" customWidth="1"/>
    <col min="135" max="135" width="14.140625" bestFit="1" customWidth="1"/>
    <col min="136" max="136" width="12.140625" bestFit="1" customWidth="1"/>
    <col min="137" max="137" width="12" bestFit="1" customWidth="1"/>
    <col min="138" max="138" width="14.7109375" bestFit="1" customWidth="1"/>
    <col min="139" max="139" width="12.140625" bestFit="1" customWidth="1"/>
    <col min="140" max="140" width="12" bestFit="1" customWidth="1"/>
    <col min="141" max="141" width="14.7109375" bestFit="1" customWidth="1"/>
    <col min="142" max="142" width="12.140625" bestFit="1" customWidth="1"/>
    <col min="143" max="143" width="12" bestFit="1" customWidth="1"/>
    <col min="144" max="144" width="14.7109375" bestFit="1" customWidth="1"/>
  </cols>
  <sheetData>
    <row r="1" spans="1:48" x14ac:dyDescent="0.25">
      <c r="A1" t="s">
        <v>17</v>
      </c>
      <c r="B1" t="s">
        <v>62</v>
      </c>
      <c r="C1" t="s">
        <v>16</v>
      </c>
      <c r="D1" t="s">
        <v>63</v>
      </c>
      <c r="E1" t="s">
        <v>64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153</v>
      </c>
      <c r="AC1" t="s">
        <v>154</v>
      </c>
      <c r="AD1" t="s">
        <v>155</v>
      </c>
      <c r="AE1" t="s">
        <v>156</v>
      </c>
      <c r="AF1" t="s">
        <v>157</v>
      </c>
      <c r="AG1" t="s">
        <v>158</v>
      </c>
      <c r="AH1" t="s">
        <v>159</v>
      </c>
      <c r="AI1" t="s">
        <v>160</v>
      </c>
      <c r="AJ1" t="s">
        <v>161</v>
      </c>
      <c r="AK1" t="s">
        <v>162</v>
      </c>
      <c r="AL1" t="s">
        <v>163</v>
      </c>
      <c r="AM1" t="s">
        <v>164</v>
      </c>
      <c r="AN1" t="s">
        <v>165</v>
      </c>
      <c r="AO1" t="s">
        <v>166</v>
      </c>
      <c r="AP1" t="s">
        <v>167</v>
      </c>
      <c r="AQ1" t="s">
        <v>168</v>
      </c>
      <c r="AR1" t="s">
        <v>169</v>
      </c>
      <c r="AS1" t="s">
        <v>170</v>
      </c>
      <c r="AT1" t="s">
        <v>171</v>
      </c>
      <c r="AU1" t="s">
        <v>172</v>
      </c>
      <c r="AV1" t="s">
        <v>173</v>
      </c>
    </row>
    <row r="2" spans="1:48" x14ac:dyDescent="0.25">
      <c r="A2">
        <v>237164</v>
      </c>
      <c r="B2" t="s">
        <v>65</v>
      </c>
      <c r="C2" t="s">
        <v>66</v>
      </c>
      <c r="P2" t="s">
        <v>41</v>
      </c>
      <c r="Q2" t="s">
        <v>41</v>
      </c>
      <c r="AB2" t="s">
        <v>41</v>
      </c>
    </row>
    <row r="3" spans="1:48" x14ac:dyDescent="0.25">
      <c r="B3" t="s">
        <v>76</v>
      </c>
      <c r="C3" t="s">
        <v>66</v>
      </c>
      <c r="L3" t="s">
        <v>41</v>
      </c>
      <c r="AG3" t="s">
        <v>41</v>
      </c>
      <c r="AL3" t="s">
        <v>41</v>
      </c>
      <c r="AV3" t="s">
        <v>41</v>
      </c>
    </row>
    <row r="4" spans="1:48" x14ac:dyDescent="0.25">
      <c r="B4" t="s">
        <v>80</v>
      </c>
      <c r="C4" t="s">
        <v>66</v>
      </c>
      <c r="Y4" t="s">
        <v>41</v>
      </c>
      <c r="AT4" t="s">
        <v>41</v>
      </c>
    </row>
    <row r="5" spans="1:48" x14ac:dyDescent="0.25">
      <c r="B5" t="s">
        <v>88</v>
      </c>
      <c r="C5" t="s">
        <v>66</v>
      </c>
      <c r="J5" t="s">
        <v>41</v>
      </c>
      <c r="N5" t="s">
        <v>41</v>
      </c>
      <c r="P5" t="s">
        <v>41</v>
      </c>
      <c r="S5" t="s">
        <v>41</v>
      </c>
      <c r="Y5" t="s">
        <v>41</v>
      </c>
      <c r="AB5" t="s">
        <v>41</v>
      </c>
      <c r="AE5" t="s">
        <v>41</v>
      </c>
      <c r="AK5" t="s">
        <v>41</v>
      </c>
      <c r="AT5" t="s">
        <v>41</v>
      </c>
    </row>
    <row r="6" spans="1:48" x14ac:dyDescent="0.25">
      <c r="B6" t="s">
        <v>101</v>
      </c>
      <c r="C6" t="s">
        <v>66</v>
      </c>
      <c r="G6" t="s">
        <v>41</v>
      </c>
      <c r="H6" t="s">
        <v>41</v>
      </c>
      <c r="J6" t="s">
        <v>41</v>
      </c>
      <c r="K6" t="s">
        <v>41</v>
      </c>
      <c r="V6" t="s">
        <v>41</v>
      </c>
      <c r="W6" t="s">
        <v>41</v>
      </c>
      <c r="Y6" t="s">
        <v>41</v>
      </c>
      <c r="Z6" t="s">
        <v>41</v>
      </c>
      <c r="AB6" t="s">
        <v>41</v>
      </c>
      <c r="AC6" t="s">
        <v>41</v>
      </c>
      <c r="AE6" t="s">
        <v>41</v>
      </c>
      <c r="AF6" t="s">
        <v>41</v>
      </c>
      <c r="AQ6" t="s">
        <v>41</v>
      </c>
    </row>
    <row r="7" spans="1:48" x14ac:dyDescent="0.25">
      <c r="B7" t="s">
        <v>88</v>
      </c>
      <c r="C7" t="s">
        <v>133</v>
      </c>
      <c r="AI7" t="s">
        <v>41</v>
      </c>
      <c r="AN7" t="s">
        <v>41</v>
      </c>
    </row>
    <row r="8" spans="1:48" x14ac:dyDescent="0.25">
      <c r="B8" t="s">
        <v>109</v>
      </c>
      <c r="C8" t="s">
        <v>66</v>
      </c>
      <c r="G8" t="s">
        <v>41</v>
      </c>
      <c r="H8" t="s">
        <v>41</v>
      </c>
      <c r="J8" t="s">
        <v>41</v>
      </c>
      <c r="W8" t="s">
        <v>41</v>
      </c>
      <c r="Y8" t="s">
        <v>41</v>
      </c>
      <c r="Z8" t="s">
        <v>41</v>
      </c>
      <c r="AB8" t="s">
        <v>41</v>
      </c>
      <c r="AC8" t="s">
        <v>41</v>
      </c>
      <c r="AE8" t="s">
        <v>41</v>
      </c>
      <c r="AF8" t="s">
        <v>41</v>
      </c>
      <c r="AH8" t="s">
        <v>41</v>
      </c>
      <c r="AI8" t="s">
        <v>41</v>
      </c>
      <c r="AQ8" t="s">
        <v>41</v>
      </c>
      <c r="AR8" t="s">
        <v>41</v>
      </c>
      <c r="AT8" t="s">
        <v>41</v>
      </c>
      <c r="AU8" t="s">
        <v>41</v>
      </c>
    </row>
    <row r="9" spans="1:48" x14ac:dyDescent="0.25">
      <c r="B9" t="s">
        <v>179</v>
      </c>
      <c r="C9" t="s">
        <v>66</v>
      </c>
      <c r="G9" t="s">
        <v>41</v>
      </c>
      <c r="H9" t="s">
        <v>41</v>
      </c>
      <c r="I9" t="s">
        <v>41</v>
      </c>
      <c r="K9" t="s">
        <v>41</v>
      </c>
      <c r="N9" t="s">
        <v>41</v>
      </c>
      <c r="Q9" t="s">
        <v>41</v>
      </c>
      <c r="U9" t="s">
        <v>41</v>
      </c>
      <c r="X9" t="s">
        <v>41</v>
      </c>
      <c r="AB9" t="s">
        <v>41</v>
      </c>
      <c r="AC9" t="s">
        <v>41</v>
      </c>
      <c r="AD9" t="s">
        <v>41</v>
      </c>
      <c r="AF9" t="s">
        <v>41</v>
      </c>
      <c r="AI9" t="s">
        <v>41</v>
      </c>
      <c r="AL9" t="s">
        <v>41</v>
      </c>
      <c r="AP9" t="s">
        <v>41</v>
      </c>
      <c r="AS9" t="s">
        <v>41</v>
      </c>
    </row>
    <row r="10" spans="1:48" x14ac:dyDescent="0.25">
      <c r="A10">
        <v>236456</v>
      </c>
      <c r="B10" t="s">
        <v>67</v>
      </c>
      <c r="C10" t="s">
        <v>66</v>
      </c>
      <c r="K10" t="s">
        <v>41</v>
      </c>
      <c r="N10" t="s">
        <v>41</v>
      </c>
      <c r="P10" t="s">
        <v>41</v>
      </c>
      <c r="S10" t="s">
        <v>41</v>
      </c>
      <c r="AF10" t="s">
        <v>41</v>
      </c>
      <c r="AI10" t="s">
        <v>41</v>
      </c>
      <c r="AK10" t="s">
        <v>41</v>
      </c>
      <c r="AN10" t="s">
        <v>41</v>
      </c>
    </row>
    <row r="11" spans="1:48" x14ac:dyDescent="0.25">
      <c r="B11" t="s">
        <v>68</v>
      </c>
      <c r="C11" t="s">
        <v>66</v>
      </c>
      <c r="J11" t="s">
        <v>41</v>
      </c>
      <c r="K11" t="s">
        <v>41</v>
      </c>
      <c r="M11" t="s">
        <v>41</v>
      </c>
      <c r="N11" t="s">
        <v>41</v>
      </c>
      <c r="P11" t="s">
        <v>41</v>
      </c>
      <c r="Q11" t="s">
        <v>41</v>
      </c>
      <c r="S11" t="s">
        <v>41</v>
      </c>
      <c r="T11" t="s">
        <v>41</v>
      </c>
      <c r="V11" t="s">
        <v>41</v>
      </c>
      <c r="W11" t="s">
        <v>41</v>
      </c>
      <c r="Y11" t="s">
        <v>41</v>
      </c>
      <c r="Z11" t="s">
        <v>41</v>
      </c>
      <c r="AE11" t="s">
        <v>41</v>
      </c>
      <c r="AF11" t="s">
        <v>41</v>
      </c>
      <c r="AH11" t="s">
        <v>41</v>
      </c>
      <c r="AI11" t="s">
        <v>41</v>
      </c>
      <c r="AK11" t="s">
        <v>41</v>
      </c>
      <c r="AL11" t="s">
        <v>41</v>
      </c>
      <c r="AN11" t="s">
        <v>41</v>
      </c>
      <c r="AO11" t="s">
        <v>41</v>
      </c>
      <c r="AQ11" t="s">
        <v>41</v>
      </c>
      <c r="AR11" t="s">
        <v>41</v>
      </c>
      <c r="AT11" t="s">
        <v>41</v>
      </c>
      <c r="AU11" t="s">
        <v>41</v>
      </c>
    </row>
    <row r="12" spans="1:48" x14ac:dyDescent="0.25">
      <c r="B12" t="s">
        <v>69</v>
      </c>
      <c r="C12" t="s">
        <v>66</v>
      </c>
      <c r="O12" t="s">
        <v>41</v>
      </c>
      <c r="R12" t="s">
        <v>41</v>
      </c>
      <c r="U12" t="s">
        <v>41</v>
      </c>
      <c r="AJ12" t="s">
        <v>41</v>
      </c>
      <c r="AM12" t="s">
        <v>41</v>
      </c>
      <c r="AP12" t="s">
        <v>41</v>
      </c>
    </row>
    <row r="13" spans="1:48" x14ac:dyDescent="0.25">
      <c r="B13" t="s">
        <v>175</v>
      </c>
      <c r="C13" t="s">
        <v>66</v>
      </c>
      <c r="G13" t="s">
        <v>41</v>
      </c>
      <c r="M13" t="s">
        <v>41</v>
      </c>
      <c r="V13" t="s">
        <v>41</v>
      </c>
      <c r="Y13" t="s">
        <v>41</v>
      </c>
      <c r="Z13" t="s">
        <v>41</v>
      </c>
      <c r="AB13" t="s">
        <v>41</v>
      </c>
      <c r="AH13" t="s">
        <v>41</v>
      </c>
      <c r="AQ13" t="s">
        <v>41</v>
      </c>
      <c r="AT13" t="s">
        <v>41</v>
      </c>
      <c r="AU13" t="s">
        <v>41</v>
      </c>
    </row>
    <row r="14" spans="1:48" x14ac:dyDescent="0.25">
      <c r="B14" t="s">
        <v>70</v>
      </c>
      <c r="C14" t="s">
        <v>66</v>
      </c>
      <c r="X14" t="s">
        <v>41</v>
      </c>
      <c r="AA14" t="s">
        <v>41</v>
      </c>
      <c r="AS14" t="s">
        <v>41</v>
      </c>
      <c r="AV14" t="s">
        <v>41</v>
      </c>
    </row>
    <row r="15" spans="1:48" x14ac:dyDescent="0.25">
      <c r="B15" t="s">
        <v>71</v>
      </c>
      <c r="C15" t="s">
        <v>66</v>
      </c>
      <c r="H15" t="s">
        <v>41</v>
      </c>
      <c r="P15" t="s">
        <v>41</v>
      </c>
      <c r="S15" t="s">
        <v>41</v>
      </c>
      <c r="V15" t="s">
        <v>41</v>
      </c>
      <c r="Z15" t="s">
        <v>41</v>
      </c>
      <c r="AC15" t="s">
        <v>41</v>
      </c>
      <c r="AK15" t="s">
        <v>41</v>
      </c>
      <c r="AN15" t="s">
        <v>41</v>
      </c>
      <c r="AQ15" t="s">
        <v>41</v>
      </c>
      <c r="AU15" t="s">
        <v>41</v>
      </c>
    </row>
    <row r="16" spans="1:48" x14ac:dyDescent="0.25">
      <c r="B16" t="s">
        <v>72</v>
      </c>
      <c r="C16" t="s">
        <v>66</v>
      </c>
      <c r="K16" t="s">
        <v>41</v>
      </c>
      <c r="N16" t="s">
        <v>41</v>
      </c>
      <c r="Q16" t="s">
        <v>41</v>
      </c>
      <c r="AF16" t="s">
        <v>41</v>
      </c>
      <c r="AI16" t="s">
        <v>41</v>
      </c>
      <c r="AL16" t="s">
        <v>41</v>
      </c>
    </row>
    <row r="17" spans="2:48" x14ac:dyDescent="0.25">
      <c r="B17" t="s">
        <v>73</v>
      </c>
      <c r="C17" t="s">
        <v>66</v>
      </c>
      <c r="G17" t="s">
        <v>41</v>
      </c>
      <c r="J17" t="s">
        <v>41</v>
      </c>
      <c r="N17" t="s">
        <v>41</v>
      </c>
      <c r="P17" t="s">
        <v>41</v>
      </c>
      <c r="S17" t="s">
        <v>41</v>
      </c>
      <c r="AB17" t="s">
        <v>41</v>
      </c>
      <c r="AE17" t="s">
        <v>41</v>
      </c>
      <c r="AI17" t="s">
        <v>41</v>
      </c>
      <c r="AK17" t="s">
        <v>41</v>
      </c>
      <c r="AN17" t="s">
        <v>41</v>
      </c>
    </row>
    <row r="18" spans="2:48" x14ac:dyDescent="0.25">
      <c r="B18" t="s">
        <v>74</v>
      </c>
      <c r="C18" t="s">
        <v>66</v>
      </c>
      <c r="H18" t="s">
        <v>41</v>
      </c>
      <c r="K18" t="s">
        <v>41</v>
      </c>
      <c r="M18" t="s">
        <v>41</v>
      </c>
      <c r="T18" t="s">
        <v>41</v>
      </c>
      <c r="W18" t="s">
        <v>41</v>
      </c>
      <c r="AC18" t="s">
        <v>41</v>
      </c>
      <c r="AF18" t="s">
        <v>41</v>
      </c>
      <c r="AH18" t="s">
        <v>41</v>
      </c>
      <c r="AO18" t="s">
        <v>41</v>
      </c>
      <c r="AR18" t="s">
        <v>41</v>
      </c>
    </row>
    <row r="19" spans="2:48" x14ac:dyDescent="0.25">
      <c r="B19" t="s">
        <v>135</v>
      </c>
      <c r="C19" t="s">
        <v>133</v>
      </c>
      <c r="G19" t="s">
        <v>41</v>
      </c>
      <c r="K19" t="s">
        <v>41</v>
      </c>
      <c r="N19" t="s">
        <v>41</v>
      </c>
      <c r="P19" t="s">
        <v>41</v>
      </c>
      <c r="Q19" t="s">
        <v>41</v>
      </c>
      <c r="S19" t="s">
        <v>41</v>
      </c>
      <c r="T19" t="s">
        <v>41</v>
      </c>
      <c r="W19" t="s">
        <v>41</v>
      </c>
      <c r="Z19" t="s">
        <v>41</v>
      </c>
      <c r="AB19" t="s">
        <v>41</v>
      </c>
      <c r="AF19" t="s">
        <v>41</v>
      </c>
      <c r="AI19" t="s">
        <v>41</v>
      </c>
      <c r="AK19" t="s">
        <v>41</v>
      </c>
      <c r="AL19" t="s">
        <v>41</v>
      </c>
      <c r="AN19" t="s">
        <v>41</v>
      </c>
      <c r="AO19" t="s">
        <v>41</v>
      </c>
      <c r="AR19" t="s">
        <v>41</v>
      </c>
      <c r="AU19" t="s">
        <v>41</v>
      </c>
    </row>
    <row r="20" spans="2:48" x14ac:dyDescent="0.25">
      <c r="B20" t="s">
        <v>75</v>
      </c>
      <c r="C20" t="s">
        <v>66</v>
      </c>
      <c r="P20" t="s">
        <v>41</v>
      </c>
      <c r="S20" t="s">
        <v>41</v>
      </c>
      <c r="Z20" t="s">
        <v>41</v>
      </c>
      <c r="AB20" t="s">
        <v>41</v>
      </c>
      <c r="AK20" t="s">
        <v>41</v>
      </c>
      <c r="AO20" t="s">
        <v>41</v>
      </c>
      <c r="AQ20" t="s">
        <v>41</v>
      </c>
    </row>
    <row r="21" spans="2:48" x14ac:dyDescent="0.25">
      <c r="B21" t="s">
        <v>77</v>
      </c>
      <c r="C21" t="s">
        <v>66</v>
      </c>
      <c r="X21" t="s">
        <v>41</v>
      </c>
      <c r="AA21" t="s">
        <v>41</v>
      </c>
      <c r="AS21" t="s">
        <v>41</v>
      </c>
      <c r="AV21" t="s">
        <v>41</v>
      </c>
    </row>
    <row r="22" spans="2:48" x14ac:dyDescent="0.25">
      <c r="B22" t="s">
        <v>78</v>
      </c>
      <c r="C22" t="s">
        <v>66</v>
      </c>
      <c r="J22" t="s">
        <v>41</v>
      </c>
      <c r="M22" t="s">
        <v>41</v>
      </c>
      <c r="P22" t="s">
        <v>41</v>
      </c>
      <c r="S22" t="s">
        <v>41</v>
      </c>
      <c r="V22" t="s">
        <v>41</v>
      </c>
      <c r="AE22" t="s">
        <v>41</v>
      </c>
      <c r="AH22" t="s">
        <v>41</v>
      </c>
      <c r="AK22" t="s">
        <v>41</v>
      </c>
      <c r="AN22" t="s">
        <v>41</v>
      </c>
      <c r="AQ22" t="s">
        <v>41</v>
      </c>
    </row>
    <row r="23" spans="2:48" x14ac:dyDescent="0.25">
      <c r="B23" t="s">
        <v>79</v>
      </c>
      <c r="C23" t="s">
        <v>66</v>
      </c>
      <c r="H23" t="s">
        <v>41</v>
      </c>
      <c r="K23" t="s">
        <v>41</v>
      </c>
      <c r="T23" t="s">
        <v>41</v>
      </c>
      <c r="W23" t="s">
        <v>41</v>
      </c>
      <c r="Z23" t="s">
        <v>41</v>
      </c>
      <c r="AC23" t="s">
        <v>41</v>
      </c>
      <c r="AF23" t="s">
        <v>41</v>
      </c>
      <c r="AO23" t="s">
        <v>41</v>
      </c>
      <c r="AR23" t="s">
        <v>41</v>
      </c>
      <c r="AU23" t="s">
        <v>41</v>
      </c>
    </row>
    <row r="24" spans="2:48" x14ac:dyDescent="0.25">
      <c r="B24" t="s">
        <v>81</v>
      </c>
      <c r="C24" t="s">
        <v>66</v>
      </c>
      <c r="G24" t="s">
        <v>41</v>
      </c>
      <c r="H24" t="s">
        <v>41</v>
      </c>
      <c r="J24" t="s">
        <v>41</v>
      </c>
      <c r="K24" t="s">
        <v>41</v>
      </c>
      <c r="M24" t="s">
        <v>41</v>
      </c>
      <c r="N24" t="s">
        <v>41</v>
      </c>
      <c r="V24" t="s">
        <v>41</v>
      </c>
      <c r="W24" t="s">
        <v>41</v>
      </c>
      <c r="Y24" t="s">
        <v>41</v>
      </c>
      <c r="Z24" t="s">
        <v>41</v>
      </c>
      <c r="AB24" t="s">
        <v>41</v>
      </c>
      <c r="AC24" t="s">
        <v>41</v>
      </c>
      <c r="AE24" t="s">
        <v>41</v>
      </c>
      <c r="AF24" t="s">
        <v>41</v>
      </c>
      <c r="AH24" t="s">
        <v>41</v>
      </c>
      <c r="AI24" t="s">
        <v>41</v>
      </c>
      <c r="AQ24" t="s">
        <v>41</v>
      </c>
      <c r="AR24" t="s">
        <v>41</v>
      </c>
      <c r="AT24" t="s">
        <v>41</v>
      </c>
      <c r="AU24" t="s">
        <v>41</v>
      </c>
    </row>
    <row r="25" spans="2:48" x14ac:dyDescent="0.25">
      <c r="B25" t="s">
        <v>82</v>
      </c>
      <c r="C25" t="s">
        <v>66</v>
      </c>
      <c r="J25" t="s">
        <v>41</v>
      </c>
      <c r="T25" t="s">
        <v>41</v>
      </c>
      <c r="V25" t="s">
        <v>41</v>
      </c>
      <c r="AE25" t="s">
        <v>41</v>
      </c>
      <c r="AO25" t="s">
        <v>41</v>
      </c>
      <c r="AQ25" t="s">
        <v>41</v>
      </c>
    </row>
    <row r="26" spans="2:48" x14ac:dyDescent="0.25">
      <c r="B26" t="s">
        <v>83</v>
      </c>
      <c r="C26" t="s">
        <v>66</v>
      </c>
      <c r="K26" t="s">
        <v>41</v>
      </c>
      <c r="M26" t="s">
        <v>41</v>
      </c>
      <c r="Q26" t="s">
        <v>41</v>
      </c>
      <c r="T26" t="s">
        <v>41</v>
      </c>
      <c r="AF26" t="s">
        <v>41</v>
      </c>
      <c r="AH26" t="s">
        <v>41</v>
      </c>
      <c r="AL26" t="s">
        <v>41</v>
      </c>
      <c r="AO26" t="s">
        <v>41</v>
      </c>
    </row>
    <row r="27" spans="2:48" x14ac:dyDescent="0.25">
      <c r="B27" t="s">
        <v>84</v>
      </c>
      <c r="C27" t="s">
        <v>66</v>
      </c>
      <c r="N27" t="s">
        <v>41</v>
      </c>
      <c r="Q27" t="s">
        <v>41</v>
      </c>
      <c r="T27" t="s">
        <v>41</v>
      </c>
      <c r="V27" t="s">
        <v>41</v>
      </c>
      <c r="Y27" t="s">
        <v>41</v>
      </c>
      <c r="AI27" t="s">
        <v>41</v>
      </c>
      <c r="AL27" t="s">
        <v>41</v>
      </c>
      <c r="AO27" t="s">
        <v>41</v>
      </c>
      <c r="AQ27" t="s">
        <v>41</v>
      </c>
      <c r="AT27" t="s">
        <v>41</v>
      </c>
    </row>
    <row r="28" spans="2:48" x14ac:dyDescent="0.25">
      <c r="B28" t="s">
        <v>85</v>
      </c>
      <c r="C28" t="s">
        <v>66</v>
      </c>
      <c r="G28" t="s">
        <v>41</v>
      </c>
      <c r="H28" t="s">
        <v>41</v>
      </c>
      <c r="J28" t="s">
        <v>41</v>
      </c>
      <c r="K28" t="s">
        <v>41</v>
      </c>
      <c r="M28" t="s">
        <v>41</v>
      </c>
      <c r="P28" t="s">
        <v>41</v>
      </c>
      <c r="S28" t="s">
        <v>41</v>
      </c>
      <c r="T28" t="s">
        <v>41</v>
      </c>
      <c r="V28" t="s">
        <v>41</v>
      </c>
      <c r="W28" t="s">
        <v>41</v>
      </c>
      <c r="Y28" t="s">
        <v>41</v>
      </c>
      <c r="Z28" t="s">
        <v>41</v>
      </c>
      <c r="AB28" t="s">
        <v>41</v>
      </c>
      <c r="AC28" t="s">
        <v>41</v>
      </c>
      <c r="AE28" t="s">
        <v>41</v>
      </c>
      <c r="AF28" t="s">
        <v>41</v>
      </c>
      <c r="AH28" t="s">
        <v>41</v>
      </c>
      <c r="AK28" t="s">
        <v>41</v>
      </c>
      <c r="AN28" t="s">
        <v>41</v>
      </c>
      <c r="AO28" t="s">
        <v>41</v>
      </c>
      <c r="AQ28" t="s">
        <v>41</v>
      </c>
      <c r="AR28" t="s">
        <v>41</v>
      </c>
      <c r="AT28" t="s">
        <v>41</v>
      </c>
      <c r="AU28" t="s">
        <v>41</v>
      </c>
    </row>
    <row r="29" spans="2:48" x14ac:dyDescent="0.25">
      <c r="B29" t="s">
        <v>86</v>
      </c>
      <c r="C29" t="s">
        <v>66</v>
      </c>
      <c r="J29" t="s">
        <v>41</v>
      </c>
      <c r="M29" t="s">
        <v>41</v>
      </c>
      <c r="P29" t="s">
        <v>41</v>
      </c>
      <c r="S29" t="s">
        <v>41</v>
      </c>
      <c r="V29" t="s">
        <v>41</v>
      </c>
      <c r="AE29" t="s">
        <v>41</v>
      </c>
      <c r="AH29" t="s">
        <v>41</v>
      </c>
      <c r="AK29" t="s">
        <v>41</v>
      </c>
      <c r="AN29" t="s">
        <v>41</v>
      </c>
      <c r="AQ29" t="s">
        <v>41</v>
      </c>
    </row>
    <row r="30" spans="2:48" x14ac:dyDescent="0.25">
      <c r="B30" t="s">
        <v>87</v>
      </c>
      <c r="C30" t="s">
        <v>66</v>
      </c>
      <c r="H30" t="s">
        <v>41</v>
      </c>
      <c r="Q30" t="s">
        <v>41</v>
      </c>
      <c r="T30" t="s">
        <v>41</v>
      </c>
      <c r="W30" t="s">
        <v>41</v>
      </c>
      <c r="Z30" t="s">
        <v>41</v>
      </c>
      <c r="AC30" t="s">
        <v>41</v>
      </c>
      <c r="AL30" t="s">
        <v>41</v>
      </c>
      <c r="AO30" t="s">
        <v>41</v>
      </c>
      <c r="AR30" t="s">
        <v>41</v>
      </c>
      <c r="AU30" t="s">
        <v>41</v>
      </c>
    </row>
    <row r="31" spans="2:48" x14ac:dyDescent="0.25">
      <c r="B31" t="s">
        <v>89</v>
      </c>
      <c r="C31" t="s">
        <v>66</v>
      </c>
      <c r="J31" t="s">
        <v>41</v>
      </c>
      <c r="M31" t="s">
        <v>41</v>
      </c>
      <c r="P31" t="s">
        <v>41</v>
      </c>
      <c r="S31" t="s">
        <v>41</v>
      </c>
      <c r="V31" t="s">
        <v>41</v>
      </c>
      <c r="AE31" t="s">
        <v>41</v>
      </c>
      <c r="AH31" t="s">
        <v>41</v>
      </c>
      <c r="AK31" t="s">
        <v>41</v>
      </c>
      <c r="AN31" t="s">
        <v>41</v>
      </c>
      <c r="AQ31" t="s">
        <v>41</v>
      </c>
    </row>
    <row r="32" spans="2:48" x14ac:dyDescent="0.25">
      <c r="B32" t="s">
        <v>90</v>
      </c>
      <c r="C32" t="s">
        <v>66</v>
      </c>
      <c r="G32" t="s">
        <v>41</v>
      </c>
      <c r="P32" t="s">
        <v>41</v>
      </c>
      <c r="S32" t="s">
        <v>41</v>
      </c>
      <c r="V32" t="s">
        <v>41</v>
      </c>
      <c r="Y32" t="s">
        <v>41</v>
      </c>
      <c r="AB32" t="s">
        <v>41</v>
      </c>
      <c r="AK32" t="s">
        <v>41</v>
      </c>
      <c r="AN32" t="s">
        <v>41</v>
      </c>
      <c r="AQ32" t="s">
        <v>41</v>
      </c>
      <c r="AT32" t="s">
        <v>41</v>
      </c>
    </row>
    <row r="33" spans="2:48" x14ac:dyDescent="0.25">
      <c r="B33" t="s">
        <v>91</v>
      </c>
      <c r="C33" t="s">
        <v>66</v>
      </c>
      <c r="G33" t="s">
        <v>41</v>
      </c>
      <c r="H33" t="s">
        <v>41</v>
      </c>
      <c r="J33" t="s">
        <v>41</v>
      </c>
      <c r="M33" t="s">
        <v>41</v>
      </c>
      <c r="P33" t="s">
        <v>41</v>
      </c>
      <c r="V33" t="s">
        <v>41</v>
      </c>
      <c r="W33" t="s">
        <v>41</v>
      </c>
      <c r="Y33" t="s">
        <v>41</v>
      </c>
      <c r="AB33" t="s">
        <v>41</v>
      </c>
      <c r="AC33" t="s">
        <v>41</v>
      </c>
      <c r="AE33" t="s">
        <v>41</v>
      </c>
      <c r="AH33" t="s">
        <v>41</v>
      </c>
      <c r="AK33" t="s">
        <v>41</v>
      </c>
      <c r="AQ33" t="s">
        <v>41</v>
      </c>
      <c r="AR33" t="s">
        <v>41</v>
      </c>
      <c r="AT33" t="s">
        <v>41</v>
      </c>
    </row>
    <row r="34" spans="2:48" x14ac:dyDescent="0.25">
      <c r="B34" t="s">
        <v>92</v>
      </c>
      <c r="C34" t="s">
        <v>66</v>
      </c>
      <c r="H34" t="s">
        <v>41</v>
      </c>
      <c r="K34" t="s">
        <v>41</v>
      </c>
      <c r="N34" t="s">
        <v>41</v>
      </c>
      <c r="V34" t="s">
        <v>41</v>
      </c>
      <c r="W34" t="s">
        <v>41</v>
      </c>
      <c r="Y34" t="s">
        <v>41</v>
      </c>
      <c r="AC34" t="s">
        <v>41</v>
      </c>
      <c r="AF34" t="s">
        <v>41</v>
      </c>
      <c r="AI34" t="s">
        <v>41</v>
      </c>
      <c r="AQ34" t="s">
        <v>41</v>
      </c>
      <c r="AR34" t="s">
        <v>41</v>
      </c>
      <c r="AT34" t="s">
        <v>41</v>
      </c>
    </row>
    <row r="35" spans="2:48" x14ac:dyDescent="0.25">
      <c r="B35" t="s">
        <v>93</v>
      </c>
      <c r="C35" t="s">
        <v>66</v>
      </c>
      <c r="G35" t="s">
        <v>41</v>
      </c>
      <c r="J35" t="s">
        <v>41</v>
      </c>
      <c r="M35" t="s">
        <v>41</v>
      </c>
      <c r="P35" t="s">
        <v>41</v>
      </c>
      <c r="V35" t="s">
        <v>41</v>
      </c>
      <c r="Z35" t="s">
        <v>41</v>
      </c>
      <c r="AB35" t="s">
        <v>41</v>
      </c>
      <c r="AE35" t="s">
        <v>41</v>
      </c>
      <c r="AH35" t="s">
        <v>41</v>
      </c>
      <c r="AK35" t="s">
        <v>41</v>
      </c>
      <c r="AQ35" t="s">
        <v>41</v>
      </c>
      <c r="AU35" t="s">
        <v>41</v>
      </c>
    </row>
    <row r="36" spans="2:48" x14ac:dyDescent="0.25">
      <c r="B36" t="s">
        <v>94</v>
      </c>
      <c r="C36" t="s">
        <v>66</v>
      </c>
      <c r="I36" t="s">
        <v>41</v>
      </c>
      <c r="L36" t="s">
        <v>41</v>
      </c>
      <c r="O36" t="s">
        <v>41</v>
      </c>
      <c r="R36" t="s">
        <v>41</v>
      </c>
      <c r="U36" t="s">
        <v>41</v>
      </c>
      <c r="AD36" t="s">
        <v>41</v>
      </c>
      <c r="AG36" t="s">
        <v>41</v>
      </c>
      <c r="AJ36" t="s">
        <v>41</v>
      </c>
      <c r="AP36" t="s">
        <v>41</v>
      </c>
    </row>
    <row r="37" spans="2:48" x14ac:dyDescent="0.25">
      <c r="B37" t="s">
        <v>95</v>
      </c>
      <c r="C37" t="s">
        <v>66</v>
      </c>
      <c r="I37" t="s">
        <v>41</v>
      </c>
      <c r="L37" t="s">
        <v>41</v>
      </c>
      <c r="O37" t="s">
        <v>41</v>
      </c>
      <c r="R37" t="s">
        <v>41</v>
      </c>
      <c r="U37" t="s">
        <v>41</v>
      </c>
      <c r="X37" t="s">
        <v>41</v>
      </c>
      <c r="AA37" t="s">
        <v>41</v>
      </c>
      <c r="AD37" t="s">
        <v>41</v>
      </c>
      <c r="AG37" t="s">
        <v>41</v>
      </c>
      <c r="AJ37" t="s">
        <v>41</v>
      </c>
      <c r="AM37" t="s">
        <v>41</v>
      </c>
      <c r="AP37" t="s">
        <v>41</v>
      </c>
      <c r="AS37" t="s">
        <v>41</v>
      </c>
    </row>
    <row r="38" spans="2:48" x14ac:dyDescent="0.25">
      <c r="B38" t="s">
        <v>96</v>
      </c>
      <c r="C38" t="s">
        <v>66</v>
      </c>
      <c r="K38" t="s">
        <v>41</v>
      </c>
      <c r="N38" t="s">
        <v>41</v>
      </c>
      <c r="AF38" t="s">
        <v>41</v>
      </c>
      <c r="AI38" t="s">
        <v>41</v>
      </c>
    </row>
    <row r="39" spans="2:48" x14ac:dyDescent="0.25">
      <c r="B39" t="s">
        <v>97</v>
      </c>
      <c r="C39" t="s">
        <v>66</v>
      </c>
      <c r="G39" t="s">
        <v>41</v>
      </c>
      <c r="M39" t="s">
        <v>41</v>
      </c>
      <c r="N39" t="s">
        <v>41</v>
      </c>
      <c r="Q39" t="s">
        <v>41</v>
      </c>
      <c r="S39" t="s">
        <v>41</v>
      </c>
      <c r="U39" t="s">
        <v>41</v>
      </c>
      <c r="W39" t="s">
        <v>41</v>
      </c>
      <c r="X39" t="s">
        <v>41</v>
      </c>
      <c r="Y39" t="s">
        <v>41</v>
      </c>
      <c r="Z39" t="s">
        <v>41</v>
      </c>
      <c r="AB39" t="s">
        <v>41</v>
      </c>
      <c r="AH39" t="s">
        <v>41</v>
      </c>
      <c r="AI39" t="s">
        <v>41</v>
      </c>
      <c r="AL39" t="s">
        <v>41</v>
      </c>
      <c r="AN39" t="s">
        <v>41</v>
      </c>
      <c r="AP39" t="s">
        <v>41</v>
      </c>
      <c r="AR39" t="s">
        <v>41</v>
      </c>
      <c r="AS39" t="s">
        <v>41</v>
      </c>
      <c r="AT39" t="s">
        <v>41</v>
      </c>
      <c r="AU39" t="s">
        <v>41</v>
      </c>
    </row>
    <row r="40" spans="2:48" x14ac:dyDescent="0.25">
      <c r="B40" t="s">
        <v>176</v>
      </c>
      <c r="C40" t="s">
        <v>66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41</v>
      </c>
      <c r="AI40" t="s">
        <v>41</v>
      </c>
      <c r="AJ40" t="s">
        <v>41</v>
      </c>
      <c r="AK40" t="s">
        <v>41</v>
      </c>
      <c r="AL40" t="s">
        <v>41</v>
      </c>
      <c r="AM40" t="s">
        <v>41</v>
      </c>
      <c r="AN40" t="s">
        <v>41</v>
      </c>
      <c r="AO40" t="s">
        <v>41</v>
      </c>
      <c r="AP40" t="s">
        <v>41</v>
      </c>
      <c r="AQ40" t="s">
        <v>41</v>
      </c>
      <c r="AR40" t="s">
        <v>41</v>
      </c>
      <c r="AS40" t="s">
        <v>41</v>
      </c>
      <c r="AT40" t="s">
        <v>41</v>
      </c>
      <c r="AU40" t="s">
        <v>41</v>
      </c>
      <c r="AV40" t="s">
        <v>41</v>
      </c>
    </row>
    <row r="41" spans="2:48" x14ac:dyDescent="0.25">
      <c r="B41" t="s">
        <v>98</v>
      </c>
      <c r="C41" t="s">
        <v>66</v>
      </c>
      <c r="I41" t="s">
        <v>41</v>
      </c>
      <c r="L41" t="s">
        <v>41</v>
      </c>
      <c r="U41" t="s">
        <v>41</v>
      </c>
      <c r="Z41" t="s">
        <v>41</v>
      </c>
      <c r="AA41" t="s">
        <v>41</v>
      </c>
    </row>
    <row r="42" spans="2:48" x14ac:dyDescent="0.25">
      <c r="B42" t="s">
        <v>99</v>
      </c>
      <c r="C42" t="s">
        <v>66</v>
      </c>
      <c r="K42" t="s">
        <v>41</v>
      </c>
      <c r="M42" t="s">
        <v>41</v>
      </c>
      <c r="P42" t="s">
        <v>41</v>
      </c>
      <c r="W42" t="s">
        <v>41</v>
      </c>
      <c r="Z42" t="s">
        <v>41</v>
      </c>
      <c r="AF42" t="s">
        <v>41</v>
      </c>
      <c r="AH42" t="s">
        <v>41</v>
      </c>
      <c r="AK42" t="s">
        <v>41</v>
      </c>
      <c r="AR42" t="s">
        <v>41</v>
      </c>
      <c r="AU42" t="s">
        <v>41</v>
      </c>
    </row>
    <row r="43" spans="2:48" x14ac:dyDescent="0.25">
      <c r="B43" t="s">
        <v>100</v>
      </c>
      <c r="C43" t="s">
        <v>66</v>
      </c>
      <c r="H43" t="s">
        <v>41</v>
      </c>
      <c r="U43" t="s">
        <v>41</v>
      </c>
      <c r="W43" t="s">
        <v>41</v>
      </c>
      <c r="Z43" t="s">
        <v>41</v>
      </c>
      <c r="AC43" t="s">
        <v>41</v>
      </c>
      <c r="AP43" t="s">
        <v>41</v>
      </c>
      <c r="AR43" t="s">
        <v>41</v>
      </c>
      <c r="AU43" t="s">
        <v>41</v>
      </c>
    </row>
    <row r="44" spans="2:48" x14ac:dyDescent="0.25">
      <c r="B44" t="s">
        <v>102</v>
      </c>
      <c r="C44" t="s">
        <v>66</v>
      </c>
      <c r="R44" t="s">
        <v>41</v>
      </c>
      <c r="U44" t="s">
        <v>41</v>
      </c>
      <c r="X44" t="s">
        <v>41</v>
      </c>
      <c r="AA44" t="s">
        <v>41</v>
      </c>
      <c r="AM44" t="s">
        <v>41</v>
      </c>
      <c r="AP44" t="s">
        <v>41</v>
      </c>
      <c r="AS44" t="s">
        <v>41</v>
      </c>
      <c r="AV44" t="s">
        <v>41</v>
      </c>
    </row>
    <row r="45" spans="2:48" x14ac:dyDescent="0.25">
      <c r="B45" t="s">
        <v>103</v>
      </c>
      <c r="C45" t="s">
        <v>66</v>
      </c>
      <c r="I45" t="s">
        <v>41</v>
      </c>
      <c r="L45" t="s">
        <v>41</v>
      </c>
      <c r="O45" t="s">
        <v>41</v>
      </c>
      <c r="R45" t="s">
        <v>41</v>
      </c>
      <c r="U45" t="s">
        <v>41</v>
      </c>
      <c r="X45" t="s">
        <v>41</v>
      </c>
      <c r="AA45" t="s">
        <v>41</v>
      </c>
      <c r="AD45" t="s">
        <v>41</v>
      </c>
      <c r="AG45" t="s">
        <v>41</v>
      </c>
      <c r="AJ45" t="s">
        <v>41</v>
      </c>
      <c r="AM45" t="s">
        <v>41</v>
      </c>
      <c r="AP45" t="s">
        <v>41</v>
      </c>
      <c r="AS45" t="s">
        <v>41</v>
      </c>
      <c r="AV45" t="s">
        <v>41</v>
      </c>
    </row>
    <row r="46" spans="2:48" x14ac:dyDescent="0.25">
      <c r="B46" t="s">
        <v>104</v>
      </c>
      <c r="C46" t="s">
        <v>66</v>
      </c>
      <c r="H46" t="s">
        <v>41</v>
      </c>
      <c r="Q46" t="s">
        <v>41</v>
      </c>
      <c r="T46" t="s">
        <v>41</v>
      </c>
      <c r="W46" t="s">
        <v>41</v>
      </c>
      <c r="Z46" t="s">
        <v>41</v>
      </c>
      <c r="AC46" t="s">
        <v>41</v>
      </c>
      <c r="AL46" t="s">
        <v>41</v>
      </c>
      <c r="AO46" t="s">
        <v>41</v>
      </c>
      <c r="AR46" t="s">
        <v>41</v>
      </c>
      <c r="AU46" t="s">
        <v>41</v>
      </c>
    </row>
    <row r="47" spans="2:48" x14ac:dyDescent="0.25">
      <c r="B47" t="s">
        <v>177</v>
      </c>
      <c r="C47" t="s">
        <v>66</v>
      </c>
      <c r="G47" t="s">
        <v>41</v>
      </c>
      <c r="H47" t="s">
        <v>41</v>
      </c>
      <c r="J47" t="s">
        <v>41</v>
      </c>
      <c r="K47" t="s">
        <v>41</v>
      </c>
      <c r="M47" t="s">
        <v>41</v>
      </c>
      <c r="N47" t="s">
        <v>41</v>
      </c>
      <c r="P47" t="s">
        <v>41</v>
      </c>
      <c r="Q47" t="s">
        <v>41</v>
      </c>
      <c r="S47" t="s">
        <v>41</v>
      </c>
      <c r="T47" t="s">
        <v>41</v>
      </c>
      <c r="V47" t="s">
        <v>41</v>
      </c>
      <c r="W47" t="s">
        <v>41</v>
      </c>
      <c r="Y47" t="s">
        <v>41</v>
      </c>
      <c r="Z47" t="s">
        <v>41</v>
      </c>
      <c r="AB47" t="s">
        <v>41</v>
      </c>
      <c r="AC47" t="s">
        <v>41</v>
      </c>
      <c r="AE47" t="s">
        <v>41</v>
      </c>
      <c r="AF47" t="s">
        <v>41</v>
      </c>
      <c r="AH47" t="s">
        <v>41</v>
      </c>
      <c r="AI47" t="s">
        <v>41</v>
      </c>
      <c r="AK47" t="s">
        <v>41</v>
      </c>
      <c r="AL47" t="s">
        <v>41</v>
      </c>
      <c r="AN47" t="s">
        <v>41</v>
      </c>
      <c r="AO47" t="s">
        <v>41</v>
      </c>
      <c r="AQ47" t="s">
        <v>41</v>
      </c>
      <c r="AR47" t="s">
        <v>41</v>
      </c>
      <c r="AT47" t="s">
        <v>41</v>
      </c>
      <c r="AU47" t="s">
        <v>41</v>
      </c>
    </row>
    <row r="48" spans="2:48" x14ac:dyDescent="0.25">
      <c r="B48" t="s">
        <v>105</v>
      </c>
      <c r="C48" t="s">
        <v>66</v>
      </c>
      <c r="H48" t="s">
        <v>41</v>
      </c>
      <c r="S48" t="s">
        <v>41</v>
      </c>
      <c r="V48" t="s">
        <v>41</v>
      </c>
      <c r="Y48" t="s">
        <v>41</v>
      </c>
      <c r="AC48" t="s">
        <v>41</v>
      </c>
      <c r="AN48" t="s">
        <v>41</v>
      </c>
      <c r="AQ48" t="s">
        <v>41</v>
      </c>
      <c r="AT48" t="s">
        <v>41</v>
      </c>
    </row>
    <row r="49" spans="2:48" x14ac:dyDescent="0.25">
      <c r="B49" t="s">
        <v>106</v>
      </c>
      <c r="C49" t="s">
        <v>66</v>
      </c>
      <c r="L49" t="s">
        <v>41</v>
      </c>
      <c r="O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G49" t="s">
        <v>41</v>
      </c>
      <c r="AJ49" t="s">
        <v>41</v>
      </c>
      <c r="AP49" t="s">
        <v>41</v>
      </c>
      <c r="AQ49" t="s">
        <v>41</v>
      </c>
      <c r="AR49" t="s">
        <v>41</v>
      </c>
      <c r="AS49" t="s">
        <v>41</v>
      </c>
      <c r="AT49" t="s">
        <v>41</v>
      </c>
      <c r="AU49" t="s">
        <v>41</v>
      </c>
      <c r="AV49" t="s">
        <v>41</v>
      </c>
    </row>
    <row r="50" spans="2:48" x14ac:dyDescent="0.25">
      <c r="B50" t="s">
        <v>180</v>
      </c>
      <c r="C50" t="s">
        <v>66</v>
      </c>
      <c r="G50" t="s">
        <v>41</v>
      </c>
      <c r="J50" t="s">
        <v>41</v>
      </c>
      <c r="S50" t="s">
        <v>41</v>
      </c>
      <c r="V50" t="s">
        <v>41</v>
      </c>
      <c r="Y50" t="s">
        <v>41</v>
      </c>
      <c r="AB50" t="s">
        <v>41</v>
      </c>
      <c r="AE50" t="s">
        <v>41</v>
      </c>
      <c r="AN50" t="s">
        <v>41</v>
      </c>
      <c r="AQ50" t="s">
        <v>41</v>
      </c>
      <c r="AT50" t="s">
        <v>41</v>
      </c>
    </row>
    <row r="51" spans="2:48" x14ac:dyDescent="0.25">
      <c r="B51" t="s">
        <v>107</v>
      </c>
      <c r="C51" t="s">
        <v>66</v>
      </c>
      <c r="Q51" t="s">
        <v>41</v>
      </c>
      <c r="T51" t="s">
        <v>41</v>
      </c>
      <c r="AL51" t="s">
        <v>41</v>
      </c>
      <c r="AO51" t="s">
        <v>41</v>
      </c>
    </row>
    <row r="52" spans="2:48" x14ac:dyDescent="0.25">
      <c r="B52" t="s">
        <v>108</v>
      </c>
      <c r="C52" t="s">
        <v>66</v>
      </c>
      <c r="Q52" t="s">
        <v>41</v>
      </c>
      <c r="T52" t="s">
        <v>41</v>
      </c>
      <c r="AL52" t="s">
        <v>41</v>
      </c>
      <c r="AO52" t="s">
        <v>41</v>
      </c>
    </row>
    <row r="53" spans="2:48" x14ac:dyDescent="0.25">
      <c r="B53" t="s">
        <v>110</v>
      </c>
      <c r="C53" t="s">
        <v>66</v>
      </c>
      <c r="H53" t="s">
        <v>41</v>
      </c>
      <c r="T53" t="s">
        <v>41</v>
      </c>
      <c r="Z53" t="s">
        <v>41</v>
      </c>
      <c r="AC53" t="s">
        <v>41</v>
      </c>
      <c r="AO53" t="s">
        <v>41</v>
      </c>
      <c r="AU53" t="s">
        <v>41</v>
      </c>
    </row>
    <row r="54" spans="2:48" x14ac:dyDescent="0.25">
      <c r="B54" t="s">
        <v>111</v>
      </c>
      <c r="C54" t="s">
        <v>66</v>
      </c>
      <c r="G54" t="s">
        <v>41</v>
      </c>
      <c r="K54" t="s">
        <v>41</v>
      </c>
      <c r="Q54" t="s">
        <v>41</v>
      </c>
      <c r="V54" t="s">
        <v>41</v>
      </c>
      <c r="Y54" t="s">
        <v>41</v>
      </c>
      <c r="AB54" t="s">
        <v>41</v>
      </c>
      <c r="AF54" t="s">
        <v>41</v>
      </c>
      <c r="AL54" t="s">
        <v>41</v>
      </c>
      <c r="AQ54" t="s">
        <v>41</v>
      </c>
      <c r="AT54" t="s">
        <v>41</v>
      </c>
    </row>
    <row r="55" spans="2:48" x14ac:dyDescent="0.25">
      <c r="B55" t="s">
        <v>112</v>
      </c>
      <c r="C55" t="s">
        <v>66</v>
      </c>
      <c r="H55" t="s">
        <v>41</v>
      </c>
      <c r="N55" t="s">
        <v>41</v>
      </c>
      <c r="W55" t="s">
        <v>41</v>
      </c>
      <c r="Z55" t="s">
        <v>41</v>
      </c>
      <c r="AC55" t="s">
        <v>41</v>
      </c>
      <c r="AI55" t="s">
        <v>41</v>
      </c>
      <c r="AR55" t="s">
        <v>41</v>
      </c>
      <c r="AU55" t="s">
        <v>41</v>
      </c>
    </row>
    <row r="56" spans="2:48" x14ac:dyDescent="0.25">
      <c r="B56" t="s">
        <v>113</v>
      </c>
      <c r="C56" t="s">
        <v>66</v>
      </c>
      <c r="N56" t="s">
        <v>41</v>
      </c>
      <c r="Q56" t="s">
        <v>41</v>
      </c>
      <c r="T56" t="s">
        <v>41</v>
      </c>
      <c r="W56" t="s">
        <v>41</v>
      </c>
      <c r="AI56" t="s">
        <v>41</v>
      </c>
      <c r="AL56" t="s">
        <v>41</v>
      </c>
      <c r="AO56" t="s">
        <v>41</v>
      </c>
      <c r="AR56" t="s">
        <v>41</v>
      </c>
    </row>
    <row r="57" spans="2:48" x14ac:dyDescent="0.25">
      <c r="B57" t="s">
        <v>114</v>
      </c>
      <c r="C57" t="s">
        <v>66</v>
      </c>
      <c r="G57" t="s">
        <v>41</v>
      </c>
      <c r="J57" t="s">
        <v>41</v>
      </c>
      <c r="V57" t="s">
        <v>41</v>
      </c>
      <c r="Y57" t="s">
        <v>41</v>
      </c>
      <c r="AB57" t="s">
        <v>41</v>
      </c>
      <c r="AE57" t="s">
        <v>41</v>
      </c>
      <c r="AQ57" t="s">
        <v>41</v>
      </c>
      <c r="AT57" t="s">
        <v>41</v>
      </c>
    </row>
    <row r="58" spans="2:48" x14ac:dyDescent="0.25">
      <c r="B58" t="s">
        <v>115</v>
      </c>
      <c r="C58" t="s">
        <v>66</v>
      </c>
      <c r="G58" t="s">
        <v>41</v>
      </c>
      <c r="J58" t="s">
        <v>41</v>
      </c>
      <c r="M58" t="s">
        <v>41</v>
      </c>
      <c r="P58" t="s">
        <v>41</v>
      </c>
      <c r="S58" t="s">
        <v>41</v>
      </c>
      <c r="AB58" t="s">
        <v>41</v>
      </c>
      <c r="AE58" t="s">
        <v>41</v>
      </c>
      <c r="AH58" t="s">
        <v>41</v>
      </c>
      <c r="AK58" t="s">
        <v>41</v>
      </c>
      <c r="AN58" t="s">
        <v>41</v>
      </c>
    </row>
    <row r="59" spans="2:48" x14ac:dyDescent="0.25">
      <c r="B59" t="s">
        <v>116</v>
      </c>
      <c r="C59" t="s">
        <v>66</v>
      </c>
      <c r="H59" t="s">
        <v>41</v>
      </c>
      <c r="K59" t="s">
        <v>41</v>
      </c>
      <c r="N59" t="s">
        <v>41</v>
      </c>
      <c r="AC59" t="s">
        <v>41</v>
      </c>
      <c r="AF59" t="s">
        <v>41</v>
      </c>
      <c r="AI59" t="s">
        <v>41</v>
      </c>
    </row>
    <row r="60" spans="2:48" x14ac:dyDescent="0.25">
      <c r="B60" t="s">
        <v>117</v>
      </c>
      <c r="C60" t="s">
        <v>66</v>
      </c>
      <c r="I60" t="s">
        <v>41</v>
      </c>
      <c r="L60" t="s">
        <v>41</v>
      </c>
    </row>
    <row r="61" spans="2:48" x14ac:dyDescent="0.25">
      <c r="B61" t="s">
        <v>118</v>
      </c>
      <c r="C61" t="s">
        <v>66</v>
      </c>
      <c r="H61" t="s">
        <v>41</v>
      </c>
      <c r="J61" t="s">
        <v>41</v>
      </c>
      <c r="L61" t="s">
        <v>41</v>
      </c>
      <c r="M61" t="s">
        <v>41</v>
      </c>
      <c r="O61" t="s">
        <v>41</v>
      </c>
      <c r="T61" t="s">
        <v>41</v>
      </c>
      <c r="W61" t="s">
        <v>41</v>
      </c>
      <c r="AA61" t="s">
        <v>41</v>
      </c>
      <c r="AC61" t="s">
        <v>41</v>
      </c>
      <c r="AE61" t="s">
        <v>41</v>
      </c>
      <c r="AG61" t="s">
        <v>41</v>
      </c>
      <c r="AH61" t="s">
        <v>41</v>
      </c>
      <c r="AJ61" t="s">
        <v>41</v>
      </c>
      <c r="AO61" t="s">
        <v>41</v>
      </c>
      <c r="AR61" t="s">
        <v>41</v>
      </c>
      <c r="AV61" t="s">
        <v>41</v>
      </c>
    </row>
    <row r="62" spans="2:48" x14ac:dyDescent="0.25">
      <c r="B62" t="s">
        <v>120</v>
      </c>
      <c r="C62" t="s">
        <v>66</v>
      </c>
      <c r="H62" t="s">
        <v>41</v>
      </c>
      <c r="K62" t="s">
        <v>41</v>
      </c>
      <c r="M62" t="s">
        <v>41</v>
      </c>
      <c r="N62" t="s">
        <v>41</v>
      </c>
      <c r="Q62" t="s">
        <v>41</v>
      </c>
      <c r="V62" t="s">
        <v>41</v>
      </c>
      <c r="Y62" t="s">
        <v>41</v>
      </c>
      <c r="AC62" t="s">
        <v>41</v>
      </c>
      <c r="AF62" t="s">
        <v>41</v>
      </c>
      <c r="AH62" t="s">
        <v>41</v>
      </c>
      <c r="AI62" t="s">
        <v>41</v>
      </c>
      <c r="AL62" t="s">
        <v>41</v>
      </c>
      <c r="AQ62" t="s">
        <v>41</v>
      </c>
      <c r="AT62" t="s">
        <v>41</v>
      </c>
    </row>
    <row r="63" spans="2:48" x14ac:dyDescent="0.25">
      <c r="B63" t="s">
        <v>121</v>
      </c>
      <c r="C63" t="s">
        <v>66</v>
      </c>
      <c r="I63" t="s">
        <v>41</v>
      </c>
      <c r="L63" t="s">
        <v>41</v>
      </c>
      <c r="O63" t="s">
        <v>41</v>
      </c>
      <c r="R63" t="s">
        <v>41</v>
      </c>
      <c r="U63" t="s">
        <v>41</v>
      </c>
      <c r="X63" t="s">
        <v>41</v>
      </c>
      <c r="AD63" t="s">
        <v>41</v>
      </c>
      <c r="AG63" t="s">
        <v>41</v>
      </c>
      <c r="AJ63" t="s">
        <v>41</v>
      </c>
      <c r="AM63" t="s">
        <v>41</v>
      </c>
      <c r="AP63" t="s">
        <v>41</v>
      </c>
      <c r="AS63" t="s">
        <v>41</v>
      </c>
    </row>
    <row r="64" spans="2:48" x14ac:dyDescent="0.25">
      <c r="B64" t="s">
        <v>122</v>
      </c>
      <c r="C64" t="s">
        <v>66</v>
      </c>
      <c r="G64" t="s">
        <v>41</v>
      </c>
      <c r="N64" t="s">
        <v>41</v>
      </c>
      <c r="Q64" t="s">
        <v>41</v>
      </c>
      <c r="T64" t="s">
        <v>41</v>
      </c>
      <c r="V64" t="s">
        <v>41</v>
      </c>
      <c r="Z64" t="s">
        <v>41</v>
      </c>
      <c r="AB64" t="s">
        <v>41</v>
      </c>
      <c r="AI64" t="s">
        <v>41</v>
      </c>
      <c r="AL64" t="s">
        <v>41</v>
      </c>
      <c r="AO64" t="s">
        <v>41</v>
      </c>
      <c r="AQ64" t="s">
        <v>41</v>
      </c>
      <c r="AU64" t="s">
        <v>41</v>
      </c>
    </row>
    <row r="65" spans="2:48" x14ac:dyDescent="0.25">
      <c r="B65" t="s">
        <v>123</v>
      </c>
      <c r="C65" t="s">
        <v>66</v>
      </c>
      <c r="H65" t="s">
        <v>41</v>
      </c>
      <c r="J65" t="s">
        <v>41</v>
      </c>
      <c r="N65" t="s">
        <v>41</v>
      </c>
      <c r="R65" t="s">
        <v>41</v>
      </c>
      <c r="V65" t="s">
        <v>41</v>
      </c>
      <c r="Y65" t="s">
        <v>41</v>
      </c>
      <c r="AC65" t="s">
        <v>41</v>
      </c>
      <c r="AE65" t="s">
        <v>41</v>
      </c>
      <c r="AI65" t="s">
        <v>41</v>
      </c>
      <c r="AM65" t="s">
        <v>41</v>
      </c>
      <c r="AQ65" t="s">
        <v>41</v>
      </c>
      <c r="AT65" t="s">
        <v>41</v>
      </c>
    </row>
    <row r="66" spans="2:48" x14ac:dyDescent="0.25">
      <c r="B66" t="s">
        <v>124</v>
      </c>
      <c r="C66" t="s">
        <v>66</v>
      </c>
      <c r="L66" t="s">
        <v>41</v>
      </c>
      <c r="R66" t="s">
        <v>41</v>
      </c>
      <c r="U66" t="s">
        <v>41</v>
      </c>
      <c r="X66" t="s">
        <v>41</v>
      </c>
      <c r="AA66" t="s">
        <v>41</v>
      </c>
      <c r="AG66" t="s">
        <v>41</v>
      </c>
      <c r="AM66" t="s">
        <v>41</v>
      </c>
      <c r="AP66" t="s">
        <v>41</v>
      </c>
      <c r="AS66" t="s">
        <v>41</v>
      </c>
      <c r="AV66" t="s">
        <v>41</v>
      </c>
    </row>
    <row r="67" spans="2:48" x14ac:dyDescent="0.25">
      <c r="B67" t="s">
        <v>125</v>
      </c>
      <c r="C67" t="s">
        <v>66</v>
      </c>
      <c r="S67" t="s">
        <v>41</v>
      </c>
      <c r="V67" t="s">
        <v>41</v>
      </c>
      <c r="Y67" t="s">
        <v>41</v>
      </c>
      <c r="AN67" t="s">
        <v>41</v>
      </c>
      <c r="AQ67" t="s">
        <v>41</v>
      </c>
      <c r="AT67" t="s">
        <v>41</v>
      </c>
    </row>
    <row r="68" spans="2:48" x14ac:dyDescent="0.25">
      <c r="B68" t="s">
        <v>126</v>
      </c>
      <c r="C68" t="s">
        <v>66</v>
      </c>
      <c r="G68" t="s">
        <v>41</v>
      </c>
      <c r="P68" t="s">
        <v>41</v>
      </c>
      <c r="S68" t="s">
        <v>41</v>
      </c>
      <c r="AB68" t="s">
        <v>41</v>
      </c>
      <c r="AK68" t="s">
        <v>41</v>
      </c>
      <c r="AN68" t="s">
        <v>41</v>
      </c>
    </row>
    <row r="69" spans="2:48" x14ac:dyDescent="0.25">
      <c r="B69" t="s">
        <v>127</v>
      </c>
      <c r="C69" t="s">
        <v>66</v>
      </c>
      <c r="M69" t="s">
        <v>41</v>
      </c>
      <c r="N69" t="s">
        <v>41</v>
      </c>
      <c r="P69" t="s">
        <v>41</v>
      </c>
      <c r="Q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H69" t="s">
        <v>41</v>
      </c>
      <c r="AI69" t="s">
        <v>41</v>
      </c>
      <c r="AK69" t="s">
        <v>41</v>
      </c>
      <c r="AL69" t="s">
        <v>41</v>
      </c>
      <c r="AN69" t="s">
        <v>41</v>
      </c>
      <c r="AO69" t="s">
        <v>41</v>
      </c>
      <c r="AP69" t="s">
        <v>41</v>
      </c>
      <c r="AQ69" t="s">
        <v>41</v>
      </c>
      <c r="AR69" t="s">
        <v>41</v>
      </c>
      <c r="AS69" t="s">
        <v>41</v>
      </c>
      <c r="AT69" t="s">
        <v>41</v>
      </c>
      <c r="AU69" t="s">
        <v>41</v>
      </c>
    </row>
    <row r="70" spans="2:48" x14ac:dyDescent="0.25">
      <c r="B70" t="s">
        <v>128</v>
      </c>
      <c r="C70" t="s">
        <v>66</v>
      </c>
      <c r="H70" t="s">
        <v>41</v>
      </c>
      <c r="K70" t="s">
        <v>41</v>
      </c>
      <c r="N70" t="s">
        <v>41</v>
      </c>
      <c r="AC70" t="s">
        <v>41</v>
      </c>
      <c r="AF70" t="s">
        <v>41</v>
      </c>
      <c r="AI70" t="s">
        <v>41</v>
      </c>
    </row>
    <row r="71" spans="2:48" x14ac:dyDescent="0.25">
      <c r="B71" t="s">
        <v>129</v>
      </c>
      <c r="C71" t="s">
        <v>66</v>
      </c>
      <c r="G71" t="s">
        <v>41</v>
      </c>
      <c r="J71" t="s">
        <v>41</v>
      </c>
      <c r="M71" t="s">
        <v>41</v>
      </c>
      <c r="S71" t="s">
        <v>41</v>
      </c>
      <c r="V71" t="s">
        <v>41</v>
      </c>
      <c r="AB71" t="s">
        <v>41</v>
      </c>
      <c r="AE71" t="s">
        <v>41</v>
      </c>
      <c r="AH71" t="s">
        <v>41</v>
      </c>
      <c r="AN71" t="s">
        <v>41</v>
      </c>
      <c r="AQ71" t="s">
        <v>41</v>
      </c>
    </row>
    <row r="72" spans="2:48" x14ac:dyDescent="0.25">
      <c r="B72" t="s">
        <v>130</v>
      </c>
      <c r="C72" t="s">
        <v>66</v>
      </c>
      <c r="H72" t="s">
        <v>41</v>
      </c>
      <c r="K72" t="s">
        <v>41</v>
      </c>
      <c r="Q72" t="s">
        <v>41</v>
      </c>
      <c r="V72" t="s">
        <v>41</v>
      </c>
      <c r="Y72" t="s">
        <v>41</v>
      </c>
      <c r="AC72" t="s">
        <v>41</v>
      </c>
      <c r="AF72" t="s">
        <v>41</v>
      </c>
      <c r="AL72" t="s">
        <v>41</v>
      </c>
      <c r="AQ72" t="s">
        <v>41</v>
      </c>
      <c r="AT72" t="s">
        <v>41</v>
      </c>
    </row>
    <row r="73" spans="2:48" x14ac:dyDescent="0.25">
      <c r="B73" t="s">
        <v>131</v>
      </c>
      <c r="C73" t="s">
        <v>66</v>
      </c>
      <c r="O73" t="s">
        <v>41</v>
      </c>
      <c r="R73" t="s">
        <v>41</v>
      </c>
      <c r="Z73" t="s">
        <v>41</v>
      </c>
      <c r="AJ73" t="s">
        <v>41</v>
      </c>
      <c r="AM73" t="s">
        <v>41</v>
      </c>
      <c r="AU73" t="s">
        <v>41</v>
      </c>
    </row>
    <row r="74" spans="2:48" x14ac:dyDescent="0.25">
      <c r="B74" t="s">
        <v>65</v>
      </c>
      <c r="C74" t="s">
        <v>133</v>
      </c>
      <c r="S74" t="s">
        <v>41</v>
      </c>
      <c r="V74" t="s">
        <v>41</v>
      </c>
      <c r="AT74" t="s">
        <v>41</v>
      </c>
    </row>
    <row r="75" spans="2:48" x14ac:dyDescent="0.25">
      <c r="B75" t="s">
        <v>76</v>
      </c>
      <c r="C75" t="s">
        <v>133</v>
      </c>
      <c r="H75" t="s">
        <v>41</v>
      </c>
      <c r="S75" t="s">
        <v>41</v>
      </c>
      <c r="Y75" t="s">
        <v>41</v>
      </c>
      <c r="AC75" t="s">
        <v>41</v>
      </c>
      <c r="AN75" t="s">
        <v>41</v>
      </c>
      <c r="AT75" t="s">
        <v>41</v>
      </c>
    </row>
    <row r="76" spans="2:48" x14ac:dyDescent="0.25">
      <c r="B76" t="s">
        <v>80</v>
      </c>
      <c r="C76" t="s">
        <v>133</v>
      </c>
      <c r="J76" t="s">
        <v>41</v>
      </c>
      <c r="M76" t="s">
        <v>41</v>
      </c>
      <c r="V76" t="s">
        <v>41</v>
      </c>
      <c r="AE76" t="s">
        <v>41</v>
      </c>
      <c r="AH76" t="s">
        <v>41</v>
      </c>
      <c r="AQ76" t="s">
        <v>41</v>
      </c>
    </row>
    <row r="77" spans="2:48" x14ac:dyDescent="0.25">
      <c r="B77" t="s">
        <v>132</v>
      </c>
      <c r="C77" t="s">
        <v>66</v>
      </c>
      <c r="H77" t="s">
        <v>41</v>
      </c>
      <c r="K77" t="s">
        <v>41</v>
      </c>
      <c r="Z77" t="s">
        <v>41</v>
      </c>
      <c r="AU77" t="s">
        <v>41</v>
      </c>
    </row>
    <row r="78" spans="2:48" x14ac:dyDescent="0.25">
      <c r="B78" t="s">
        <v>101</v>
      </c>
      <c r="C78" t="s">
        <v>133</v>
      </c>
      <c r="AR78" t="s">
        <v>41</v>
      </c>
      <c r="AT78" t="s">
        <v>41</v>
      </c>
      <c r="AU78" t="s">
        <v>41</v>
      </c>
    </row>
    <row r="79" spans="2:48" x14ac:dyDescent="0.25">
      <c r="B79" t="s">
        <v>132</v>
      </c>
      <c r="C79" t="s">
        <v>133</v>
      </c>
      <c r="Q79" t="s">
        <v>41</v>
      </c>
      <c r="T79" t="s">
        <v>41</v>
      </c>
      <c r="V79" t="s">
        <v>41</v>
      </c>
      <c r="AC79" t="s">
        <v>41</v>
      </c>
      <c r="AL79" t="s">
        <v>41</v>
      </c>
    </row>
    <row r="80" spans="2:48" x14ac:dyDescent="0.25">
      <c r="B80" t="s">
        <v>71</v>
      </c>
      <c r="C80" t="s">
        <v>133</v>
      </c>
      <c r="H80" t="s">
        <v>41</v>
      </c>
      <c r="P80" t="s">
        <v>41</v>
      </c>
      <c r="S80" t="s">
        <v>41</v>
      </c>
      <c r="V80" t="s">
        <v>41</v>
      </c>
      <c r="Z80" t="s">
        <v>41</v>
      </c>
      <c r="AC80" t="s">
        <v>41</v>
      </c>
      <c r="AK80" t="s">
        <v>41</v>
      </c>
      <c r="AN80" t="s">
        <v>41</v>
      </c>
      <c r="AQ80" t="s">
        <v>41</v>
      </c>
      <c r="AU80" t="s">
        <v>41</v>
      </c>
    </row>
    <row r="81" spans="2:47" x14ac:dyDescent="0.25">
      <c r="B81" t="s">
        <v>134</v>
      </c>
      <c r="C81" t="s">
        <v>133</v>
      </c>
      <c r="G81" t="s">
        <v>41</v>
      </c>
      <c r="P81" t="s">
        <v>41</v>
      </c>
      <c r="T81" t="s">
        <v>41</v>
      </c>
      <c r="V81" t="s">
        <v>41</v>
      </c>
      <c r="Y81" t="s">
        <v>41</v>
      </c>
      <c r="Z81" t="s">
        <v>41</v>
      </c>
      <c r="AB81" t="s">
        <v>41</v>
      </c>
      <c r="AK81" t="s">
        <v>41</v>
      </c>
      <c r="AO81" t="s">
        <v>41</v>
      </c>
      <c r="AQ81" t="s">
        <v>41</v>
      </c>
      <c r="AT81" t="s">
        <v>41</v>
      </c>
      <c r="AU81" t="s">
        <v>41</v>
      </c>
    </row>
    <row r="82" spans="2:47" x14ac:dyDescent="0.25">
      <c r="B82" t="s">
        <v>136</v>
      </c>
      <c r="C82" t="s">
        <v>133</v>
      </c>
      <c r="G82" t="s">
        <v>41</v>
      </c>
      <c r="K82" t="s">
        <v>41</v>
      </c>
      <c r="N82" t="s">
        <v>41</v>
      </c>
      <c r="V82" t="s">
        <v>41</v>
      </c>
      <c r="Y82" t="s">
        <v>41</v>
      </c>
      <c r="AB82" t="s">
        <v>41</v>
      </c>
      <c r="AF82" t="s">
        <v>41</v>
      </c>
      <c r="AI82" t="s">
        <v>41</v>
      </c>
      <c r="AQ82" t="s">
        <v>41</v>
      </c>
      <c r="AT82" t="s">
        <v>41</v>
      </c>
    </row>
    <row r="83" spans="2:47" x14ac:dyDescent="0.25">
      <c r="B83" t="s">
        <v>137</v>
      </c>
      <c r="C83" t="s">
        <v>133</v>
      </c>
      <c r="J83" t="s">
        <v>42</v>
      </c>
      <c r="M83" t="s">
        <v>42</v>
      </c>
      <c r="P83" t="s">
        <v>42</v>
      </c>
      <c r="S83" t="s">
        <v>42</v>
      </c>
      <c r="AE83" t="s">
        <v>42</v>
      </c>
      <c r="AH83" t="s">
        <v>42</v>
      </c>
      <c r="AK83" t="s">
        <v>42</v>
      </c>
      <c r="AN83" t="s">
        <v>42</v>
      </c>
    </row>
    <row r="84" spans="2:47" x14ac:dyDescent="0.25">
      <c r="B84" t="s">
        <v>138</v>
      </c>
      <c r="C84" t="s">
        <v>139</v>
      </c>
      <c r="G84" t="s">
        <v>41</v>
      </c>
      <c r="H84" t="s">
        <v>41</v>
      </c>
      <c r="J84" t="s">
        <v>41</v>
      </c>
      <c r="K84" t="s">
        <v>41</v>
      </c>
      <c r="M84" t="s">
        <v>41</v>
      </c>
      <c r="N84" t="s">
        <v>41</v>
      </c>
      <c r="P84" t="s">
        <v>41</v>
      </c>
      <c r="Q84" t="s">
        <v>41</v>
      </c>
      <c r="S84" t="s">
        <v>41</v>
      </c>
      <c r="T84" t="s">
        <v>41</v>
      </c>
      <c r="V84" t="s">
        <v>41</v>
      </c>
      <c r="W84" t="s">
        <v>41</v>
      </c>
      <c r="Y84" t="s">
        <v>41</v>
      </c>
      <c r="Z84" t="s">
        <v>41</v>
      </c>
      <c r="AB84" t="s">
        <v>41</v>
      </c>
      <c r="AC84" t="s">
        <v>41</v>
      </c>
      <c r="AE84" t="s">
        <v>41</v>
      </c>
      <c r="AF84" t="s">
        <v>41</v>
      </c>
      <c r="AH84" t="s">
        <v>41</v>
      </c>
      <c r="AI84" t="s">
        <v>41</v>
      </c>
      <c r="AK84" t="s">
        <v>41</v>
      </c>
      <c r="AL84" t="s">
        <v>41</v>
      </c>
      <c r="AN84" t="s">
        <v>41</v>
      </c>
      <c r="AO84" t="s">
        <v>41</v>
      </c>
      <c r="AQ84" t="s">
        <v>41</v>
      </c>
      <c r="AR84" t="s">
        <v>41</v>
      </c>
      <c r="AT84" t="s">
        <v>41</v>
      </c>
      <c r="AU84" t="s">
        <v>41</v>
      </c>
    </row>
    <row r="85" spans="2:47" x14ac:dyDescent="0.25">
      <c r="B85" t="s">
        <v>140</v>
      </c>
      <c r="C85" t="s">
        <v>139</v>
      </c>
      <c r="G85" t="s">
        <v>41</v>
      </c>
      <c r="J85" t="s">
        <v>41</v>
      </c>
      <c r="AB85" t="s">
        <v>41</v>
      </c>
      <c r="AE85" t="s">
        <v>41</v>
      </c>
    </row>
    <row r="86" spans="2:47" x14ac:dyDescent="0.25">
      <c r="B86" t="s">
        <v>178</v>
      </c>
      <c r="C86" t="s">
        <v>139</v>
      </c>
      <c r="Q86" t="s">
        <v>41</v>
      </c>
      <c r="T86" t="s">
        <v>41</v>
      </c>
      <c r="Y86" t="s">
        <v>41</v>
      </c>
      <c r="AL86" t="s">
        <v>41</v>
      </c>
      <c r="AO86" t="s">
        <v>41</v>
      </c>
    </row>
    <row r="87" spans="2:47" x14ac:dyDescent="0.25">
      <c r="B87" t="s">
        <v>141</v>
      </c>
      <c r="C87" t="s">
        <v>139</v>
      </c>
      <c r="G87" t="s">
        <v>41</v>
      </c>
      <c r="J87" t="s">
        <v>41</v>
      </c>
      <c r="M87" t="s">
        <v>41</v>
      </c>
      <c r="P87" t="s">
        <v>41</v>
      </c>
      <c r="S87" t="s">
        <v>41</v>
      </c>
      <c r="V87" t="s">
        <v>41</v>
      </c>
      <c r="AB87" t="s">
        <v>41</v>
      </c>
      <c r="AE87" t="s">
        <v>41</v>
      </c>
      <c r="AH87" t="s">
        <v>41</v>
      </c>
      <c r="AK87" t="s">
        <v>41</v>
      </c>
      <c r="AN87" t="s">
        <v>41</v>
      </c>
      <c r="AQ87" t="s">
        <v>41</v>
      </c>
    </row>
    <row r="88" spans="2:47" x14ac:dyDescent="0.25">
      <c r="B88" t="s">
        <v>142</v>
      </c>
      <c r="C88" t="s">
        <v>139</v>
      </c>
      <c r="H88" t="s">
        <v>41</v>
      </c>
      <c r="N88" t="s">
        <v>41</v>
      </c>
      <c r="AC88" t="s">
        <v>41</v>
      </c>
      <c r="AI88" t="s">
        <v>41</v>
      </c>
    </row>
    <row r="89" spans="2:47" x14ac:dyDescent="0.25">
      <c r="B89" t="s">
        <v>143</v>
      </c>
      <c r="C89" t="s">
        <v>139</v>
      </c>
      <c r="G89" t="s">
        <v>41</v>
      </c>
      <c r="J89" t="s">
        <v>41</v>
      </c>
      <c r="M89" t="s">
        <v>41</v>
      </c>
      <c r="T89" t="s">
        <v>41</v>
      </c>
      <c r="W89" t="s">
        <v>41</v>
      </c>
      <c r="X89" t="s">
        <v>41</v>
      </c>
      <c r="Y89" t="s">
        <v>41</v>
      </c>
      <c r="AB89" t="s">
        <v>41</v>
      </c>
      <c r="AE89" t="s">
        <v>41</v>
      </c>
      <c r="AH89" t="s">
        <v>41</v>
      </c>
      <c r="AO89" t="s">
        <v>41</v>
      </c>
      <c r="AR89" t="s">
        <v>41</v>
      </c>
      <c r="AS89" t="s">
        <v>41</v>
      </c>
      <c r="AT89" t="s">
        <v>41</v>
      </c>
    </row>
    <row r="90" spans="2:47" x14ac:dyDescent="0.25">
      <c r="B90" t="s">
        <v>144</v>
      </c>
      <c r="C90" t="s">
        <v>139</v>
      </c>
      <c r="G90" t="s">
        <v>41</v>
      </c>
      <c r="N90" t="s">
        <v>41</v>
      </c>
      <c r="S90" t="s">
        <v>41</v>
      </c>
      <c r="V90" t="s">
        <v>41</v>
      </c>
      <c r="Y90" t="s">
        <v>41</v>
      </c>
      <c r="AB90" t="s">
        <v>41</v>
      </c>
      <c r="AI90" t="s">
        <v>41</v>
      </c>
      <c r="AN90" t="s">
        <v>41</v>
      </c>
      <c r="AQ90" t="s">
        <v>41</v>
      </c>
      <c r="AT90" t="s">
        <v>41</v>
      </c>
    </row>
    <row r="91" spans="2:47" x14ac:dyDescent="0.25">
      <c r="B91" t="s">
        <v>145</v>
      </c>
      <c r="C91" t="s">
        <v>139</v>
      </c>
      <c r="H91" t="s">
        <v>41</v>
      </c>
      <c r="K91" t="s">
        <v>41</v>
      </c>
      <c r="AC91" t="s">
        <v>41</v>
      </c>
      <c r="AF91" t="s">
        <v>41</v>
      </c>
    </row>
    <row r="92" spans="2:47" x14ac:dyDescent="0.25">
      <c r="B92" t="s">
        <v>146</v>
      </c>
      <c r="C92" t="s">
        <v>139</v>
      </c>
      <c r="N92" t="s">
        <v>41</v>
      </c>
      <c r="Q92" t="s">
        <v>41</v>
      </c>
      <c r="AI92" t="s">
        <v>41</v>
      </c>
      <c r="AL92" t="s">
        <v>41</v>
      </c>
    </row>
    <row r="93" spans="2:47" x14ac:dyDescent="0.25">
      <c r="B93" t="s">
        <v>147</v>
      </c>
      <c r="C93" t="s">
        <v>139</v>
      </c>
      <c r="H93" t="s">
        <v>41</v>
      </c>
      <c r="J93" t="s">
        <v>41</v>
      </c>
      <c r="N93" t="s">
        <v>41</v>
      </c>
      <c r="Q93" t="s">
        <v>41</v>
      </c>
      <c r="Y93" t="s">
        <v>41</v>
      </c>
      <c r="AC93" t="s">
        <v>41</v>
      </c>
      <c r="AE93" t="s">
        <v>41</v>
      </c>
      <c r="AI93" t="s">
        <v>41</v>
      </c>
      <c r="AL93" t="s">
        <v>41</v>
      </c>
      <c r="AT93" t="s">
        <v>41</v>
      </c>
    </row>
    <row r="94" spans="2:47" x14ac:dyDescent="0.25">
      <c r="B94" t="s">
        <v>148</v>
      </c>
      <c r="C94" t="s">
        <v>139</v>
      </c>
      <c r="N94" t="s">
        <v>41</v>
      </c>
      <c r="Q94" t="s">
        <v>41</v>
      </c>
      <c r="T94" t="s">
        <v>41</v>
      </c>
      <c r="V94" t="s">
        <v>41</v>
      </c>
      <c r="Z94" t="s">
        <v>41</v>
      </c>
      <c r="AI94" t="s">
        <v>41</v>
      </c>
      <c r="AL94" t="s">
        <v>41</v>
      </c>
      <c r="AO94" t="s">
        <v>41</v>
      </c>
      <c r="AQ94" t="s">
        <v>41</v>
      </c>
      <c r="AU94" t="s">
        <v>41</v>
      </c>
    </row>
    <row r="95" spans="2:47" x14ac:dyDescent="0.25">
      <c r="B95" t="s">
        <v>149</v>
      </c>
      <c r="C95" t="s">
        <v>139</v>
      </c>
      <c r="G95" t="s">
        <v>41</v>
      </c>
      <c r="H95" t="s">
        <v>41</v>
      </c>
      <c r="J95" t="s">
        <v>41</v>
      </c>
      <c r="K95" t="s">
        <v>41</v>
      </c>
      <c r="M95" t="s">
        <v>41</v>
      </c>
      <c r="N95" t="s">
        <v>41</v>
      </c>
      <c r="P95" t="s">
        <v>41</v>
      </c>
      <c r="Q95" t="s">
        <v>41</v>
      </c>
      <c r="S95" t="s">
        <v>41</v>
      </c>
      <c r="T95" t="s">
        <v>41</v>
      </c>
      <c r="V95" t="s">
        <v>41</v>
      </c>
      <c r="W95" t="s">
        <v>41</v>
      </c>
      <c r="Y95" t="s">
        <v>41</v>
      </c>
      <c r="Z95" t="s">
        <v>41</v>
      </c>
      <c r="AB95" t="s">
        <v>41</v>
      </c>
      <c r="AC95" t="s">
        <v>41</v>
      </c>
      <c r="AE95" t="s">
        <v>41</v>
      </c>
      <c r="AF95" t="s">
        <v>41</v>
      </c>
      <c r="AH95" t="s">
        <v>41</v>
      </c>
      <c r="AI95" t="s">
        <v>41</v>
      </c>
      <c r="AK95" t="s">
        <v>41</v>
      </c>
      <c r="AL95" t="s">
        <v>41</v>
      </c>
      <c r="AN95" t="s">
        <v>41</v>
      </c>
      <c r="AO95" t="s">
        <v>41</v>
      </c>
      <c r="AQ95" t="s">
        <v>41</v>
      </c>
      <c r="AR95" t="s">
        <v>41</v>
      </c>
      <c r="AT95" t="s">
        <v>41</v>
      </c>
      <c r="AU95" t="s">
        <v>41</v>
      </c>
    </row>
    <row r="96" spans="2:47" x14ac:dyDescent="0.25">
      <c r="B96" t="s">
        <v>109</v>
      </c>
      <c r="C96" t="s">
        <v>133</v>
      </c>
      <c r="M96" t="s">
        <v>41</v>
      </c>
      <c r="P96" t="s">
        <v>41</v>
      </c>
      <c r="Q96" t="s">
        <v>41</v>
      </c>
      <c r="S96" t="s">
        <v>41</v>
      </c>
      <c r="T96" t="s">
        <v>41</v>
      </c>
      <c r="AK96" t="s">
        <v>41</v>
      </c>
      <c r="AL96" t="s">
        <v>41</v>
      </c>
      <c r="AN96" t="s">
        <v>41</v>
      </c>
      <c r="AO96" t="s">
        <v>41</v>
      </c>
    </row>
    <row r="97" spans="2:47" x14ac:dyDescent="0.25">
      <c r="B97" t="s">
        <v>119</v>
      </c>
      <c r="C97" t="s">
        <v>66</v>
      </c>
    </row>
    <row r="98" spans="2:47" x14ac:dyDescent="0.25">
      <c r="B98" t="s">
        <v>119</v>
      </c>
      <c r="C98" t="s">
        <v>133</v>
      </c>
      <c r="K98" t="s">
        <v>41</v>
      </c>
      <c r="N98" t="s">
        <v>41</v>
      </c>
      <c r="P98" t="s">
        <v>41</v>
      </c>
      <c r="T98" t="s">
        <v>41</v>
      </c>
      <c r="W98" t="s">
        <v>41</v>
      </c>
      <c r="Z98" t="s">
        <v>41</v>
      </c>
      <c r="AF98" t="s">
        <v>41</v>
      </c>
      <c r="AI98" t="s">
        <v>41</v>
      </c>
      <c r="AL98" t="s">
        <v>41</v>
      </c>
      <c r="AO98" t="s">
        <v>41</v>
      </c>
      <c r="AR98" t="s">
        <v>41</v>
      </c>
      <c r="AU98" t="s">
        <v>41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C8CA-E5FB-4EF2-9A02-24B76E31FCD6}">
  <dimension ref="A1:B97"/>
  <sheetViews>
    <sheetView topLeftCell="A76" workbookViewId="0">
      <selection activeCell="A86" sqref="A86"/>
    </sheetView>
  </sheetViews>
  <sheetFormatPr defaultRowHeight="15" x14ac:dyDescent="0.25"/>
  <cols>
    <col min="1" max="1" width="28" bestFit="1" customWidth="1"/>
    <col min="2" max="2" width="7.28515625" bestFit="1" customWidth="1"/>
  </cols>
  <sheetData>
    <row r="1" spans="1:2" x14ac:dyDescent="0.25">
      <c r="A1" t="s">
        <v>18</v>
      </c>
      <c r="B1" t="s">
        <v>16</v>
      </c>
    </row>
    <row r="2" spans="1:2" x14ac:dyDescent="0.25">
      <c r="A2" t="s">
        <v>65</v>
      </c>
      <c r="B2" t="s">
        <v>66</v>
      </c>
    </row>
    <row r="3" spans="1:2" x14ac:dyDescent="0.25">
      <c r="A3" t="s">
        <v>65</v>
      </c>
      <c r="B3" t="s">
        <v>133</v>
      </c>
    </row>
    <row r="4" spans="1:2" x14ac:dyDescent="0.25">
      <c r="A4" t="s">
        <v>67</v>
      </c>
      <c r="B4" t="s">
        <v>66</v>
      </c>
    </row>
    <row r="5" spans="1:2" x14ac:dyDescent="0.25">
      <c r="A5" t="s">
        <v>68</v>
      </c>
      <c r="B5" t="s">
        <v>66</v>
      </c>
    </row>
    <row r="6" spans="1:2" x14ac:dyDescent="0.25">
      <c r="A6" t="s">
        <v>69</v>
      </c>
      <c r="B6" t="s">
        <v>66</v>
      </c>
    </row>
    <row r="7" spans="1:2" x14ac:dyDescent="0.25">
      <c r="A7" t="s">
        <v>175</v>
      </c>
      <c r="B7" t="s">
        <v>66</v>
      </c>
    </row>
    <row r="8" spans="1:2" x14ac:dyDescent="0.25">
      <c r="A8" t="s">
        <v>70</v>
      </c>
      <c r="B8" t="s">
        <v>66</v>
      </c>
    </row>
    <row r="9" spans="1:2" x14ac:dyDescent="0.25">
      <c r="A9" t="s">
        <v>71</v>
      </c>
      <c r="B9" t="s">
        <v>66</v>
      </c>
    </row>
    <row r="10" spans="1:2" x14ac:dyDescent="0.25">
      <c r="A10" t="s">
        <v>71</v>
      </c>
      <c r="B10" t="s">
        <v>133</v>
      </c>
    </row>
    <row r="11" spans="1:2" x14ac:dyDescent="0.25">
      <c r="A11" t="s">
        <v>72</v>
      </c>
      <c r="B11" t="s">
        <v>66</v>
      </c>
    </row>
    <row r="12" spans="1:2" x14ac:dyDescent="0.25">
      <c r="A12" t="s">
        <v>134</v>
      </c>
      <c r="B12" t="s">
        <v>133</v>
      </c>
    </row>
    <row r="13" spans="1:2" x14ac:dyDescent="0.25">
      <c r="A13" t="s">
        <v>73</v>
      </c>
      <c r="B13" t="s">
        <v>66</v>
      </c>
    </row>
    <row r="14" spans="1:2" x14ac:dyDescent="0.25">
      <c r="A14" t="s">
        <v>74</v>
      </c>
      <c r="B14" t="s">
        <v>66</v>
      </c>
    </row>
    <row r="15" spans="1:2" x14ac:dyDescent="0.25">
      <c r="A15" t="s">
        <v>179</v>
      </c>
      <c r="B15" t="s">
        <v>66</v>
      </c>
    </row>
    <row r="16" spans="1:2" x14ac:dyDescent="0.25">
      <c r="A16" t="s">
        <v>138</v>
      </c>
      <c r="B16" t="s">
        <v>139</v>
      </c>
    </row>
    <row r="17" spans="1:2" x14ac:dyDescent="0.25">
      <c r="A17" t="s">
        <v>75</v>
      </c>
      <c r="B17" t="s">
        <v>66</v>
      </c>
    </row>
    <row r="18" spans="1:2" x14ac:dyDescent="0.25">
      <c r="A18" t="s">
        <v>76</v>
      </c>
      <c r="B18" t="s">
        <v>133</v>
      </c>
    </row>
    <row r="19" spans="1:2" x14ac:dyDescent="0.25">
      <c r="A19" t="s">
        <v>76</v>
      </c>
      <c r="B19" t="s">
        <v>66</v>
      </c>
    </row>
    <row r="20" spans="1:2" x14ac:dyDescent="0.25">
      <c r="A20" t="s">
        <v>77</v>
      </c>
      <c r="B20" t="s">
        <v>66</v>
      </c>
    </row>
    <row r="21" spans="1:2" x14ac:dyDescent="0.25">
      <c r="A21" t="s">
        <v>78</v>
      </c>
      <c r="B21" t="s">
        <v>66</v>
      </c>
    </row>
    <row r="22" spans="1:2" x14ac:dyDescent="0.25">
      <c r="A22" t="s">
        <v>79</v>
      </c>
      <c r="B22" t="s">
        <v>66</v>
      </c>
    </row>
    <row r="23" spans="1:2" x14ac:dyDescent="0.25">
      <c r="A23" t="s">
        <v>80</v>
      </c>
      <c r="B23" t="s">
        <v>66</v>
      </c>
    </row>
    <row r="24" spans="1:2" x14ac:dyDescent="0.25">
      <c r="A24" t="s">
        <v>80</v>
      </c>
      <c r="B24" t="s">
        <v>133</v>
      </c>
    </row>
    <row r="25" spans="1:2" x14ac:dyDescent="0.25">
      <c r="A25" t="s">
        <v>81</v>
      </c>
      <c r="B25" t="s">
        <v>66</v>
      </c>
    </row>
    <row r="26" spans="1:2" x14ac:dyDescent="0.25">
      <c r="A26" t="s">
        <v>82</v>
      </c>
      <c r="B26" t="s">
        <v>66</v>
      </c>
    </row>
    <row r="27" spans="1:2" x14ac:dyDescent="0.25">
      <c r="A27" t="s">
        <v>83</v>
      </c>
      <c r="B27" t="s">
        <v>66</v>
      </c>
    </row>
    <row r="28" spans="1:2" x14ac:dyDescent="0.25">
      <c r="A28" t="s">
        <v>140</v>
      </c>
      <c r="B28" t="s">
        <v>139</v>
      </c>
    </row>
    <row r="29" spans="1:2" x14ac:dyDescent="0.25">
      <c r="A29" t="s">
        <v>84</v>
      </c>
      <c r="B29" t="s">
        <v>66</v>
      </c>
    </row>
    <row r="30" spans="1:2" x14ac:dyDescent="0.25">
      <c r="A30" t="s">
        <v>85</v>
      </c>
      <c r="B30" t="s">
        <v>66</v>
      </c>
    </row>
    <row r="31" spans="1:2" x14ac:dyDescent="0.25">
      <c r="A31" t="s">
        <v>86</v>
      </c>
      <c r="B31" t="s">
        <v>66</v>
      </c>
    </row>
    <row r="32" spans="1:2" x14ac:dyDescent="0.25">
      <c r="A32" t="s">
        <v>87</v>
      </c>
      <c r="B32" t="s">
        <v>66</v>
      </c>
    </row>
    <row r="33" spans="1:2" x14ac:dyDescent="0.25">
      <c r="A33" t="s">
        <v>88</v>
      </c>
      <c r="B33" t="s">
        <v>133</v>
      </c>
    </row>
    <row r="34" spans="1:2" x14ac:dyDescent="0.25">
      <c r="A34" t="s">
        <v>88</v>
      </c>
      <c r="B34" t="s">
        <v>66</v>
      </c>
    </row>
    <row r="35" spans="1:2" x14ac:dyDescent="0.25">
      <c r="A35" t="s">
        <v>89</v>
      </c>
      <c r="B35" t="s">
        <v>66</v>
      </c>
    </row>
    <row r="36" spans="1:2" x14ac:dyDescent="0.25">
      <c r="A36" t="s">
        <v>90</v>
      </c>
      <c r="B36" t="s">
        <v>66</v>
      </c>
    </row>
    <row r="37" spans="1:2" x14ac:dyDescent="0.25">
      <c r="A37" t="s">
        <v>91</v>
      </c>
      <c r="B37" t="s">
        <v>66</v>
      </c>
    </row>
    <row r="38" spans="1:2" x14ac:dyDescent="0.25">
      <c r="A38" t="s">
        <v>92</v>
      </c>
      <c r="B38" t="s">
        <v>66</v>
      </c>
    </row>
    <row r="39" spans="1:2" x14ac:dyDescent="0.25">
      <c r="A39" t="s">
        <v>178</v>
      </c>
      <c r="B39" t="s">
        <v>139</v>
      </c>
    </row>
    <row r="40" spans="1:2" x14ac:dyDescent="0.25">
      <c r="A40" t="s">
        <v>141</v>
      </c>
      <c r="B40" t="s">
        <v>139</v>
      </c>
    </row>
    <row r="41" spans="1:2" x14ac:dyDescent="0.25">
      <c r="A41" t="s">
        <v>142</v>
      </c>
      <c r="B41" t="s">
        <v>139</v>
      </c>
    </row>
    <row r="42" spans="1:2" x14ac:dyDescent="0.25">
      <c r="A42" t="s">
        <v>135</v>
      </c>
      <c r="B42" t="s">
        <v>133</v>
      </c>
    </row>
    <row r="43" spans="1:2" x14ac:dyDescent="0.25">
      <c r="A43" t="s">
        <v>93</v>
      </c>
      <c r="B43" t="s">
        <v>66</v>
      </c>
    </row>
    <row r="44" spans="1:2" x14ac:dyDescent="0.25">
      <c r="A44" t="s">
        <v>136</v>
      </c>
      <c r="B44" t="s">
        <v>133</v>
      </c>
    </row>
    <row r="45" spans="1:2" x14ac:dyDescent="0.25">
      <c r="A45" t="s">
        <v>94</v>
      </c>
      <c r="B45" t="s">
        <v>66</v>
      </c>
    </row>
    <row r="46" spans="1:2" x14ac:dyDescent="0.25">
      <c r="A46" t="s">
        <v>95</v>
      </c>
      <c r="B46" t="s">
        <v>66</v>
      </c>
    </row>
    <row r="47" spans="1:2" x14ac:dyDescent="0.25">
      <c r="A47" t="s">
        <v>96</v>
      </c>
      <c r="B47" t="s">
        <v>66</v>
      </c>
    </row>
    <row r="48" spans="1:2" x14ac:dyDescent="0.25">
      <c r="A48" t="s">
        <v>97</v>
      </c>
      <c r="B48" t="s">
        <v>66</v>
      </c>
    </row>
    <row r="49" spans="1:2" x14ac:dyDescent="0.25">
      <c r="A49" t="s">
        <v>176</v>
      </c>
      <c r="B49" t="s">
        <v>66</v>
      </c>
    </row>
    <row r="50" spans="1:2" x14ac:dyDescent="0.25">
      <c r="A50" t="s">
        <v>98</v>
      </c>
      <c r="B50" t="s">
        <v>66</v>
      </c>
    </row>
    <row r="51" spans="1:2" x14ac:dyDescent="0.25">
      <c r="A51" t="s">
        <v>143</v>
      </c>
      <c r="B51" t="s">
        <v>139</v>
      </c>
    </row>
    <row r="52" spans="1:2" x14ac:dyDescent="0.25">
      <c r="A52" t="s">
        <v>99</v>
      </c>
      <c r="B52" t="s">
        <v>66</v>
      </c>
    </row>
    <row r="53" spans="1:2" x14ac:dyDescent="0.25">
      <c r="A53" t="s">
        <v>100</v>
      </c>
      <c r="B53" t="s">
        <v>66</v>
      </c>
    </row>
    <row r="54" spans="1:2" x14ac:dyDescent="0.25">
      <c r="A54" t="s">
        <v>101</v>
      </c>
      <c r="B54" t="s">
        <v>133</v>
      </c>
    </row>
    <row r="55" spans="1:2" x14ac:dyDescent="0.25">
      <c r="A55" t="s">
        <v>101</v>
      </c>
      <c r="B55" t="s">
        <v>66</v>
      </c>
    </row>
    <row r="56" spans="1:2" x14ac:dyDescent="0.25">
      <c r="A56" t="s">
        <v>102</v>
      </c>
      <c r="B56" t="s">
        <v>66</v>
      </c>
    </row>
    <row r="57" spans="1:2" x14ac:dyDescent="0.25">
      <c r="A57" t="s">
        <v>144</v>
      </c>
      <c r="B57" t="s">
        <v>139</v>
      </c>
    </row>
    <row r="58" spans="1:2" x14ac:dyDescent="0.25">
      <c r="A58" t="s">
        <v>103</v>
      </c>
      <c r="B58" t="s">
        <v>66</v>
      </c>
    </row>
    <row r="59" spans="1:2" x14ac:dyDescent="0.25">
      <c r="A59" t="s">
        <v>104</v>
      </c>
      <c r="B59" t="s">
        <v>66</v>
      </c>
    </row>
    <row r="60" spans="1:2" x14ac:dyDescent="0.25">
      <c r="A60" t="s">
        <v>177</v>
      </c>
      <c r="B60" t="s">
        <v>66</v>
      </c>
    </row>
    <row r="61" spans="1:2" x14ac:dyDescent="0.25">
      <c r="A61" t="s">
        <v>145</v>
      </c>
      <c r="B61" t="s">
        <v>139</v>
      </c>
    </row>
    <row r="62" spans="1:2" x14ac:dyDescent="0.25">
      <c r="A62" t="s">
        <v>105</v>
      </c>
      <c r="B62" t="s">
        <v>66</v>
      </c>
    </row>
    <row r="63" spans="1:2" x14ac:dyDescent="0.25">
      <c r="A63" t="s">
        <v>106</v>
      </c>
      <c r="B63" t="s">
        <v>66</v>
      </c>
    </row>
    <row r="64" spans="1:2" x14ac:dyDescent="0.25">
      <c r="A64" t="s">
        <v>180</v>
      </c>
      <c r="B64" t="s">
        <v>66</v>
      </c>
    </row>
    <row r="65" spans="1:2" x14ac:dyDescent="0.25">
      <c r="A65" t="s">
        <v>107</v>
      </c>
      <c r="B65" t="s">
        <v>66</v>
      </c>
    </row>
    <row r="66" spans="1:2" x14ac:dyDescent="0.25">
      <c r="A66" t="s">
        <v>108</v>
      </c>
      <c r="B66" t="s">
        <v>66</v>
      </c>
    </row>
    <row r="67" spans="1:2" x14ac:dyDescent="0.25">
      <c r="A67" t="s">
        <v>109</v>
      </c>
      <c r="B67" t="s">
        <v>66</v>
      </c>
    </row>
    <row r="68" spans="1:2" x14ac:dyDescent="0.25">
      <c r="A68" t="s">
        <v>109</v>
      </c>
      <c r="B68" t="s">
        <v>133</v>
      </c>
    </row>
    <row r="69" spans="1:2" x14ac:dyDescent="0.25">
      <c r="A69" t="s">
        <v>110</v>
      </c>
      <c r="B69" t="s">
        <v>66</v>
      </c>
    </row>
    <row r="70" spans="1:2" x14ac:dyDescent="0.25">
      <c r="A70" t="s">
        <v>111</v>
      </c>
      <c r="B70" t="s">
        <v>66</v>
      </c>
    </row>
    <row r="71" spans="1:2" x14ac:dyDescent="0.25">
      <c r="A71" t="s">
        <v>146</v>
      </c>
      <c r="B71" t="s">
        <v>139</v>
      </c>
    </row>
    <row r="72" spans="1:2" x14ac:dyDescent="0.25">
      <c r="A72" t="s">
        <v>112</v>
      </c>
      <c r="B72" t="s">
        <v>66</v>
      </c>
    </row>
    <row r="73" spans="1:2" x14ac:dyDescent="0.25">
      <c r="A73" t="s">
        <v>113</v>
      </c>
      <c r="B73" t="s">
        <v>66</v>
      </c>
    </row>
    <row r="74" spans="1:2" x14ac:dyDescent="0.25">
      <c r="A74" t="s">
        <v>114</v>
      </c>
      <c r="B74" t="s">
        <v>66</v>
      </c>
    </row>
    <row r="75" spans="1:2" x14ac:dyDescent="0.25">
      <c r="A75" t="s">
        <v>115</v>
      </c>
      <c r="B75" t="s">
        <v>66</v>
      </c>
    </row>
    <row r="76" spans="1:2" x14ac:dyDescent="0.25">
      <c r="A76" t="s">
        <v>116</v>
      </c>
      <c r="B76" t="s">
        <v>66</v>
      </c>
    </row>
    <row r="77" spans="1:2" x14ac:dyDescent="0.25">
      <c r="A77" t="s">
        <v>117</v>
      </c>
      <c r="B77" t="s">
        <v>66</v>
      </c>
    </row>
    <row r="78" spans="1:2" x14ac:dyDescent="0.25">
      <c r="A78" t="s">
        <v>118</v>
      </c>
      <c r="B78" t="s">
        <v>66</v>
      </c>
    </row>
    <row r="79" spans="1:2" x14ac:dyDescent="0.25">
      <c r="A79" t="s">
        <v>119</v>
      </c>
      <c r="B79" t="s">
        <v>133</v>
      </c>
    </row>
    <row r="80" spans="1:2" x14ac:dyDescent="0.25">
      <c r="A80" t="s">
        <v>120</v>
      </c>
      <c r="B80" t="s">
        <v>66</v>
      </c>
    </row>
    <row r="81" spans="1:2" x14ac:dyDescent="0.25">
      <c r="A81" t="s">
        <v>121</v>
      </c>
      <c r="B81" t="s">
        <v>66</v>
      </c>
    </row>
    <row r="82" spans="1:2" x14ac:dyDescent="0.25">
      <c r="A82" t="s">
        <v>122</v>
      </c>
      <c r="B82" t="s">
        <v>66</v>
      </c>
    </row>
    <row r="83" spans="1:2" x14ac:dyDescent="0.25">
      <c r="A83" t="s">
        <v>123</v>
      </c>
      <c r="B83" t="s">
        <v>66</v>
      </c>
    </row>
    <row r="84" spans="1:2" x14ac:dyDescent="0.25">
      <c r="A84" t="s">
        <v>124</v>
      </c>
      <c r="B84" t="s">
        <v>66</v>
      </c>
    </row>
    <row r="85" spans="1:2" x14ac:dyDescent="0.25">
      <c r="A85" t="s">
        <v>125</v>
      </c>
      <c r="B85" t="s">
        <v>66</v>
      </c>
    </row>
    <row r="86" spans="1:2" x14ac:dyDescent="0.25">
      <c r="A86" t="s">
        <v>126</v>
      </c>
      <c r="B86" t="s">
        <v>66</v>
      </c>
    </row>
    <row r="87" spans="1:2" x14ac:dyDescent="0.25">
      <c r="A87" t="s">
        <v>147</v>
      </c>
      <c r="B87" t="s">
        <v>139</v>
      </c>
    </row>
    <row r="88" spans="1:2" x14ac:dyDescent="0.25">
      <c r="A88" t="s">
        <v>127</v>
      </c>
      <c r="B88" t="s">
        <v>66</v>
      </c>
    </row>
    <row r="89" spans="1:2" x14ac:dyDescent="0.25">
      <c r="A89" t="s">
        <v>128</v>
      </c>
      <c r="B89" t="s">
        <v>66</v>
      </c>
    </row>
    <row r="90" spans="1:2" x14ac:dyDescent="0.25">
      <c r="A90" t="s">
        <v>129</v>
      </c>
      <c r="B90" t="s">
        <v>66</v>
      </c>
    </row>
    <row r="91" spans="1:2" x14ac:dyDescent="0.25">
      <c r="A91" t="s">
        <v>130</v>
      </c>
      <c r="B91" t="s">
        <v>66</v>
      </c>
    </row>
    <row r="92" spans="1:2" x14ac:dyDescent="0.25">
      <c r="A92" t="s">
        <v>131</v>
      </c>
      <c r="B92" t="s">
        <v>66</v>
      </c>
    </row>
    <row r="93" spans="1:2" x14ac:dyDescent="0.25">
      <c r="A93" t="s">
        <v>137</v>
      </c>
      <c r="B93" t="s">
        <v>133</v>
      </c>
    </row>
    <row r="94" spans="1:2" x14ac:dyDescent="0.25">
      <c r="A94" t="s">
        <v>148</v>
      </c>
      <c r="B94" t="s">
        <v>139</v>
      </c>
    </row>
    <row r="95" spans="1:2" x14ac:dyDescent="0.25">
      <c r="A95" t="s">
        <v>149</v>
      </c>
      <c r="B95" t="s">
        <v>139</v>
      </c>
    </row>
    <row r="96" spans="1:2" x14ac:dyDescent="0.25">
      <c r="A96" t="s">
        <v>132</v>
      </c>
      <c r="B96" t="s">
        <v>133</v>
      </c>
    </row>
    <row r="97" spans="1:2" x14ac:dyDescent="0.25">
      <c r="A97" t="s">
        <v>132</v>
      </c>
      <c r="B97" t="s">
        <v>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F175-9AF5-423D-9401-E47E9B763F42}">
  <dimension ref="A1:J97"/>
  <sheetViews>
    <sheetView workbookViewId="0">
      <selection sqref="A1:E97"/>
    </sheetView>
  </sheetViews>
  <sheetFormatPr defaultRowHeight="15" x14ac:dyDescent="0.25"/>
  <cols>
    <col min="1" max="1" width="8.5703125" bestFit="1" customWidth="1"/>
    <col min="2" max="2" width="16.140625" bestFit="1" customWidth="1"/>
    <col min="3" max="3" width="20.28515625" bestFit="1" customWidth="1"/>
    <col min="4" max="4" width="28.140625" bestFit="1" customWidth="1"/>
    <col min="5" max="6" width="7.28515625" bestFit="1" customWidth="1"/>
    <col min="9" max="9" width="7.28515625" bestFit="1" customWidth="1"/>
    <col min="10" max="11" width="20.28515625" bestFit="1" customWidth="1"/>
  </cols>
  <sheetData>
    <row r="1" spans="1:10" x14ac:dyDescent="0.25">
      <c r="A1" t="s">
        <v>59</v>
      </c>
      <c r="B1" t="s">
        <v>60</v>
      </c>
      <c r="C1" t="s">
        <v>61</v>
      </c>
      <c r="D1" t="s">
        <v>18</v>
      </c>
      <c r="E1" t="s">
        <v>16</v>
      </c>
      <c r="I1" t="s">
        <v>16</v>
      </c>
      <c r="J1" t="s">
        <v>61</v>
      </c>
    </row>
    <row r="2" spans="1:10" x14ac:dyDescent="0.25">
      <c r="A2">
        <v>3</v>
      </c>
      <c r="B2">
        <v>10</v>
      </c>
      <c r="C2">
        <v>3</v>
      </c>
      <c r="D2" t="s">
        <v>65</v>
      </c>
      <c r="E2" t="s">
        <v>66</v>
      </c>
      <c r="I2" t="s">
        <v>66</v>
      </c>
      <c r="J2">
        <v>583</v>
      </c>
    </row>
    <row r="3" spans="1:10" x14ac:dyDescent="0.25">
      <c r="A3">
        <v>3</v>
      </c>
      <c r="B3">
        <v>10</v>
      </c>
      <c r="C3">
        <v>3</v>
      </c>
      <c r="D3" t="s">
        <v>65</v>
      </c>
      <c r="E3" t="s">
        <v>133</v>
      </c>
      <c r="I3" t="s">
        <v>133</v>
      </c>
      <c r="J3">
        <v>92</v>
      </c>
    </row>
    <row r="4" spans="1:10" x14ac:dyDescent="0.25">
      <c r="A4">
        <v>8</v>
      </c>
      <c r="B4">
        <v>10</v>
      </c>
      <c r="C4">
        <v>8</v>
      </c>
      <c r="D4" t="s">
        <v>67</v>
      </c>
      <c r="E4" t="s">
        <v>66</v>
      </c>
      <c r="I4" t="s">
        <v>139</v>
      </c>
      <c r="J4">
        <v>91</v>
      </c>
    </row>
    <row r="5" spans="1:10" x14ac:dyDescent="0.25">
      <c r="A5">
        <v>24</v>
      </c>
      <c r="B5">
        <v>10</v>
      </c>
      <c r="C5">
        <v>10</v>
      </c>
      <c r="D5" t="s">
        <v>68</v>
      </c>
      <c r="E5" t="s">
        <v>66</v>
      </c>
    </row>
    <row r="6" spans="1:10" x14ac:dyDescent="0.25">
      <c r="A6">
        <v>6</v>
      </c>
      <c r="B6">
        <v>10</v>
      </c>
      <c r="C6">
        <v>6</v>
      </c>
      <c r="D6" t="s">
        <v>69</v>
      </c>
      <c r="E6" t="s">
        <v>66</v>
      </c>
    </row>
    <row r="7" spans="1:10" x14ac:dyDescent="0.25">
      <c r="A7">
        <v>10</v>
      </c>
      <c r="B7">
        <v>10</v>
      </c>
      <c r="C7">
        <v>10</v>
      </c>
      <c r="D7" t="s">
        <v>175</v>
      </c>
      <c r="E7" t="s">
        <v>66</v>
      </c>
    </row>
    <row r="8" spans="1:10" x14ac:dyDescent="0.25">
      <c r="A8">
        <v>4</v>
      </c>
      <c r="B8">
        <v>10</v>
      </c>
      <c r="C8">
        <v>4</v>
      </c>
      <c r="D8" t="s">
        <v>70</v>
      </c>
      <c r="E8" t="s">
        <v>66</v>
      </c>
    </row>
    <row r="9" spans="1:10" x14ac:dyDescent="0.25">
      <c r="A9">
        <v>10</v>
      </c>
      <c r="B9">
        <v>10</v>
      </c>
      <c r="C9">
        <v>10</v>
      </c>
      <c r="D9" t="s">
        <v>71</v>
      </c>
      <c r="E9" t="s">
        <v>66</v>
      </c>
    </row>
    <row r="10" spans="1:10" x14ac:dyDescent="0.25">
      <c r="A10">
        <v>10</v>
      </c>
      <c r="B10">
        <v>10</v>
      </c>
      <c r="C10">
        <v>10</v>
      </c>
      <c r="D10" t="s">
        <v>71</v>
      </c>
      <c r="E10" t="s">
        <v>133</v>
      </c>
    </row>
    <row r="11" spans="1:10" x14ac:dyDescent="0.25">
      <c r="A11">
        <v>6</v>
      </c>
      <c r="B11">
        <v>10</v>
      </c>
      <c r="C11">
        <v>6</v>
      </c>
      <c r="D11" t="s">
        <v>72</v>
      </c>
      <c r="E11" t="s">
        <v>66</v>
      </c>
    </row>
    <row r="12" spans="1:10" x14ac:dyDescent="0.25">
      <c r="A12">
        <v>12</v>
      </c>
      <c r="B12">
        <v>10</v>
      </c>
      <c r="C12">
        <v>10</v>
      </c>
      <c r="D12" t="s">
        <v>134</v>
      </c>
      <c r="E12" t="s">
        <v>133</v>
      </c>
    </row>
    <row r="13" spans="1:10" x14ac:dyDescent="0.25">
      <c r="A13">
        <v>10</v>
      </c>
      <c r="B13">
        <v>10</v>
      </c>
      <c r="C13">
        <v>10</v>
      </c>
      <c r="D13" t="s">
        <v>73</v>
      </c>
      <c r="E13" t="s">
        <v>66</v>
      </c>
    </row>
    <row r="14" spans="1:10" x14ac:dyDescent="0.25">
      <c r="A14">
        <v>10</v>
      </c>
      <c r="B14">
        <v>10</v>
      </c>
      <c r="C14">
        <v>10</v>
      </c>
      <c r="D14" t="s">
        <v>74</v>
      </c>
      <c r="E14" t="s">
        <v>66</v>
      </c>
    </row>
    <row r="15" spans="1:10" x14ac:dyDescent="0.25">
      <c r="A15">
        <v>16</v>
      </c>
      <c r="B15">
        <v>10</v>
      </c>
      <c r="C15">
        <v>10</v>
      </c>
      <c r="D15" t="s">
        <v>179</v>
      </c>
      <c r="E15" t="s">
        <v>66</v>
      </c>
    </row>
    <row r="16" spans="1:10" x14ac:dyDescent="0.25">
      <c r="A16">
        <v>28</v>
      </c>
      <c r="B16">
        <v>10</v>
      </c>
      <c r="C16">
        <v>10</v>
      </c>
      <c r="D16" t="s">
        <v>138</v>
      </c>
      <c r="E16" t="s">
        <v>139</v>
      </c>
    </row>
    <row r="17" spans="1:5" x14ac:dyDescent="0.25">
      <c r="A17">
        <v>7</v>
      </c>
      <c r="B17">
        <v>10</v>
      </c>
      <c r="C17">
        <v>7</v>
      </c>
      <c r="D17" t="s">
        <v>75</v>
      </c>
      <c r="E17" t="s">
        <v>66</v>
      </c>
    </row>
    <row r="18" spans="1:5" x14ac:dyDescent="0.25">
      <c r="A18">
        <v>4</v>
      </c>
      <c r="B18">
        <v>10</v>
      </c>
      <c r="C18">
        <v>4</v>
      </c>
      <c r="D18" t="s">
        <v>76</v>
      </c>
      <c r="E18" t="s">
        <v>66</v>
      </c>
    </row>
    <row r="19" spans="1:5" x14ac:dyDescent="0.25">
      <c r="A19">
        <v>6</v>
      </c>
      <c r="B19">
        <v>10</v>
      </c>
      <c r="C19">
        <v>6</v>
      </c>
      <c r="D19" t="s">
        <v>76</v>
      </c>
      <c r="E19" t="s">
        <v>133</v>
      </c>
    </row>
    <row r="20" spans="1:5" x14ac:dyDescent="0.25">
      <c r="A20">
        <v>4</v>
      </c>
      <c r="B20">
        <v>10</v>
      </c>
      <c r="C20">
        <v>4</v>
      </c>
      <c r="D20" t="s">
        <v>77</v>
      </c>
      <c r="E20" t="s">
        <v>66</v>
      </c>
    </row>
    <row r="21" spans="1:5" x14ac:dyDescent="0.25">
      <c r="A21">
        <v>10</v>
      </c>
      <c r="B21">
        <v>10</v>
      </c>
      <c r="C21">
        <v>10</v>
      </c>
      <c r="D21" t="s">
        <v>78</v>
      </c>
      <c r="E21" t="s">
        <v>66</v>
      </c>
    </row>
    <row r="22" spans="1:5" x14ac:dyDescent="0.25">
      <c r="A22">
        <v>10</v>
      </c>
      <c r="B22">
        <v>10</v>
      </c>
      <c r="C22">
        <v>10</v>
      </c>
      <c r="D22" t="s">
        <v>79</v>
      </c>
      <c r="E22" t="s">
        <v>66</v>
      </c>
    </row>
    <row r="23" spans="1:5" x14ac:dyDescent="0.25">
      <c r="A23">
        <v>2</v>
      </c>
      <c r="B23">
        <v>10</v>
      </c>
      <c r="C23">
        <v>2</v>
      </c>
      <c r="D23" t="s">
        <v>80</v>
      </c>
      <c r="E23" t="s">
        <v>66</v>
      </c>
    </row>
    <row r="24" spans="1:5" x14ac:dyDescent="0.25">
      <c r="A24">
        <v>6</v>
      </c>
      <c r="B24">
        <v>10</v>
      </c>
      <c r="C24">
        <v>6</v>
      </c>
      <c r="D24" t="s">
        <v>80</v>
      </c>
      <c r="E24" t="s">
        <v>133</v>
      </c>
    </row>
    <row r="25" spans="1:5" x14ac:dyDescent="0.25">
      <c r="A25">
        <v>20</v>
      </c>
      <c r="B25">
        <v>10</v>
      </c>
      <c r="C25">
        <v>10</v>
      </c>
      <c r="D25" t="s">
        <v>81</v>
      </c>
      <c r="E25" t="s">
        <v>66</v>
      </c>
    </row>
    <row r="26" spans="1:5" x14ac:dyDescent="0.25">
      <c r="A26">
        <v>6</v>
      </c>
      <c r="B26">
        <v>10</v>
      </c>
      <c r="C26">
        <v>6</v>
      </c>
      <c r="D26" t="s">
        <v>82</v>
      </c>
      <c r="E26" t="s">
        <v>66</v>
      </c>
    </row>
    <row r="27" spans="1:5" x14ac:dyDescent="0.25">
      <c r="A27">
        <v>8</v>
      </c>
      <c r="B27">
        <v>10</v>
      </c>
      <c r="C27">
        <v>8</v>
      </c>
      <c r="D27" t="s">
        <v>83</v>
      </c>
      <c r="E27" t="s">
        <v>66</v>
      </c>
    </row>
    <row r="28" spans="1:5" x14ac:dyDescent="0.25">
      <c r="A28">
        <v>4</v>
      </c>
      <c r="B28">
        <v>10</v>
      </c>
      <c r="C28">
        <v>4</v>
      </c>
      <c r="D28" t="s">
        <v>140</v>
      </c>
      <c r="E28" t="s">
        <v>139</v>
      </c>
    </row>
    <row r="29" spans="1:5" x14ac:dyDescent="0.25">
      <c r="A29">
        <v>10</v>
      </c>
      <c r="B29">
        <v>10</v>
      </c>
      <c r="C29">
        <v>10</v>
      </c>
      <c r="D29" t="s">
        <v>84</v>
      </c>
      <c r="E29" t="s">
        <v>66</v>
      </c>
    </row>
    <row r="30" spans="1:5" x14ac:dyDescent="0.25">
      <c r="A30">
        <v>24</v>
      </c>
      <c r="B30">
        <v>10</v>
      </c>
      <c r="C30">
        <v>10</v>
      </c>
      <c r="D30" t="s">
        <v>85</v>
      </c>
      <c r="E30" t="s">
        <v>66</v>
      </c>
    </row>
    <row r="31" spans="1:5" x14ac:dyDescent="0.25">
      <c r="A31">
        <v>10</v>
      </c>
      <c r="B31">
        <v>10</v>
      </c>
      <c r="C31">
        <v>10</v>
      </c>
      <c r="D31" t="s">
        <v>86</v>
      </c>
      <c r="E31" t="s">
        <v>66</v>
      </c>
    </row>
    <row r="32" spans="1:5" x14ac:dyDescent="0.25">
      <c r="A32">
        <v>10</v>
      </c>
      <c r="B32">
        <v>10</v>
      </c>
      <c r="C32">
        <v>10</v>
      </c>
      <c r="D32" t="s">
        <v>87</v>
      </c>
      <c r="E32" t="s">
        <v>66</v>
      </c>
    </row>
    <row r="33" spans="1:5" x14ac:dyDescent="0.25">
      <c r="A33">
        <v>9</v>
      </c>
      <c r="B33">
        <v>10</v>
      </c>
      <c r="C33">
        <v>9</v>
      </c>
      <c r="D33" t="s">
        <v>88</v>
      </c>
      <c r="E33" t="s">
        <v>66</v>
      </c>
    </row>
    <row r="34" spans="1:5" x14ac:dyDescent="0.25">
      <c r="A34">
        <v>2</v>
      </c>
      <c r="B34">
        <v>10</v>
      </c>
      <c r="C34">
        <v>2</v>
      </c>
      <c r="D34" t="s">
        <v>88</v>
      </c>
      <c r="E34" t="s">
        <v>133</v>
      </c>
    </row>
    <row r="35" spans="1:5" x14ac:dyDescent="0.25">
      <c r="A35">
        <v>10</v>
      </c>
      <c r="B35">
        <v>10</v>
      </c>
      <c r="C35">
        <v>10</v>
      </c>
      <c r="D35" t="s">
        <v>89</v>
      </c>
      <c r="E35" t="s">
        <v>66</v>
      </c>
    </row>
    <row r="36" spans="1:5" x14ac:dyDescent="0.25">
      <c r="A36">
        <v>10</v>
      </c>
      <c r="B36">
        <v>10</v>
      </c>
      <c r="C36">
        <v>10</v>
      </c>
      <c r="D36" t="s">
        <v>90</v>
      </c>
      <c r="E36" t="s">
        <v>66</v>
      </c>
    </row>
    <row r="37" spans="1:5" x14ac:dyDescent="0.25">
      <c r="A37">
        <v>16</v>
      </c>
      <c r="B37">
        <v>10</v>
      </c>
      <c r="C37">
        <v>10</v>
      </c>
      <c r="D37" t="s">
        <v>91</v>
      </c>
      <c r="E37" t="s">
        <v>66</v>
      </c>
    </row>
    <row r="38" spans="1:5" x14ac:dyDescent="0.25">
      <c r="A38">
        <v>12</v>
      </c>
      <c r="B38">
        <v>10</v>
      </c>
      <c r="C38">
        <v>10</v>
      </c>
      <c r="D38" t="s">
        <v>92</v>
      </c>
      <c r="E38" t="s">
        <v>66</v>
      </c>
    </row>
    <row r="39" spans="1:5" x14ac:dyDescent="0.25">
      <c r="A39">
        <v>5</v>
      </c>
      <c r="B39">
        <v>10</v>
      </c>
      <c r="C39">
        <v>5</v>
      </c>
      <c r="D39" t="s">
        <v>178</v>
      </c>
      <c r="E39" t="s">
        <v>139</v>
      </c>
    </row>
    <row r="40" spans="1:5" x14ac:dyDescent="0.25">
      <c r="A40">
        <v>12</v>
      </c>
      <c r="B40">
        <v>10</v>
      </c>
      <c r="C40">
        <v>10</v>
      </c>
      <c r="D40" t="s">
        <v>141</v>
      </c>
      <c r="E40" t="s">
        <v>139</v>
      </c>
    </row>
    <row r="41" spans="1:5" x14ac:dyDescent="0.25">
      <c r="A41">
        <v>4</v>
      </c>
      <c r="B41">
        <v>10</v>
      </c>
      <c r="C41">
        <v>4</v>
      </c>
      <c r="D41" t="s">
        <v>142</v>
      </c>
      <c r="E41" t="s">
        <v>139</v>
      </c>
    </row>
    <row r="42" spans="1:5" x14ac:dyDescent="0.25">
      <c r="A42">
        <v>18</v>
      </c>
      <c r="B42">
        <v>10</v>
      </c>
      <c r="C42">
        <v>10</v>
      </c>
      <c r="D42" t="s">
        <v>135</v>
      </c>
      <c r="E42" t="s">
        <v>133</v>
      </c>
    </row>
    <row r="43" spans="1:5" x14ac:dyDescent="0.25">
      <c r="A43">
        <v>12</v>
      </c>
      <c r="B43">
        <v>10</v>
      </c>
      <c r="C43">
        <v>10</v>
      </c>
      <c r="D43" t="s">
        <v>93</v>
      </c>
      <c r="E43" t="s">
        <v>66</v>
      </c>
    </row>
    <row r="44" spans="1:5" x14ac:dyDescent="0.25">
      <c r="A44">
        <v>10</v>
      </c>
      <c r="B44">
        <v>10</v>
      </c>
      <c r="C44">
        <v>10</v>
      </c>
      <c r="D44" t="s">
        <v>136</v>
      </c>
      <c r="E44" t="s">
        <v>133</v>
      </c>
    </row>
    <row r="45" spans="1:5" x14ac:dyDescent="0.25">
      <c r="A45">
        <v>9</v>
      </c>
      <c r="B45">
        <v>10</v>
      </c>
      <c r="C45">
        <v>9</v>
      </c>
      <c r="D45" t="s">
        <v>94</v>
      </c>
      <c r="E45" t="s">
        <v>66</v>
      </c>
    </row>
    <row r="46" spans="1:5" x14ac:dyDescent="0.25">
      <c r="A46">
        <v>13</v>
      </c>
      <c r="B46">
        <v>10</v>
      </c>
      <c r="C46">
        <v>10</v>
      </c>
      <c r="D46" t="s">
        <v>95</v>
      </c>
      <c r="E46" t="s">
        <v>66</v>
      </c>
    </row>
    <row r="47" spans="1:5" x14ac:dyDescent="0.25">
      <c r="A47">
        <v>4</v>
      </c>
      <c r="B47">
        <v>10</v>
      </c>
      <c r="C47">
        <v>4</v>
      </c>
      <c r="D47" t="s">
        <v>96</v>
      </c>
      <c r="E47" t="s">
        <v>66</v>
      </c>
    </row>
    <row r="48" spans="1:5" x14ac:dyDescent="0.25">
      <c r="A48">
        <v>20</v>
      </c>
      <c r="B48">
        <v>10</v>
      </c>
      <c r="C48">
        <v>10</v>
      </c>
      <c r="D48" t="s">
        <v>97</v>
      </c>
      <c r="E48" t="s">
        <v>66</v>
      </c>
    </row>
    <row r="49" spans="1:5" x14ac:dyDescent="0.25">
      <c r="A49">
        <v>42</v>
      </c>
      <c r="B49">
        <v>10</v>
      </c>
      <c r="C49">
        <v>10</v>
      </c>
      <c r="D49" t="s">
        <v>176</v>
      </c>
      <c r="E49" t="s">
        <v>66</v>
      </c>
    </row>
    <row r="50" spans="1:5" x14ac:dyDescent="0.25">
      <c r="A50">
        <v>5</v>
      </c>
      <c r="B50">
        <v>10</v>
      </c>
      <c r="C50">
        <v>5</v>
      </c>
      <c r="D50" t="s">
        <v>98</v>
      </c>
      <c r="E50" t="s">
        <v>66</v>
      </c>
    </row>
    <row r="51" spans="1:5" x14ac:dyDescent="0.25">
      <c r="A51">
        <v>14</v>
      </c>
      <c r="B51">
        <v>10</v>
      </c>
      <c r="C51">
        <v>10</v>
      </c>
      <c r="D51" t="s">
        <v>143</v>
      </c>
      <c r="E51" t="s">
        <v>139</v>
      </c>
    </row>
    <row r="52" spans="1:5" x14ac:dyDescent="0.25">
      <c r="A52">
        <v>10</v>
      </c>
      <c r="B52">
        <v>10</v>
      </c>
      <c r="C52">
        <v>10</v>
      </c>
      <c r="D52" t="s">
        <v>99</v>
      </c>
      <c r="E52" t="s">
        <v>66</v>
      </c>
    </row>
    <row r="53" spans="1:5" x14ac:dyDescent="0.25">
      <c r="A53">
        <v>8</v>
      </c>
      <c r="B53">
        <v>10</v>
      </c>
      <c r="C53">
        <v>8</v>
      </c>
      <c r="D53" t="s">
        <v>100</v>
      </c>
      <c r="E53" t="s">
        <v>66</v>
      </c>
    </row>
    <row r="54" spans="1:5" x14ac:dyDescent="0.25">
      <c r="A54">
        <v>13</v>
      </c>
      <c r="B54">
        <v>10</v>
      </c>
      <c r="C54">
        <v>10</v>
      </c>
      <c r="D54" t="s">
        <v>101</v>
      </c>
      <c r="E54" t="s">
        <v>66</v>
      </c>
    </row>
    <row r="55" spans="1:5" x14ac:dyDescent="0.25">
      <c r="A55">
        <v>3</v>
      </c>
      <c r="B55">
        <v>10</v>
      </c>
      <c r="C55">
        <v>3</v>
      </c>
      <c r="D55" t="s">
        <v>101</v>
      </c>
      <c r="E55" t="s">
        <v>133</v>
      </c>
    </row>
    <row r="56" spans="1:5" x14ac:dyDescent="0.25">
      <c r="A56">
        <v>8</v>
      </c>
      <c r="B56">
        <v>10</v>
      </c>
      <c r="C56">
        <v>8</v>
      </c>
      <c r="D56" t="s">
        <v>102</v>
      </c>
      <c r="E56" t="s">
        <v>66</v>
      </c>
    </row>
    <row r="57" spans="1:5" x14ac:dyDescent="0.25">
      <c r="A57">
        <v>10</v>
      </c>
      <c r="B57">
        <v>10</v>
      </c>
      <c r="C57">
        <v>10</v>
      </c>
      <c r="D57" t="s">
        <v>144</v>
      </c>
      <c r="E57" t="s">
        <v>139</v>
      </c>
    </row>
    <row r="58" spans="1:5" x14ac:dyDescent="0.25">
      <c r="A58">
        <v>14</v>
      </c>
      <c r="B58">
        <v>10</v>
      </c>
      <c r="C58">
        <v>10</v>
      </c>
      <c r="D58" t="s">
        <v>103</v>
      </c>
      <c r="E58" t="s">
        <v>66</v>
      </c>
    </row>
    <row r="59" spans="1:5" x14ac:dyDescent="0.25">
      <c r="A59">
        <v>10</v>
      </c>
      <c r="B59">
        <v>10</v>
      </c>
      <c r="C59">
        <v>10</v>
      </c>
      <c r="D59" t="s">
        <v>104</v>
      </c>
      <c r="E59" t="s">
        <v>66</v>
      </c>
    </row>
    <row r="60" spans="1:5" x14ac:dyDescent="0.25">
      <c r="A60">
        <v>28</v>
      </c>
      <c r="B60">
        <v>10</v>
      </c>
      <c r="C60">
        <v>10</v>
      </c>
      <c r="D60" t="s">
        <v>177</v>
      </c>
      <c r="E60" t="s">
        <v>66</v>
      </c>
    </row>
    <row r="61" spans="1:5" x14ac:dyDescent="0.25">
      <c r="A61">
        <v>4</v>
      </c>
      <c r="B61">
        <v>10</v>
      </c>
      <c r="C61">
        <v>4</v>
      </c>
      <c r="D61" t="s">
        <v>145</v>
      </c>
      <c r="E61" t="s">
        <v>139</v>
      </c>
    </row>
    <row r="62" spans="1:5" x14ac:dyDescent="0.25">
      <c r="A62">
        <v>8</v>
      </c>
      <c r="B62">
        <v>10</v>
      </c>
      <c r="C62">
        <v>8</v>
      </c>
      <c r="D62" t="s">
        <v>105</v>
      </c>
      <c r="E62" t="s">
        <v>66</v>
      </c>
    </row>
    <row r="63" spans="1:5" x14ac:dyDescent="0.25">
      <c r="A63">
        <v>18</v>
      </c>
      <c r="B63">
        <v>10</v>
      </c>
      <c r="C63">
        <v>10</v>
      </c>
      <c r="D63" t="s">
        <v>106</v>
      </c>
      <c r="E63" t="s">
        <v>66</v>
      </c>
    </row>
    <row r="64" spans="1:5" x14ac:dyDescent="0.25">
      <c r="A64">
        <v>10</v>
      </c>
      <c r="B64">
        <v>10</v>
      </c>
      <c r="C64">
        <v>10</v>
      </c>
      <c r="D64" t="s">
        <v>180</v>
      </c>
      <c r="E64" t="s">
        <v>66</v>
      </c>
    </row>
    <row r="65" spans="1:5" x14ac:dyDescent="0.25">
      <c r="A65">
        <v>4</v>
      </c>
      <c r="B65">
        <v>10</v>
      </c>
      <c r="C65">
        <v>4</v>
      </c>
      <c r="D65" t="s">
        <v>107</v>
      </c>
      <c r="E65" t="s">
        <v>66</v>
      </c>
    </row>
    <row r="66" spans="1:5" x14ac:dyDescent="0.25">
      <c r="A66">
        <v>4</v>
      </c>
      <c r="B66">
        <v>10</v>
      </c>
      <c r="C66">
        <v>4</v>
      </c>
      <c r="D66" t="s">
        <v>108</v>
      </c>
      <c r="E66" t="s">
        <v>66</v>
      </c>
    </row>
    <row r="67" spans="1:5" x14ac:dyDescent="0.25">
      <c r="A67">
        <v>16</v>
      </c>
      <c r="B67">
        <v>10</v>
      </c>
      <c r="C67">
        <v>10</v>
      </c>
      <c r="D67" t="s">
        <v>109</v>
      </c>
      <c r="E67" t="s">
        <v>66</v>
      </c>
    </row>
    <row r="68" spans="1:5" x14ac:dyDescent="0.25">
      <c r="A68">
        <v>9</v>
      </c>
      <c r="B68">
        <v>10</v>
      </c>
      <c r="C68">
        <v>9</v>
      </c>
      <c r="D68" t="s">
        <v>109</v>
      </c>
      <c r="E68" t="s">
        <v>133</v>
      </c>
    </row>
    <row r="69" spans="1:5" x14ac:dyDescent="0.25">
      <c r="A69">
        <v>6</v>
      </c>
      <c r="B69">
        <v>10</v>
      </c>
      <c r="C69">
        <v>6</v>
      </c>
      <c r="D69" t="s">
        <v>110</v>
      </c>
      <c r="E69" t="s">
        <v>66</v>
      </c>
    </row>
    <row r="70" spans="1:5" x14ac:dyDescent="0.25">
      <c r="A70">
        <v>10</v>
      </c>
      <c r="B70">
        <v>10</v>
      </c>
      <c r="C70">
        <v>10</v>
      </c>
      <c r="D70" t="s">
        <v>111</v>
      </c>
      <c r="E70" t="s">
        <v>66</v>
      </c>
    </row>
    <row r="71" spans="1:5" x14ac:dyDescent="0.25">
      <c r="A71">
        <v>4</v>
      </c>
      <c r="B71">
        <v>10</v>
      </c>
      <c r="C71">
        <v>4</v>
      </c>
      <c r="D71" t="s">
        <v>146</v>
      </c>
      <c r="E71" t="s">
        <v>139</v>
      </c>
    </row>
    <row r="72" spans="1:5" x14ac:dyDescent="0.25">
      <c r="A72">
        <v>8</v>
      </c>
      <c r="B72">
        <v>10</v>
      </c>
      <c r="C72">
        <v>8</v>
      </c>
      <c r="D72" t="s">
        <v>112</v>
      </c>
      <c r="E72" t="s">
        <v>66</v>
      </c>
    </row>
    <row r="73" spans="1:5" x14ac:dyDescent="0.25">
      <c r="A73">
        <v>8</v>
      </c>
      <c r="B73">
        <v>10</v>
      </c>
      <c r="C73">
        <v>8</v>
      </c>
      <c r="D73" t="s">
        <v>113</v>
      </c>
      <c r="E73" t="s">
        <v>66</v>
      </c>
    </row>
    <row r="74" spans="1:5" x14ac:dyDescent="0.25">
      <c r="A74">
        <v>8</v>
      </c>
      <c r="B74">
        <v>10</v>
      </c>
      <c r="C74">
        <v>8</v>
      </c>
      <c r="D74" t="s">
        <v>114</v>
      </c>
      <c r="E74" t="s">
        <v>66</v>
      </c>
    </row>
    <row r="75" spans="1:5" x14ac:dyDescent="0.25">
      <c r="A75">
        <v>10</v>
      </c>
      <c r="B75">
        <v>10</v>
      </c>
      <c r="C75">
        <v>10</v>
      </c>
      <c r="D75" t="s">
        <v>115</v>
      </c>
      <c r="E75" t="s">
        <v>66</v>
      </c>
    </row>
    <row r="76" spans="1:5" x14ac:dyDescent="0.25">
      <c r="A76">
        <v>6</v>
      </c>
      <c r="B76">
        <v>10</v>
      </c>
      <c r="C76">
        <v>6</v>
      </c>
      <c r="D76" t="s">
        <v>116</v>
      </c>
      <c r="E76" t="s">
        <v>66</v>
      </c>
    </row>
    <row r="77" spans="1:5" x14ac:dyDescent="0.25">
      <c r="A77">
        <v>2</v>
      </c>
      <c r="B77">
        <v>10</v>
      </c>
      <c r="C77">
        <v>2</v>
      </c>
      <c r="D77" t="s">
        <v>117</v>
      </c>
      <c r="E77" t="s">
        <v>66</v>
      </c>
    </row>
    <row r="78" spans="1:5" x14ac:dyDescent="0.25">
      <c r="A78">
        <v>16</v>
      </c>
      <c r="B78">
        <v>10</v>
      </c>
      <c r="C78">
        <v>10</v>
      </c>
      <c r="D78" t="s">
        <v>118</v>
      </c>
      <c r="E78" t="s">
        <v>66</v>
      </c>
    </row>
    <row r="79" spans="1:5" x14ac:dyDescent="0.25">
      <c r="A79">
        <v>12</v>
      </c>
      <c r="B79">
        <v>10</v>
      </c>
      <c r="C79">
        <v>10</v>
      </c>
      <c r="D79" t="s">
        <v>119</v>
      </c>
      <c r="E79" t="s">
        <v>133</v>
      </c>
    </row>
    <row r="80" spans="1:5" x14ac:dyDescent="0.25">
      <c r="A80">
        <v>14</v>
      </c>
      <c r="B80">
        <v>10</v>
      </c>
      <c r="C80">
        <v>10</v>
      </c>
      <c r="D80" t="s">
        <v>120</v>
      </c>
      <c r="E80" t="s">
        <v>66</v>
      </c>
    </row>
    <row r="81" spans="1:5" x14ac:dyDescent="0.25">
      <c r="A81">
        <v>12</v>
      </c>
      <c r="B81">
        <v>10</v>
      </c>
      <c r="C81">
        <v>10</v>
      </c>
      <c r="D81" t="s">
        <v>121</v>
      </c>
      <c r="E81" t="s">
        <v>66</v>
      </c>
    </row>
    <row r="82" spans="1:5" x14ac:dyDescent="0.25">
      <c r="A82">
        <v>12</v>
      </c>
      <c r="B82">
        <v>10</v>
      </c>
      <c r="C82">
        <v>10</v>
      </c>
      <c r="D82" t="s">
        <v>122</v>
      </c>
      <c r="E82" t="s">
        <v>66</v>
      </c>
    </row>
    <row r="83" spans="1:5" x14ac:dyDescent="0.25">
      <c r="A83">
        <v>12</v>
      </c>
      <c r="B83">
        <v>10</v>
      </c>
      <c r="C83">
        <v>10</v>
      </c>
      <c r="D83" t="s">
        <v>123</v>
      </c>
      <c r="E83" t="s">
        <v>66</v>
      </c>
    </row>
    <row r="84" spans="1:5" x14ac:dyDescent="0.25">
      <c r="A84">
        <v>10</v>
      </c>
      <c r="B84">
        <v>10</v>
      </c>
      <c r="C84">
        <v>10</v>
      </c>
      <c r="D84" t="s">
        <v>124</v>
      </c>
      <c r="E84" t="s">
        <v>66</v>
      </c>
    </row>
    <row r="85" spans="1:5" x14ac:dyDescent="0.25">
      <c r="A85">
        <v>6</v>
      </c>
      <c r="B85">
        <v>10</v>
      </c>
      <c r="C85">
        <v>6</v>
      </c>
      <c r="D85" t="s">
        <v>125</v>
      </c>
      <c r="E85" t="s">
        <v>66</v>
      </c>
    </row>
    <row r="86" spans="1:5" x14ac:dyDescent="0.25">
      <c r="A86">
        <v>6</v>
      </c>
      <c r="B86">
        <v>10</v>
      </c>
      <c r="C86">
        <v>6</v>
      </c>
      <c r="D86" t="s">
        <v>126</v>
      </c>
      <c r="E86" t="s">
        <v>66</v>
      </c>
    </row>
    <row r="87" spans="1:5" x14ac:dyDescent="0.25">
      <c r="A87">
        <v>10</v>
      </c>
      <c r="B87">
        <v>10</v>
      </c>
      <c r="C87">
        <v>10</v>
      </c>
      <c r="D87" t="s">
        <v>147</v>
      </c>
      <c r="E87" t="s">
        <v>139</v>
      </c>
    </row>
    <row r="88" spans="1:5" x14ac:dyDescent="0.25">
      <c r="A88">
        <v>24</v>
      </c>
      <c r="B88">
        <v>10</v>
      </c>
      <c r="C88">
        <v>10</v>
      </c>
      <c r="D88" t="s">
        <v>127</v>
      </c>
      <c r="E88" t="s">
        <v>66</v>
      </c>
    </row>
    <row r="89" spans="1:5" x14ac:dyDescent="0.25">
      <c r="A89">
        <v>6</v>
      </c>
      <c r="B89">
        <v>10</v>
      </c>
      <c r="C89">
        <v>6</v>
      </c>
      <c r="D89" t="s">
        <v>128</v>
      </c>
      <c r="E89" t="s">
        <v>66</v>
      </c>
    </row>
    <row r="90" spans="1:5" x14ac:dyDescent="0.25">
      <c r="A90">
        <v>10</v>
      </c>
      <c r="B90">
        <v>10</v>
      </c>
      <c r="C90">
        <v>10</v>
      </c>
      <c r="D90" t="s">
        <v>129</v>
      </c>
      <c r="E90" t="s">
        <v>66</v>
      </c>
    </row>
    <row r="91" spans="1:5" x14ac:dyDescent="0.25">
      <c r="A91">
        <v>10</v>
      </c>
      <c r="B91">
        <v>10</v>
      </c>
      <c r="C91">
        <v>10</v>
      </c>
      <c r="D91" t="s">
        <v>130</v>
      </c>
      <c r="E91" t="s">
        <v>66</v>
      </c>
    </row>
    <row r="92" spans="1:5" x14ac:dyDescent="0.25">
      <c r="A92">
        <v>6</v>
      </c>
      <c r="B92">
        <v>10</v>
      </c>
      <c r="C92">
        <v>6</v>
      </c>
      <c r="D92" t="s">
        <v>131</v>
      </c>
      <c r="E92" t="s">
        <v>66</v>
      </c>
    </row>
    <row r="93" spans="1:5" x14ac:dyDescent="0.25">
      <c r="A93">
        <v>8</v>
      </c>
      <c r="B93">
        <v>10</v>
      </c>
      <c r="C93">
        <v>8</v>
      </c>
      <c r="D93" t="s">
        <v>137</v>
      </c>
      <c r="E93" t="s">
        <v>133</v>
      </c>
    </row>
    <row r="94" spans="1:5" x14ac:dyDescent="0.25">
      <c r="A94">
        <v>10</v>
      </c>
      <c r="B94">
        <v>10</v>
      </c>
      <c r="C94">
        <v>10</v>
      </c>
      <c r="D94" t="s">
        <v>148</v>
      </c>
      <c r="E94" t="s">
        <v>139</v>
      </c>
    </row>
    <row r="95" spans="1:5" x14ac:dyDescent="0.25">
      <c r="A95">
        <v>28</v>
      </c>
      <c r="B95">
        <v>10</v>
      </c>
      <c r="C95">
        <v>10</v>
      </c>
      <c r="D95" t="s">
        <v>149</v>
      </c>
      <c r="E95" t="s">
        <v>139</v>
      </c>
    </row>
    <row r="96" spans="1:5" x14ac:dyDescent="0.25">
      <c r="A96">
        <v>4</v>
      </c>
      <c r="B96">
        <v>10</v>
      </c>
      <c r="C96">
        <v>4</v>
      </c>
      <c r="D96" t="s">
        <v>132</v>
      </c>
      <c r="E96" t="s">
        <v>66</v>
      </c>
    </row>
    <row r="97" spans="1:5" x14ac:dyDescent="0.25">
      <c r="A97">
        <v>5</v>
      </c>
      <c r="B97">
        <v>10</v>
      </c>
      <c r="C97">
        <v>5</v>
      </c>
      <c r="D97" t="s">
        <v>132</v>
      </c>
      <c r="E97" t="s">
        <v>133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53C3-4530-4BED-8C24-A68417340138}">
  <dimension ref="A1:C11"/>
  <sheetViews>
    <sheetView workbookViewId="0">
      <selection sqref="A1:C19"/>
    </sheetView>
  </sheetViews>
  <sheetFormatPr defaultRowHeight="15" x14ac:dyDescent="0.25"/>
  <cols>
    <col min="1" max="1" width="16.7109375" bestFit="1" customWidth="1"/>
    <col min="2" max="2" width="18.85546875" bestFit="1" customWidth="1"/>
    <col min="3" max="3" width="12.140625" bestFit="1" customWidth="1"/>
  </cols>
  <sheetData>
    <row r="1" spans="1:3" x14ac:dyDescent="0.25">
      <c r="A1" t="s">
        <v>18</v>
      </c>
      <c r="B1" t="s">
        <v>151</v>
      </c>
      <c r="C1" t="s">
        <v>152</v>
      </c>
    </row>
    <row r="2" spans="1:3" x14ac:dyDescent="0.25">
      <c r="A2" t="s">
        <v>193</v>
      </c>
      <c r="B2">
        <v>0.4</v>
      </c>
      <c r="C2" t="s">
        <v>66</v>
      </c>
    </row>
    <row r="3" spans="1:3" x14ac:dyDescent="0.25">
      <c r="A3" t="s">
        <v>193</v>
      </c>
      <c r="B3">
        <v>0.4</v>
      </c>
      <c r="C3" t="s">
        <v>133</v>
      </c>
    </row>
    <row r="4" spans="1:3" x14ac:dyDescent="0.25">
      <c r="A4" t="s">
        <v>194</v>
      </c>
      <c r="B4">
        <v>0.5</v>
      </c>
      <c r="C4" t="s">
        <v>66</v>
      </c>
    </row>
    <row r="5" spans="1:3" x14ac:dyDescent="0.25">
      <c r="A5" t="s">
        <v>194</v>
      </c>
      <c r="B5">
        <v>0.5</v>
      </c>
      <c r="C5" t="s">
        <v>133</v>
      </c>
    </row>
    <row r="6" spans="1:3" x14ac:dyDescent="0.25">
      <c r="A6" t="s">
        <v>195</v>
      </c>
      <c r="B6">
        <v>0.2</v>
      </c>
      <c r="C6" t="s">
        <v>66</v>
      </c>
    </row>
    <row r="7" spans="1:3" x14ac:dyDescent="0.25">
      <c r="A7" t="s">
        <v>195</v>
      </c>
      <c r="B7">
        <v>0.2</v>
      </c>
      <c r="C7" t="s">
        <v>133</v>
      </c>
    </row>
    <row r="8" spans="1:3" x14ac:dyDescent="0.25">
      <c r="A8" t="s">
        <v>196</v>
      </c>
      <c r="B8">
        <v>0.2</v>
      </c>
      <c r="C8" t="s">
        <v>66</v>
      </c>
    </row>
    <row r="9" spans="1:3" x14ac:dyDescent="0.25">
      <c r="A9" t="s">
        <v>196</v>
      </c>
      <c r="B9">
        <v>0.2</v>
      </c>
      <c r="C9" t="s">
        <v>133</v>
      </c>
    </row>
    <row r="10" spans="1:3" x14ac:dyDescent="0.25">
      <c r="A10" t="s">
        <v>197</v>
      </c>
      <c r="B10">
        <v>1</v>
      </c>
      <c r="C10" t="s">
        <v>66</v>
      </c>
    </row>
    <row r="11" spans="1:3" x14ac:dyDescent="0.25">
      <c r="A11" t="s">
        <v>197</v>
      </c>
      <c r="B11">
        <v>1</v>
      </c>
      <c r="C11" t="s">
        <v>133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1ED9-0854-45F6-BF1B-ED8B292A1B45}">
  <dimension ref="A1:E6"/>
  <sheetViews>
    <sheetView workbookViewId="0">
      <selection sqref="A1:E10"/>
    </sheetView>
  </sheetViews>
  <sheetFormatPr defaultRowHeight="15" x14ac:dyDescent="0.25"/>
  <cols>
    <col min="1" max="1" width="16.7109375" bestFit="1" customWidth="1"/>
    <col min="2" max="2" width="6.5703125" bestFit="1" customWidth="1"/>
    <col min="3" max="3" width="8.7109375" bestFit="1" customWidth="1"/>
    <col min="4" max="4" width="7.7109375" bestFit="1" customWidth="1"/>
    <col min="5" max="5" width="18.85546875" bestFit="1" customWidth="1"/>
  </cols>
  <sheetData>
    <row r="1" spans="1:5" x14ac:dyDescent="0.25">
      <c r="A1" t="s">
        <v>18</v>
      </c>
      <c r="B1" t="s">
        <v>66</v>
      </c>
      <c r="C1" t="s">
        <v>133</v>
      </c>
      <c r="D1" t="s">
        <v>150</v>
      </c>
      <c r="E1" t="s">
        <v>151</v>
      </c>
    </row>
    <row r="2" spans="1:5" x14ac:dyDescent="0.25">
      <c r="A2" t="s">
        <v>193</v>
      </c>
      <c r="B2">
        <v>90</v>
      </c>
      <c r="C2">
        <v>52.5</v>
      </c>
      <c r="D2">
        <v>142.5</v>
      </c>
      <c r="E2">
        <v>0.4</v>
      </c>
    </row>
    <row r="3" spans="1:5" x14ac:dyDescent="0.25">
      <c r="A3" t="s">
        <v>194</v>
      </c>
      <c r="B3">
        <v>16</v>
      </c>
      <c r="C3">
        <v>16</v>
      </c>
      <c r="D3">
        <v>32</v>
      </c>
      <c r="E3">
        <v>0.5</v>
      </c>
    </row>
    <row r="4" spans="1:5" x14ac:dyDescent="0.25">
      <c r="A4" t="s">
        <v>195</v>
      </c>
      <c r="B4">
        <v>112.5</v>
      </c>
      <c r="C4">
        <v>30</v>
      </c>
      <c r="D4">
        <v>142.5</v>
      </c>
      <c r="E4">
        <v>0.2</v>
      </c>
    </row>
    <row r="5" spans="1:5" x14ac:dyDescent="0.25">
      <c r="A5" t="s">
        <v>196</v>
      </c>
      <c r="B5">
        <v>124</v>
      </c>
      <c r="C5">
        <v>23.5</v>
      </c>
      <c r="D5">
        <v>147.5</v>
      </c>
      <c r="E5">
        <v>0.2</v>
      </c>
    </row>
    <row r="6" spans="1:5" x14ac:dyDescent="0.25">
      <c r="A6" t="s">
        <v>197</v>
      </c>
      <c r="B6">
        <v>7.5</v>
      </c>
      <c r="C6">
        <v>142.5</v>
      </c>
      <c r="D6">
        <v>150</v>
      </c>
      <c r="E6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1A7C-8657-4B95-B124-7B4B740380A1}">
  <dimension ref="A1:G989"/>
  <sheetViews>
    <sheetView workbookViewId="0">
      <selection sqref="A1:G989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8" bestFit="1" customWidth="1"/>
    <col min="8" max="8" width="6.5703125" bestFit="1" customWidth="1"/>
    <col min="9" max="9" width="7.42578125" bestFit="1" customWidth="1"/>
    <col min="10" max="10" width="18.28515625" bestFit="1" customWidth="1"/>
    <col min="11" max="11" width="10.7109375" bestFit="1" customWidth="1"/>
  </cols>
  <sheetData>
    <row r="1" spans="1:7" x14ac:dyDescent="0.25">
      <c r="A1" t="s">
        <v>16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18</v>
      </c>
    </row>
    <row r="2" spans="1:7" hidden="1" x14ac:dyDescent="0.25">
      <c r="A2" t="s">
        <v>66</v>
      </c>
      <c r="B2">
        <v>1</v>
      </c>
      <c r="C2" t="s">
        <v>54</v>
      </c>
      <c r="D2" t="s">
        <v>49</v>
      </c>
      <c r="E2">
        <v>7.6</v>
      </c>
      <c r="F2" s="11">
        <v>46226</v>
      </c>
      <c r="G2" t="s">
        <v>65</v>
      </c>
    </row>
    <row r="3" spans="1:7" hidden="1" x14ac:dyDescent="0.25">
      <c r="A3" t="s">
        <v>66</v>
      </c>
      <c r="B3">
        <v>1</v>
      </c>
      <c r="C3" t="s">
        <v>54</v>
      </c>
      <c r="D3" t="s">
        <v>51</v>
      </c>
      <c r="E3">
        <v>7.6</v>
      </c>
      <c r="F3" s="11">
        <v>46226</v>
      </c>
      <c r="G3" t="s">
        <v>65</v>
      </c>
    </row>
    <row r="4" spans="1:7" hidden="1" x14ac:dyDescent="0.25">
      <c r="A4" t="s">
        <v>66</v>
      </c>
      <c r="B4">
        <v>2</v>
      </c>
      <c r="C4" t="s">
        <v>48</v>
      </c>
      <c r="D4" t="s">
        <v>49</v>
      </c>
      <c r="E4">
        <v>7.6</v>
      </c>
      <c r="F4" s="11">
        <v>46230</v>
      </c>
      <c r="G4" t="s">
        <v>65</v>
      </c>
    </row>
    <row r="5" spans="1:7" hidden="1" x14ac:dyDescent="0.25">
      <c r="A5" t="s">
        <v>66</v>
      </c>
      <c r="B5">
        <v>2</v>
      </c>
      <c r="C5" t="s">
        <v>54</v>
      </c>
      <c r="D5" t="s">
        <v>51</v>
      </c>
      <c r="E5">
        <v>7.6</v>
      </c>
      <c r="F5" s="11">
        <v>46233</v>
      </c>
      <c r="G5" t="s">
        <v>76</v>
      </c>
    </row>
    <row r="6" spans="1:7" hidden="1" x14ac:dyDescent="0.25">
      <c r="A6" t="s">
        <v>66</v>
      </c>
      <c r="B6">
        <v>1</v>
      </c>
      <c r="C6" t="s">
        <v>52</v>
      </c>
      <c r="D6" t="s">
        <v>50</v>
      </c>
      <c r="E6">
        <v>7.6</v>
      </c>
      <c r="F6" s="11">
        <v>46224</v>
      </c>
      <c r="G6" t="s">
        <v>76</v>
      </c>
    </row>
    <row r="7" spans="1:7" hidden="1" x14ac:dyDescent="0.25">
      <c r="A7" t="s">
        <v>66</v>
      </c>
      <c r="B7">
        <v>2</v>
      </c>
      <c r="C7" t="s">
        <v>52</v>
      </c>
      <c r="D7" t="s">
        <v>50</v>
      </c>
      <c r="E7">
        <v>7.6</v>
      </c>
      <c r="F7" s="11">
        <v>46231</v>
      </c>
      <c r="G7" t="s">
        <v>76</v>
      </c>
    </row>
    <row r="8" spans="1:7" hidden="1" x14ac:dyDescent="0.25">
      <c r="A8" t="s">
        <v>66</v>
      </c>
      <c r="B8">
        <v>2</v>
      </c>
      <c r="C8" t="s">
        <v>57</v>
      </c>
      <c r="D8" t="s">
        <v>50</v>
      </c>
      <c r="E8">
        <v>7.6</v>
      </c>
      <c r="F8" s="11">
        <v>46236</v>
      </c>
      <c r="G8" t="s">
        <v>76</v>
      </c>
    </row>
    <row r="9" spans="1:7" hidden="1" x14ac:dyDescent="0.25">
      <c r="A9" t="s">
        <v>66</v>
      </c>
      <c r="B9">
        <v>1</v>
      </c>
      <c r="C9" t="s">
        <v>57</v>
      </c>
      <c r="D9" t="s">
        <v>49</v>
      </c>
      <c r="E9">
        <v>7.6</v>
      </c>
      <c r="F9" s="11">
        <v>46229</v>
      </c>
      <c r="G9" t="s">
        <v>80</v>
      </c>
    </row>
    <row r="10" spans="1:7" hidden="1" x14ac:dyDescent="0.25">
      <c r="A10" t="s">
        <v>66</v>
      </c>
      <c r="B10">
        <v>2</v>
      </c>
      <c r="C10" t="s">
        <v>57</v>
      </c>
      <c r="D10" t="s">
        <v>49</v>
      </c>
      <c r="E10">
        <v>7.6</v>
      </c>
      <c r="F10" s="11">
        <v>46236</v>
      </c>
      <c r="G10" t="s">
        <v>80</v>
      </c>
    </row>
    <row r="11" spans="1:7" hidden="1" x14ac:dyDescent="0.25">
      <c r="A11" t="s">
        <v>66</v>
      </c>
      <c r="B11">
        <v>1</v>
      </c>
      <c r="C11" t="s">
        <v>52</v>
      </c>
      <c r="D11" t="s">
        <v>49</v>
      </c>
      <c r="E11">
        <v>7.6</v>
      </c>
      <c r="F11" s="11">
        <v>46224</v>
      </c>
      <c r="G11" t="s">
        <v>88</v>
      </c>
    </row>
    <row r="12" spans="1:7" hidden="1" x14ac:dyDescent="0.25">
      <c r="A12" t="s">
        <v>66</v>
      </c>
      <c r="B12">
        <v>1</v>
      </c>
      <c r="C12" t="s">
        <v>53</v>
      </c>
      <c r="D12" t="s">
        <v>51</v>
      </c>
      <c r="E12">
        <v>7.6</v>
      </c>
      <c r="F12" s="11">
        <v>46225</v>
      </c>
      <c r="G12" t="s">
        <v>88</v>
      </c>
    </row>
    <row r="13" spans="1:7" hidden="1" x14ac:dyDescent="0.25">
      <c r="A13" t="s">
        <v>66</v>
      </c>
      <c r="B13">
        <v>1</v>
      </c>
      <c r="C13" t="s">
        <v>54</v>
      </c>
      <c r="D13" t="s">
        <v>49</v>
      </c>
      <c r="E13">
        <v>7.6</v>
      </c>
      <c r="F13" s="11">
        <v>46226</v>
      </c>
      <c r="G13" t="s">
        <v>88</v>
      </c>
    </row>
    <row r="14" spans="1:7" hidden="1" x14ac:dyDescent="0.25">
      <c r="A14" t="s">
        <v>66</v>
      </c>
      <c r="B14">
        <v>1</v>
      </c>
      <c r="C14" t="s">
        <v>55</v>
      </c>
      <c r="D14" t="s">
        <v>49</v>
      </c>
      <c r="E14">
        <v>7.6</v>
      </c>
      <c r="F14" s="11">
        <v>46227</v>
      </c>
      <c r="G14" t="s">
        <v>88</v>
      </c>
    </row>
    <row r="15" spans="1:7" hidden="1" x14ac:dyDescent="0.25">
      <c r="A15" t="s">
        <v>66</v>
      </c>
      <c r="B15">
        <v>1</v>
      </c>
      <c r="C15" t="s">
        <v>57</v>
      </c>
      <c r="D15" t="s">
        <v>49</v>
      </c>
      <c r="E15">
        <v>7.6</v>
      </c>
      <c r="F15" s="11">
        <v>46229</v>
      </c>
      <c r="G15" t="s">
        <v>88</v>
      </c>
    </row>
    <row r="16" spans="1:7" hidden="1" x14ac:dyDescent="0.25">
      <c r="A16" t="s">
        <v>66</v>
      </c>
      <c r="B16">
        <v>2</v>
      </c>
      <c r="C16" t="s">
        <v>48</v>
      </c>
      <c r="D16" t="s">
        <v>49</v>
      </c>
      <c r="E16">
        <v>7.6</v>
      </c>
      <c r="F16" s="11">
        <v>46230</v>
      </c>
      <c r="G16" t="s">
        <v>88</v>
      </c>
    </row>
    <row r="17" spans="1:7" hidden="1" x14ac:dyDescent="0.25">
      <c r="A17" t="s">
        <v>66</v>
      </c>
      <c r="B17">
        <v>2</v>
      </c>
      <c r="C17" t="s">
        <v>52</v>
      </c>
      <c r="D17" t="s">
        <v>49</v>
      </c>
      <c r="E17">
        <v>7.6</v>
      </c>
      <c r="F17" s="11">
        <v>46231</v>
      </c>
      <c r="G17" t="s">
        <v>88</v>
      </c>
    </row>
    <row r="18" spans="1:7" hidden="1" x14ac:dyDescent="0.25">
      <c r="A18" t="s">
        <v>66</v>
      </c>
      <c r="B18">
        <v>2</v>
      </c>
      <c r="C18" t="s">
        <v>54</v>
      </c>
      <c r="D18" t="s">
        <v>49</v>
      </c>
      <c r="E18">
        <v>7.6</v>
      </c>
      <c r="F18" s="11">
        <v>46233</v>
      </c>
      <c r="G18" t="s">
        <v>88</v>
      </c>
    </row>
    <row r="19" spans="1:7" hidden="1" x14ac:dyDescent="0.25">
      <c r="A19" t="s">
        <v>66</v>
      </c>
      <c r="B19">
        <v>2</v>
      </c>
      <c r="C19" t="s">
        <v>57</v>
      </c>
      <c r="D19" t="s">
        <v>49</v>
      </c>
      <c r="E19">
        <v>7.6</v>
      </c>
      <c r="F19" s="11">
        <v>46236</v>
      </c>
      <c r="G19" t="s">
        <v>88</v>
      </c>
    </row>
    <row r="20" spans="1:7" hidden="1" x14ac:dyDescent="0.25">
      <c r="A20" t="s">
        <v>66</v>
      </c>
      <c r="B20">
        <v>1</v>
      </c>
      <c r="C20" t="s">
        <v>48</v>
      </c>
      <c r="D20" t="s">
        <v>49</v>
      </c>
      <c r="E20">
        <v>7.6</v>
      </c>
      <c r="F20" s="11">
        <v>46223</v>
      </c>
      <c r="G20" t="s">
        <v>101</v>
      </c>
    </row>
    <row r="21" spans="1:7" hidden="1" x14ac:dyDescent="0.25">
      <c r="A21" t="s">
        <v>66</v>
      </c>
      <c r="B21">
        <v>1</v>
      </c>
      <c r="C21" t="s">
        <v>48</v>
      </c>
      <c r="D21" t="s">
        <v>51</v>
      </c>
      <c r="E21">
        <v>7.6</v>
      </c>
      <c r="F21" s="11">
        <v>46223</v>
      </c>
      <c r="G21" t="s">
        <v>101</v>
      </c>
    </row>
    <row r="22" spans="1:7" hidden="1" x14ac:dyDescent="0.25">
      <c r="A22" t="s">
        <v>66</v>
      </c>
      <c r="B22">
        <v>1</v>
      </c>
      <c r="C22" t="s">
        <v>52</v>
      </c>
      <c r="D22" t="s">
        <v>49</v>
      </c>
      <c r="E22">
        <v>7.6</v>
      </c>
      <c r="F22" s="11">
        <v>46224</v>
      </c>
      <c r="G22" t="s">
        <v>101</v>
      </c>
    </row>
    <row r="23" spans="1:7" hidden="1" x14ac:dyDescent="0.25">
      <c r="A23" t="s">
        <v>66</v>
      </c>
      <c r="B23">
        <v>1</v>
      </c>
      <c r="C23" t="s">
        <v>52</v>
      </c>
      <c r="D23" t="s">
        <v>51</v>
      </c>
      <c r="E23">
        <v>7.6</v>
      </c>
      <c r="F23" s="11">
        <v>46224</v>
      </c>
      <c r="G23" t="s">
        <v>101</v>
      </c>
    </row>
    <row r="24" spans="1:7" hidden="1" x14ac:dyDescent="0.25">
      <c r="A24" t="s">
        <v>66</v>
      </c>
      <c r="B24">
        <v>1</v>
      </c>
      <c r="C24" t="s">
        <v>56</v>
      </c>
      <c r="D24" t="s">
        <v>49</v>
      </c>
      <c r="E24">
        <v>7.6</v>
      </c>
      <c r="F24" s="11">
        <v>46228</v>
      </c>
      <c r="G24" t="s">
        <v>101</v>
      </c>
    </row>
    <row r="25" spans="1:7" hidden="1" x14ac:dyDescent="0.25">
      <c r="A25" t="s">
        <v>66</v>
      </c>
      <c r="B25">
        <v>1</v>
      </c>
      <c r="C25" t="s">
        <v>56</v>
      </c>
      <c r="D25" t="s">
        <v>51</v>
      </c>
      <c r="E25">
        <v>7.6</v>
      </c>
      <c r="F25" s="11">
        <v>46228</v>
      </c>
      <c r="G25" t="s">
        <v>101</v>
      </c>
    </row>
    <row r="26" spans="1:7" hidden="1" x14ac:dyDescent="0.25">
      <c r="A26" t="s">
        <v>66</v>
      </c>
      <c r="B26">
        <v>1</v>
      </c>
      <c r="C26" t="s">
        <v>57</v>
      </c>
      <c r="D26" t="s">
        <v>49</v>
      </c>
      <c r="E26">
        <v>7.6</v>
      </c>
      <c r="F26" s="11">
        <v>46229</v>
      </c>
      <c r="G26" t="s">
        <v>101</v>
      </c>
    </row>
    <row r="27" spans="1:7" hidden="1" x14ac:dyDescent="0.25">
      <c r="A27" t="s">
        <v>66</v>
      </c>
      <c r="B27">
        <v>1</v>
      </c>
      <c r="C27" t="s">
        <v>57</v>
      </c>
      <c r="D27" t="s">
        <v>51</v>
      </c>
      <c r="E27">
        <v>7.6</v>
      </c>
      <c r="F27" s="11">
        <v>46229</v>
      </c>
      <c r="G27" t="s">
        <v>101</v>
      </c>
    </row>
    <row r="28" spans="1:7" hidden="1" x14ac:dyDescent="0.25">
      <c r="A28" t="s">
        <v>66</v>
      </c>
      <c r="B28">
        <v>2</v>
      </c>
      <c r="C28" t="s">
        <v>48</v>
      </c>
      <c r="D28" t="s">
        <v>49</v>
      </c>
      <c r="E28">
        <v>7.6</v>
      </c>
      <c r="F28" s="11">
        <v>46230</v>
      </c>
      <c r="G28" t="s">
        <v>101</v>
      </c>
    </row>
    <row r="29" spans="1:7" hidden="1" x14ac:dyDescent="0.25">
      <c r="A29" t="s">
        <v>66</v>
      </c>
      <c r="B29">
        <v>2</v>
      </c>
      <c r="C29" t="s">
        <v>48</v>
      </c>
      <c r="D29" t="s">
        <v>51</v>
      </c>
      <c r="E29">
        <v>7.6</v>
      </c>
      <c r="F29" s="11">
        <v>46230</v>
      </c>
      <c r="G29" t="s">
        <v>101</v>
      </c>
    </row>
    <row r="30" spans="1:7" hidden="1" x14ac:dyDescent="0.25">
      <c r="A30" t="s">
        <v>66</v>
      </c>
      <c r="B30">
        <v>2</v>
      </c>
      <c r="C30" t="s">
        <v>52</v>
      </c>
      <c r="D30" t="s">
        <v>49</v>
      </c>
      <c r="E30">
        <v>7.6</v>
      </c>
      <c r="F30" s="11">
        <v>46231</v>
      </c>
      <c r="G30" t="s">
        <v>101</v>
      </c>
    </row>
    <row r="31" spans="1:7" hidden="1" x14ac:dyDescent="0.25">
      <c r="A31" t="s">
        <v>66</v>
      </c>
      <c r="B31">
        <v>2</v>
      </c>
      <c r="C31" t="s">
        <v>52</v>
      </c>
      <c r="D31" t="s">
        <v>51</v>
      </c>
      <c r="E31">
        <v>7.6</v>
      </c>
      <c r="F31" s="11">
        <v>46231</v>
      </c>
      <c r="G31" t="s">
        <v>101</v>
      </c>
    </row>
    <row r="32" spans="1:7" hidden="1" x14ac:dyDescent="0.25">
      <c r="A32" t="s">
        <v>66</v>
      </c>
      <c r="B32">
        <v>2</v>
      </c>
      <c r="C32" t="s">
        <v>56</v>
      </c>
      <c r="D32" t="s">
        <v>49</v>
      </c>
      <c r="E32">
        <v>7.6</v>
      </c>
      <c r="F32" s="11">
        <v>46235</v>
      </c>
      <c r="G32" t="s">
        <v>101</v>
      </c>
    </row>
    <row r="33" spans="1:7" hidden="1" x14ac:dyDescent="0.25">
      <c r="A33" t="s">
        <v>133</v>
      </c>
      <c r="B33">
        <v>2</v>
      </c>
      <c r="C33" t="s">
        <v>53</v>
      </c>
      <c r="D33" t="s">
        <v>51</v>
      </c>
      <c r="E33">
        <v>7.6</v>
      </c>
      <c r="F33" s="11">
        <v>46232</v>
      </c>
      <c r="G33" t="s">
        <v>88</v>
      </c>
    </row>
    <row r="34" spans="1:7" hidden="1" x14ac:dyDescent="0.25">
      <c r="A34" t="s">
        <v>133</v>
      </c>
      <c r="B34">
        <v>2</v>
      </c>
      <c r="C34" t="s">
        <v>55</v>
      </c>
      <c r="D34" t="s">
        <v>49</v>
      </c>
      <c r="E34">
        <v>7.6</v>
      </c>
      <c r="F34" s="11">
        <v>46234</v>
      </c>
      <c r="G34" t="s">
        <v>88</v>
      </c>
    </row>
    <row r="35" spans="1:7" hidden="1" x14ac:dyDescent="0.25">
      <c r="A35" t="s">
        <v>66</v>
      </c>
      <c r="B35">
        <v>1</v>
      </c>
      <c r="C35" t="s">
        <v>48</v>
      </c>
      <c r="D35" t="s">
        <v>49</v>
      </c>
      <c r="E35">
        <v>7.6</v>
      </c>
      <c r="F35" s="11">
        <v>46223</v>
      </c>
      <c r="G35" t="s">
        <v>109</v>
      </c>
    </row>
    <row r="36" spans="1:7" hidden="1" x14ac:dyDescent="0.25">
      <c r="A36" t="s">
        <v>66</v>
      </c>
      <c r="B36">
        <v>1</v>
      </c>
      <c r="C36" t="s">
        <v>48</v>
      </c>
      <c r="D36" t="s">
        <v>51</v>
      </c>
      <c r="E36">
        <v>7.6</v>
      </c>
      <c r="F36" s="11">
        <v>46223</v>
      </c>
      <c r="G36" t="s">
        <v>109</v>
      </c>
    </row>
    <row r="37" spans="1:7" hidden="1" x14ac:dyDescent="0.25">
      <c r="A37" t="s">
        <v>66</v>
      </c>
      <c r="B37">
        <v>1</v>
      </c>
      <c r="C37" t="s">
        <v>52</v>
      </c>
      <c r="D37" t="s">
        <v>49</v>
      </c>
      <c r="E37">
        <v>7.6</v>
      </c>
      <c r="F37" s="11">
        <v>46224</v>
      </c>
      <c r="G37" t="s">
        <v>109</v>
      </c>
    </row>
    <row r="38" spans="1:7" hidden="1" x14ac:dyDescent="0.25">
      <c r="A38" t="s">
        <v>66</v>
      </c>
      <c r="B38">
        <v>1</v>
      </c>
      <c r="C38" t="s">
        <v>56</v>
      </c>
      <c r="D38" t="s">
        <v>51</v>
      </c>
      <c r="E38">
        <v>7.6</v>
      </c>
      <c r="F38" s="11">
        <v>46228</v>
      </c>
      <c r="G38" t="s">
        <v>109</v>
      </c>
    </row>
    <row r="39" spans="1:7" hidden="1" x14ac:dyDescent="0.25">
      <c r="A39" t="s">
        <v>66</v>
      </c>
      <c r="B39">
        <v>1</v>
      </c>
      <c r="C39" t="s">
        <v>57</v>
      </c>
      <c r="D39" t="s">
        <v>49</v>
      </c>
      <c r="E39">
        <v>7.6</v>
      </c>
      <c r="F39" s="11">
        <v>46229</v>
      </c>
      <c r="G39" t="s">
        <v>109</v>
      </c>
    </row>
    <row r="40" spans="1:7" hidden="1" x14ac:dyDescent="0.25">
      <c r="A40" t="s">
        <v>66</v>
      </c>
      <c r="B40">
        <v>1</v>
      </c>
      <c r="C40" t="s">
        <v>57</v>
      </c>
      <c r="D40" t="s">
        <v>51</v>
      </c>
      <c r="E40">
        <v>7.6</v>
      </c>
      <c r="F40" s="11">
        <v>46229</v>
      </c>
      <c r="G40" t="s">
        <v>109</v>
      </c>
    </row>
    <row r="41" spans="1:7" hidden="1" x14ac:dyDescent="0.25">
      <c r="A41" t="s">
        <v>66</v>
      </c>
      <c r="B41">
        <v>2</v>
      </c>
      <c r="C41" t="s">
        <v>48</v>
      </c>
      <c r="D41" t="s">
        <v>49</v>
      </c>
      <c r="E41">
        <v>7.6</v>
      </c>
      <c r="F41" s="11">
        <v>46230</v>
      </c>
      <c r="G41" t="s">
        <v>109</v>
      </c>
    </row>
    <row r="42" spans="1:7" hidden="1" x14ac:dyDescent="0.25">
      <c r="A42" t="s">
        <v>66</v>
      </c>
      <c r="B42">
        <v>2</v>
      </c>
      <c r="C42" t="s">
        <v>48</v>
      </c>
      <c r="D42" t="s">
        <v>51</v>
      </c>
      <c r="E42">
        <v>7.6</v>
      </c>
      <c r="F42" s="11">
        <v>46230</v>
      </c>
      <c r="G42" t="s">
        <v>109</v>
      </c>
    </row>
    <row r="43" spans="1:7" hidden="1" x14ac:dyDescent="0.25">
      <c r="A43" t="s">
        <v>66</v>
      </c>
      <c r="B43">
        <v>2</v>
      </c>
      <c r="C43" t="s">
        <v>52</v>
      </c>
      <c r="D43" t="s">
        <v>49</v>
      </c>
      <c r="E43">
        <v>7.6</v>
      </c>
      <c r="F43" s="11">
        <v>46231</v>
      </c>
      <c r="G43" t="s">
        <v>109</v>
      </c>
    </row>
    <row r="44" spans="1:7" hidden="1" x14ac:dyDescent="0.25">
      <c r="A44" t="s">
        <v>66</v>
      </c>
      <c r="B44">
        <v>2</v>
      </c>
      <c r="C44" t="s">
        <v>52</v>
      </c>
      <c r="D44" t="s">
        <v>51</v>
      </c>
      <c r="E44">
        <v>7.6</v>
      </c>
      <c r="F44" s="11">
        <v>46231</v>
      </c>
      <c r="G44" t="s">
        <v>109</v>
      </c>
    </row>
    <row r="45" spans="1:7" hidden="1" x14ac:dyDescent="0.25">
      <c r="A45" t="s">
        <v>66</v>
      </c>
      <c r="B45">
        <v>2</v>
      </c>
      <c r="C45" t="s">
        <v>53</v>
      </c>
      <c r="D45" t="s">
        <v>49</v>
      </c>
      <c r="E45">
        <v>7.6</v>
      </c>
      <c r="F45" s="11">
        <v>46232</v>
      </c>
      <c r="G45" t="s">
        <v>109</v>
      </c>
    </row>
    <row r="46" spans="1:7" hidden="1" x14ac:dyDescent="0.25">
      <c r="A46" t="s">
        <v>66</v>
      </c>
      <c r="B46">
        <v>2</v>
      </c>
      <c r="C46" t="s">
        <v>53</v>
      </c>
      <c r="D46" t="s">
        <v>51</v>
      </c>
      <c r="E46">
        <v>7.6</v>
      </c>
      <c r="F46" s="11">
        <v>46232</v>
      </c>
      <c r="G46" t="s">
        <v>109</v>
      </c>
    </row>
    <row r="47" spans="1:7" hidden="1" x14ac:dyDescent="0.25">
      <c r="A47" t="s">
        <v>66</v>
      </c>
      <c r="B47">
        <v>2</v>
      </c>
      <c r="C47" t="s">
        <v>56</v>
      </c>
      <c r="D47" t="s">
        <v>49</v>
      </c>
      <c r="E47">
        <v>7.6</v>
      </c>
      <c r="F47" s="11">
        <v>46235</v>
      </c>
      <c r="G47" t="s">
        <v>109</v>
      </c>
    </row>
    <row r="48" spans="1:7" hidden="1" x14ac:dyDescent="0.25">
      <c r="A48" t="s">
        <v>66</v>
      </c>
      <c r="B48">
        <v>2</v>
      </c>
      <c r="C48" t="s">
        <v>56</v>
      </c>
      <c r="D48" t="s">
        <v>51</v>
      </c>
      <c r="E48">
        <v>7.6</v>
      </c>
      <c r="F48" s="11">
        <v>46235</v>
      </c>
      <c r="G48" t="s">
        <v>109</v>
      </c>
    </row>
    <row r="49" spans="1:7" hidden="1" x14ac:dyDescent="0.25">
      <c r="A49" t="s">
        <v>66</v>
      </c>
      <c r="B49">
        <v>2</v>
      </c>
      <c r="C49" t="s">
        <v>57</v>
      </c>
      <c r="D49" t="s">
        <v>49</v>
      </c>
      <c r="E49">
        <v>7.6</v>
      </c>
      <c r="F49" s="11">
        <v>46236</v>
      </c>
      <c r="G49" t="s">
        <v>109</v>
      </c>
    </row>
    <row r="50" spans="1:7" hidden="1" x14ac:dyDescent="0.25">
      <c r="A50" t="s">
        <v>66</v>
      </c>
      <c r="B50">
        <v>2</v>
      </c>
      <c r="C50" t="s">
        <v>57</v>
      </c>
      <c r="D50" t="s">
        <v>51</v>
      </c>
      <c r="E50">
        <v>7.6</v>
      </c>
      <c r="F50" s="11">
        <v>46236</v>
      </c>
      <c r="G50" t="s">
        <v>109</v>
      </c>
    </row>
    <row r="51" spans="1:7" hidden="1" x14ac:dyDescent="0.25">
      <c r="A51" t="s">
        <v>66</v>
      </c>
      <c r="B51">
        <v>1</v>
      </c>
      <c r="C51" t="s">
        <v>48</v>
      </c>
      <c r="D51" t="s">
        <v>49</v>
      </c>
      <c r="E51">
        <v>7.6</v>
      </c>
      <c r="F51" s="11">
        <v>46223</v>
      </c>
      <c r="G51" t="s">
        <v>179</v>
      </c>
    </row>
    <row r="52" spans="1:7" hidden="1" x14ac:dyDescent="0.25">
      <c r="A52" t="s">
        <v>66</v>
      </c>
      <c r="B52">
        <v>1</v>
      </c>
      <c r="C52" t="s">
        <v>48</v>
      </c>
      <c r="D52" t="s">
        <v>51</v>
      </c>
      <c r="E52">
        <v>7.6</v>
      </c>
      <c r="F52" s="11">
        <v>46223</v>
      </c>
      <c r="G52" t="s">
        <v>179</v>
      </c>
    </row>
    <row r="53" spans="1:7" hidden="1" x14ac:dyDescent="0.25">
      <c r="A53" t="s">
        <v>66</v>
      </c>
      <c r="B53">
        <v>1</v>
      </c>
      <c r="C53" t="s">
        <v>48</v>
      </c>
      <c r="D53" t="s">
        <v>50</v>
      </c>
      <c r="E53">
        <v>7.6</v>
      </c>
      <c r="F53" s="11">
        <v>46223</v>
      </c>
      <c r="G53" t="s">
        <v>179</v>
      </c>
    </row>
    <row r="54" spans="1:7" hidden="1" x14ac:dyDescent="0.25">
      <c r="A54" t="s">
        <v>66</v>
      </c>
      <c r="B54">
        <v>1</v>
      </c>
      <c r="C54" t="s">
        <v>52</v>
      </c>
      <c r="D54" t="s">
        <v>51</v>
      </c>
      <c r="E54">
        <v>7.6</v>
      </c>
      <c r="F54" s="11">
        <v>46224</v>
      </c>
      <c r="G54" t="s">
        <v>179</v>
      </c>
    </row>
    <row r="55" spans="1:7" hidden="1" x14ac:dyDescent="0.25">
      <c r="A55" t="s">
        <v>66</v>
      </c>
      <c r="B55">
        <v>1</v>
      </c>
      <c r="C55" t="s">
        <v>53</v>
      </c>
      <c r="D55" t="s">
        <v>51</v>
      </c>
      <c r="E55">
        <v>7.6</v>
      </c>
      <c r="F55" s="11">
        <v>46225</v>
      </c>
      <c r="G55" t="s">
        <v>179</v>
      </c>
    </row>
    <row r="56" spans="1:7" hidden="1" x14ac:dyDescent="0.25">
      <c r="A56" t="s">
        <v>66</v>
      </c>
      <c r="B56">
        <v>1</v>
      </c>
      <c r="C56" t="s">
        <v>54</v>
      </c>
      <c r="D56" t="s">
        <v>51</v>
      </c>
      <c r="E56">
        <v>7.6</v>
      </c>
      <c r="F56" s="11">
        <v>46226</v>
      </c>
      <c r="G56" t="s">
        <v>179</v>
      </c>
    </row>
    <row r="57" spans="1:7" hidden="1" x14ac:dyDescent="0.25">
      <c r="A57" t="s">
        <v>66</v>
      </c>
      <c r="B57">
        <v>1</v>
      </c>
      <c r="C57" t="s">
        <v>55</v>
      </c>
      <c r="D57" t="s">
        <v>50</v>
      </c>
      <c r="E57">
        <v>7.6</v>
      </c>
      <c r="F57" s="11">
        <v>46227</v>
      </c>
      <c r="G57" t="s">
        <v>179</v>
      </c>
    </row>
    <row r="58" spans="1:7" hidden="1" x14ac:dyDescent="0.25">
      <c r="A58" t="s">
        <v>66</v>
      </c>
      <c r="B58">
        <v>1</v>
      </c>
      <c r="C58" t="s">
        <v>56</v>
      </c>
      <c r="D58" t="s">
        <v>50</v>
      </c>
      <c r="E58">
        <v>7.6</v>
      </c>
      <c r="F58" s="11">
        <v>46228</v>
      </c>
      <c r="G58" t="s">
        <v>179</v>
      </c>
    </row>
    <row r="59" spans="1:7" hidden="1" x14ac:dyDescent="0.25">
      <c r="A59" t="s">
        <v>66</v>
      </c>
      <c r="B59">
        <v>2</v>
      </c>
      <c r="C59" t="s">
        <v>48</v>
      </c>
      <c r="D59" t="s">
        <v>49</v>
      </c>
      <c r="E59">
        <v>7.6</v>
      </c>
      <c r="F59" s="11">
        <v>46230</v>
      </c>
      <c r="G59" t="s">
        <v>179</v>
      </c>
    </row>
    <row r="60" spans="1:7" hidden="1" x14ac:dyDescent="0.25">
      <c r="A60" t="s">
        <v>66</v>
      </c>
      <c r="B60">
        <v>2</v>
      </c>
      <c r="C60" t="s">
        <v>48</v>
      </c>
      <c r="D60" t="s">
        <v>51</v>
      </c>
      <c r="E60">
        <v>7.6</v>
      </c>
      <c r="F60" s="11">
        <v>46230</v>
      </c>
      <c r="G60" t="s">
        <v>179</v>
      </c>
    </row>
    <row r="61" spans="1:7" hidden="1" x14ac:dyDescent="0.25">
      <c r="A61" t="s">
        <v>66</v>
      </c>
      <c r="B61">
        <v>2</v>
      </c>
      <c r="C61" t="s">
        <v>48</v>
      </c>
      <c r="D61" t="s">
        <v>50</v>
      </c>
      <c r="E61">
        <v>7.6</v>
      </c>
      <c r="F61" s="11">
        <v>46230</v>
      </c>
      <c r="G61" t="s">
        <v>179</v>
      </c>
    </row>
    <row r="62" spans="1:7" hidden="1" x14ac:dyDescent="0.25">
      <c r="A62" t="s">
        <v>66</v>
      </c>
      <c r="B62">
        <v>2</v>
      </c>
      <c r="C62" t="s">
        <v>52</v>
      </c>
      <c r="D62" t="s">
        <v>51</v>
      </c>
      <c r="E62">
        <v>7.6</v>
      </c>
      <c r="F62" s="11">
        <v>46231</v>
      </c>
      <c r="G62" t="s">
        <v>179</v>
      </c>
    </row>
    <row r="63" spans="1:7" hidden="1" x14ac:dyDescent="0.25">
      <c r="A63" t="s">
        <v>66</v>
      </c>
      <c r="B63">
        <v>2</v>
      </c>
      <c r="C63" t="s">
        <v>53</v>
      </c>
      <c r="D63" t="s">
        <v>51</v>
      </c>
      <c r="E63">
        <v>7.6</v>
      </c>
      <c r="F63" s="11">
        <v>46232</v>
      </c>
      <c r="G63" t="s">
        <v>179</v>
      </c>
    </row>
    <row r="64" spans="1:7" hidden="1" x14ac:dyDescent="0.25">
      <c r="A64" t="s">
        <v>66</v>
      </c>
      <c r="B64">
        <v>2</v>
      </c>
      <c r="C64" t="s">
        <v>54</v>
      </c>
      <c r="D64" t="s">
        <v>51</v>
      </c>
      <c r="E64">
        <v>7.6</v>
      </c>
      <c r="F64" s="11">
        <v>46233</v>
      </c>
      <c r="G64" t="s">
        <v>179</v>
      </c>
    </row>
    <row r="65" spans="1:7" hidden="1" x14ac:dyDescent="0.25">
      <c r="A65" t="s">
        <v>66</v>
      </c>
      <c r="B65">
        <v>2</v>
      </c>
      <c r="C65" t="s">
        <v>55</v>
      </c>
      <c r="D65" t="s">
        <v>50</v>
      </c>
      <c r="E65">
        <v>7.6</v>
      </c>
      <c r="F65" s="11">
        <v>46234</v>
      </c>
      <c r="G65" t="s">
        <v>179</v>
      </c>
    </row>
    <row r="66" spans="1:7" hidden="1" x14ac:dyDescent="0.25">
      <c r="A66" t="s">
        <v>66</v>
      </c>
      <c r="B66">
        <v>2</v>
      </c>
      <c r="C66" t="s">
        <v>56</v>
      </c>
      <c r="D66" t="s">
        <v>50</v>
      </c>
      <c r="E66">
        <v>7.6</v>
      </c>
      <c r="F66" s="11">
        <v>46235</v>
      </c>
      <c r="G66" t="s">
        <v>179</v>
      </c>
    </row>
    <row r="67" spans="1:7" hidden="1" x14ac:dyDescent="0.25">
      <c r="A67" t="s">
        <v>66</v>
      </c>
      <c r="B67">
        <v>1</v>
      </c>
      <c r="C67" t="s">
        <v>52</v>
      </c>
      <c r="D67" t="s">
        <v>51</v>
      </c>
      <c r="E67">
        <v>7.6</v>
      </c>
      <c r="F67" s="11">
        <v>46224</v>
      </c>
      <c r="G67" t="s">
        <v>67</v>
      </c>
    </row>
    <row r="68" spans="1:7" hidden="1" x14ac:dyDescent="0.25">
      <c r="A68" t="s">
        <v>66</v>
      </c>
      <c r="B68">
        <v>1</v>
      </c>
      <c r="C68" t="s">
        <v>53</v>
      </c>
      <c r="D68" t="s">
        <v>51</v>
      </c>
      <c r="E68">
        <v>7.6</v>
      </c>
      <c r="F68" s="11">
        <v>46225</v>
      </c>
      <c r="G68" t="s">
        <v>67</v>
      </c>
    </row>
    <row r="69" spans="1:7" hidden="1" x14ac:dyDescent="0.25">
      <c r="A69" t="s">
        <v>66</v>
      </c>
      <c r="B69">
        <v>1</v>
      </c>
      <c r="C69" t="s">
        <v>54</v>
      </c>
      <c r="D69" t="s">
        <v>49</v>
      </c>
      <c r="E69">
        <v>7.6</v>
      </c>
      <c r="F69" s="11">
        <v>46226</v>
      </c>
      <c r="G69" t="s">
        <v>67</v>
      </c>
    </row>
    <row r="70" spans="1:7" hidden="1" x14ac:dyDescent="0.25">
      <c r="A70" t="s">
        <v>66</v>
      </c>
      <c r="B70">
        <v>1</v>
      </c>
      <c r="C70" t="s">
        <v>55</v>
      </c>
      <c r="D70" t="s">
        <v>49</v>
      </c>
      <c r="E70">
        <v>7.6</v>
      </c>
      <c r="F70" s="11">
        <v>46227</v>
      </c>
      <c r="G70" t="s">
        <v>67</v>
      </c>
    </row>
    <row r="71" spans="1:7" hidden="1" x14ac:dyDescent="0.25">
      <c r="A71" t="s">
        <v>66</v>
      </c>
      <c r="B71">
        <v>2</v>
      </c>
      <c r="C71" t="s">
        <v>52</v>
      </c>
      <c r="D71" t="s">
        <v>51</v>
      </c>
      <c r="E71">
        <v>7.6</v>
      </c>
      <c r="F71" s="11">
        <v>46231</v>
      </c>
      <c r="G71" t="s">
        <v>67</v>
      </c>
    </row>
    <row r="72" spans="1:7" hidden="1" x14ac:dyDescent="0.25">
      <c r="A72" t="s">
        <v>66</v>
      </c>
      <c r="B72">
        <v>2</v>
      </c>
      <c r="C72" t="s">
        <v>53</v>
      </c>
      <c r="D72" t="s">
        <v>51</v>
      </c>
      <c r="E72">
        <v>7.6</v>
      </c>
      <c r="F72" s="11">
        <v>46232</v>
      </c>
      <c r="G72" t="s">
        <v>67</v>
      </c>
    </row>
    <row r="73" spans="1:7" hidden="1" x14ac:dyDescent="0.25">
      <c r="A73" t="s">
        <v>66</v>
      </c>
      <c r="B73">
        <v>2</v>
      </c>
      <c r="C73" t="s">
        <v>54</v>
      </c>
      <c r="D73" t="s">
        <v>49</v>
      </c>
      <c r="E73">
        <v>7.6</v>
      </c>
      <c r="F73" s="11">
        <v>46233</v>
      </c>
      <c r="G73" t="s">
        <v>67</v>
      </c>
    </row>
    <row r="74" spans="1:7" hidden="1" x14ac:dyDescent="0.25">
      <c r="A74" t="s">
        <v>66</v>
      </c>
      <c r="B74">
        <v>2</v>
      </c>
      <c r="C74" t="s">
        <v>55</v>
      </c>
      <c r="D74" t="s">
        <v>49</v>
      </c>
      <c r="E74">
        <v>7.6</v>
      </c>
      <c r="F74" s="11">
        <v>46234</v>
      </c>
      <c r="G74" t="s">
        <v>67</v>
      </c>
    </row>
    <row r="75" spans="1:7" hidden="1" x14ac:dyDescent="0.25">
      <c r="A75" t="s">
        <v>66</v>
      </c>
      <c r="B75">
        <v>1</v>
      </c>
      <c r="C75" t="s">
        <v>52</v>
      </c>
      <c r="D75" t="s">
        <v>49</v>
      </c>
      <c r="E75">
        <v>7.6</v>
      </c>
      <c r="F75" s="11">
        <v>46224</v>
      </c>
      <c r="G75" t="s">
        <v>68</v>
      </c>
    </row>
    <row r="76" spans="1:7" hidden="1" x14ac:dyDescent="0.25">
      <c r="A76" t="s">
        <v>66</v>
      </c>
      <c r="B76">
        <v>1</v>
      </c>
      <c r="C76" t="s">
        <v>52</v>
      </c>
      <c r="D76" t="s">
        <v>51</v>
      </c>
      <c r="E76">
        <v>7.6</v>
      </c>
      <c r="F76" s="11">
        <v>46224</v>
      </c>
      <c r="G76" t="s">
        <v>68</v>
      </c>
    </row>
    <row r="77" spans="1:7" hidden="1" x14ac:dyDescent="0.25">
      <c r="A77" t="s">
        <v>66</v>
      </c>
      <c r="B77">
        <v>1</v>
      </c>
      <c r="C77" t="s">
        <v>53</v>
      </c>
      <c r="D77" t="s">
        <v>49</v>
      </c>
      <c r="E77">
        <v>7.6</v>
      </c>
      <c r="F77" s="11">
        <v>46225</v>
      </c>
      <c r="G77" t="s">
        <v>68</v>
      </c>
    </row>
    <row r="78" spans="1:7" hidden="1" x14ac:dyDescent="0.25">
      <c r="A78" t="s">
        <v>66</v>
      </c>
      <c r="B78">
        <v>1</v>
      </c>
      <c r="C78" t="s">
        <v>53</v>
      </c>
      <c r="D78" t="s">
        <v>51</v>
      </c>
      <c r="E78">
        <v>7.6</v>
      </c>
      <c r="F78" s="11">
        <v>46225</v>
      </c>
      <c r="G78" t="s">
        <v>68</v>
      </c>
    </row>
    <row r="79" spans="1:7" hidden="1" x14ac:dyDescent="0.25">
      <c r="A79" t="s">
        <v>66</v>
      </c>
      <c r="B79">
        <v>1</v>
      </c>
      <c r="C79" t="s">
        <v>54</v>
      </c>
      <c r="D79" t="s">
        <v>49</v>
      </c>
      <c r="E79">
        <v>7.6</v>
      </c>
      <c r="F79" s="11">
        <v>46226</v>
      </c>
      <c r="G79" t="s">
        <v>68</v>
      </c>
    </row>
    <row r="80" spans="1:7" hidden="1" x14ac:dyDescent="0.25">
      <c r="A80" t="s">
        <v>66</v>
      </c>
      <c r="B80">
        <v>1</v>
      </c>
      <c r="C80" t="s">
        <v>54</v>
      </c>
      <c r="D80" t="s">
        <v>51</v>
      </c>
      <c r="E80">
        <v>7.6</v>
      </c>
      <c r="F80" s="11">
        <v>46226</v>
      </c>
      <c r="G80" t="s">
        <v>68</v>
      </c>
    </row>
    <row r="81" spans="1:7" hidden="1" x14ac:dyDescent="0.25">
      <c r="A81" t="s">
        <v>66</v>
      </c>
      <c r="B81">
        <v>1</v>
      </c>
      <c r="C81" t="s">
        <v>55</v>
      </c>
      <c r="D81" t="s">
        <v>49</v>
      </c>
      <c r="E81">
        <v>7.6</v>
      </c>
      <c r="F81" s="11">
        <v>46227</v>
      </c>
      <c r="G81" t="s">
        <v>68</v>
      </c>
    </row>
    <row r="82" spans="1:7" hidden="1" x14ac:dyDescent="0.25">
      <c r="A82" t="s">
        <v>66</v>
      </c>
      <c r="B82">
        <v>1</v>
      </c>
      <c r="C82" t="s">
        <v>55</v>
      </c>
      <c r="D82" t="s">
        <v>51</v>
      </c>
      <c r="E82">
        <v>7.6</v>
      </c>
      <c r="F82" s="11">
        <v>46227</v>
      </c>
      <c r="G82" t="s">
        <v>68</v>
      </c>
    </row>
    <row r="83" spans="1:7" hidden="1" x14ac:dyDescent="0.25">
      <c r="A83" t="s">
        <v>66</v>
      </c>
      <c r="B83">
        <v>1</v>
      </c>
      <c r="C83" t="s">
        <v>56</v>
      </c>
      <c r="D83" t="s">
        <v>49</v>
      </c>
      <c r="E83">
        <v>7.6</v>
      </c>
      <c r="F83" s="11">
        <v>46228</v>
      </c>
      <c r="G83" t="s">
        <v>68</v>
      </c>
    </row>
    <row r="84" spans="1:7" hidden="1" x14ac:dyDescent="0.25">
      <c r="A84" t="s">
        <v>66</v>
      </c>
      <c r="B84">
        <v>1</v>
      </c>
      <c r="C84" t="s">
        <v>56</v>
      </c>
      <c r="D84" t="s">
        <v>51</v>
      </c>
      <c r="E84">
        <v>7.6</v>
      </c>
      <c r="F84" s="11">
        <v>46228</v>
      </c>
      <c r="G84" t="s">
        <v>68</v>
      </c>
    </row>
    <row r="85" spans="1:7" hidden="1" x14ac:dyDescent="0.25">
      <c r="A85" t="s">
        <v>66</v>
      </c>
      <c r="B85">
        <v>1</v>
      </c>
      <c r="C85" t="s">
        <v>57</v>
      </c>
      <c r="D85" t="s">
        <v>49</v>
      </c>
      <c r="E85">
        <v>7.6</v>
      </c>
      <c r="F85" s="11">
        <v>46229</v>
      </c>
      <c r="G85" t="s">
        <v>68</v>
      </c>
    </row>
    <row r="86" spans="1:7" hidden="1" x14ac:dyDescent="0.25">
      <c r="A86" t="s">
        <v>66</v>
      </c>
      <c r="B86">
        <v>1</v>
      </c>
      <c r="C86" t="s">
        <v>57</v>
      </c>
      <c r="D86" t="s">
        <v>51</v>
      </c>
      <c r="E86">
        <v>7.6</v>
      </c>
      <c r="F86" s="11">
        <v>46229</v>
      </c>
      <c r="G86" t="s">
        <v>68</v>
      </c>
    </row>
    <row r="87" spans="1:7" hidden="1" x14ac:dyDescent="0.25">
      <c r="A87" t="s">
        <v>66</v>
      </c>
      <c r="B87">
        <v>2</v>
      </c>
      <c r="C87" t="s">
        <v>52</v>
      </c>
      <c r="D87" t="s">
        <v>49</v>
      </c>
      <c r="E87">
        <v>7.6</v>
      </c>
      <c r="F87" s="11">
        <v>46231</v>
      </c>
      <c r="G87" t="s">
        <v>68</v>
      </c>
    </row>
    <row r="88" spans="1:7" hidden="1" x14ac:dyDescent="0.25">
      <c r="A88" t="s">
        <v>66</v>
      </c>
      <c r="B88">
        <v>2</v>
      </c>
      <c r="C88" t="s">
        <v>52</v>
      </c>
      <c r="D88" t="s">
        <v>51</v>
      </c>
      <c r="E88">
        <v>7.6</v>
      </c>
      <c r="F88" s="11">
        <v>46231</v>
      </c>
      <c r="G88" t="s">
        <v>68</v>
      </c>
    </row>
    <row r="89" spans="1:7" hidden="1" x14ac:dyDescent="0.25">
      <c r="A89" t="s">
        <v>66</v>
      </c>
      <c r="B89">
        <v>2</v>
      </c>
      <c r="C89" t="s">
        <v>53</v>
      </c>
      <c r="D89" t="s">
        <v>49</v>
      </c>
      <c r="E89">
        <v>7.6</v>
      </c>
      <c r="F89" s="11">
        <v>46232</v>
      </c>
      <c r="G89" t="s">
        <v>68</v>
      </c>
    </row>
    <row r="90" spans="1:7" hidden="1" x14ac:dyDescent="0.25">
      <c r="A90" t="s">
        <v>66</v>
      </c>
      <c r="B90">
        <v>2</v>
      </c>
      <c r="C90" t="s">
        <v>53</v>
      </c>
      <c r="D90" t="s">
        <v>51</v>
      </c>
      <c r="E90">
        <v>7.6</v>
      </c>
      <c r="F90" s="11">
        <v>46232</v>
      </c>
      <c r="G90" t="s">
        <v>68</v>
      </c>
    </row>
    <row r="91" spans="1:7" hidden="1" x14ac:dyDescent="0.25">
      <c r="A91" t="s">
        <v>66</v>
      </c>
      <c r="B91">
        <v>2</v>
      </c>
      <c r="C91" t="s">
        <v>54</v>
      </c>
      <c r="D91" t="s">
        <v>49</v>
      </c>
      <c r="E91">
        <v>7.6</v>
      </c>
      <c r="F91" s="11">
        <v>46233</v>
      </c>
      <c r="G91" t="s">
        <v>68</v>
      </c>
    </row>
    <row r="92" spans="1:7" hidden="1" x14ac:dyDescent="0.25">
      <c r="A92" t="s">
        <v>66</v>
      </c>
      <c r="B92">
        <v>2</v>
      </c>
      <c r="C92" t="s">
        <v>54</v>
      </c>
      <c r="D92" t="s">
        <v>51</v>
      </c>
      <c r="E92">
        <v>7.6</v>
      </c>
      <c r="F92" s="11">
        <v>46233</v>
      </c>
      <c r="G92" t="s">
        <v>68</v>
      </c>
    </row>
    <row r="93" spans="1:7" hidden="1" x14ac:dyDescent="0.25">
      <c r="A93" t="s">
        <v>66</v>
      </c>
      <c r="B93">
        <v>2</v>
      </c>
      <c r="C93" t="s">
        <v>55</v>
      </c>
      <c r="D93" t="s">
        <v>49</v>
      </c>
      <c r="E93">
        <v>7.6</v>
      </c>
      <c r="F93" s="11">
        <v>46234</v>
      </c>
      <c r="G93" t="s">
        <v>68</v>
      </c>
    </row>
    <row r="94" spans="1:7" hidden="1" x14ac:dyDescent="0.25">
      <c r="A94" t="s">
        <v>66</v>
      </c>
      <c r="B94">
        <v>2</v>
      </c>
      <c r="C94" t="s">
        <v>55</v>
      </c>
      <c r="D94" t="s">
        <v>51</v>
      </c>
      <c r="E94">
        <v>7.6</v>
      </c>
      <c r="F94" s="11">
        <v>46234</v>
      </c>
      <c r="G94" t="s">
        <v>68</v>
      </c>
    </row>
    <row r="95" spans="1:7" hidden="1" x14ac:dyDescent="0.25">
      <c r="A95" t="s">
        <v>66</v>
      </c>
      <c r="B95">
        <v>2</v>
      </c>
      <c r="C95" t="s">
        <v>56</v>
      </c>
      <c r="D95" t="s">
        <v>49</v>
      </c>
      <c r="E95">
        <v>7.6</v>
      </c>
      <c r="F95" s="11">
        <v>46235</v>
      </c>
      <c r="G95" t="s">
        <v>68</v>
      </c>
    </row>
    <row r="96" spans="1:7" hidden="1" x14ac:dyDescent="0.25">
      <c r="A96" t="s">
        <v>66</v>
      </c>
      <c r="B96">
        <v>2</v>
      </c>
      <c r="C96" t="s">
        <v>56</v>
      </c>
      <c r="D96" t="s">
        <v>51</v>
      </c>
      <c r="E96">
        <v>7.6</v>
      </c>
      <c r="F96" s="11">
        <v>46235</v>
      </c>
      <c r="G96" t="s">
        <v>68</v>
      </c>
    </row>
    <row r="97" spans="1:7" hidden="1" x14ac:dyDescent="0.25">
      <c r="A97" t="s">
        <v>66</v>
      </c>
      <c r="B97">
        <v>2</v>
      </c>
      <c r="C97" t="s">
        <v>57</v>
      </c>
      <c r="D97" t="s">
        <v>49</v>
      </c>
      <c r="E97">
        <v>7.6</v>
      </c>
      <c r="F97" s="11">
        <v>46236</v>
      </c>
      <c r="G97" t="s">
        <v>68</v>
      </c>
    </row>
    <row r="98" spans="1:7" hidden="1" x14ac:dyDescent="0.25">
      <c r="A98" t="s">
        <v>66</v>
      </c>
      <c r="B98">
        <v>2</v>
      </c>
      <c r="C98" t="s">
        <v>57</v>
      </c>
      <c r="D98" t="s">
        <v>51</v>
      </c>
      <c r="E98">
        <v>7.6</v>
      </c>
      <c r="F98" s="11">
        <v>46236</v>
      </c>
      <c r="G98" t="s">
        <v>68</v>
      </c>
    </row>
    <row r="99" spans="1:7" hidden="1" x14ac:dyDescent="0.25">
      <c r="A99" t="s">
        <v>66</v>
      </c>
      <c r="B99">
        <v>1</v>
      </c>
      <c r="C99" t="s">
        <v>53</v>
      </c>
      <c r="D99" t="s">
        <v>50</v>
      </c>
      <c r="E99">
        <v>7.6</v>
      </c>
      <c r="F99" s="11">
        <v>46225</v>
      </c>
      <c r="G99" t="s">
        <v>69</v>
      </c>
    </row>
    <row r="100" spans="1:7" hidden="1" x14ac:dyDescent="0.25">
      <c r="A100" t="s">
        <v>66</v>
      </c>
      <c r="B100">
        <v>1</v>
      </c>
      <c r="C100" t="s">
        <v>54</v>
      </c>
      <c r="D100" t="s">
        <v>50</v>
      </c>
      <c r="E100">
        <v>7.6</v>
      </c>
      <c r="F100" s="11">
        <v>46226</v>
      </c>
      <c r="G100" t="s">
        <v>69</v>
      </c>
    </row>
    <row r="101" spans="1:7" hidden="1" x14ac:dyDescent="0.25">
      <c r="A101" t="s">
        <v>66</v>
      </c>
      <c r="B101">
        <v>1</v>
      </c>
      <c r="C101" t="s">
        <v>55</v>
      </c>
      <c r="D101" t="s">
        <v>50</v>
      </c>
      <c r="E101">
        <v>7.6</v>
      </c>
      <c r="F101" s="11">
        <v>46227</v>
      </c>
      <c r="G101" t="s">
        <v>69</v>
      </c>
    </row>
    <row r="102" spans="1:7" hidden="1" x14ac:dyDescent="0.25">
      <c r="A102" t="s">
        <v>66</v>
      </c>
      <c r="B102">
        <v>2</v>
      </c>
      <c r="C102" t="s">
        <v>53</v>
      </c>
      <c r="D102" t="s">
        <v>50</v>
      </c>
      <c r="E102">
        <v>7.6</v>
      </c>
      <c r="F102" s="11">
        <v>46232</v>
      </c>
      <c r="G102" t="s">
        <v>69</v>
      </c>
    </row>
    <row r="103" spans="1:7" hidden="1" x14ac:dyDescent="0.25">
      <c r="A103" t="s">
        <v>66</v>
      </c>
      <c r="B103">
        <v>2</v>
      </c>
      <c r="C103" t="s">
        <v>54</v>
      </c>
      <c r="D103" t="s">
        <v>50</v>
      </c>
      <c r="E103">
        <v>7.6</v>
      </c>
      <c r="F103" s="11">
        <v>46233</v>
      </c>
      <c r="G103" t="s">
        <v>69</v>
      </c>
    </row>
    <row r="104" spans="1:7" hidden="1" x14ac:dyDescent="0.25">
      <c r="A104" t="s">
        <v>66</v>
      </c>
      <c r="B104">
        <v>2</v>
      </c>
      <c r="C104" t="s">
        <v>55</v>
      </c>
      <c r="D104" t="s">
        <v>50</v>
      </c>
      <c r="E104">
        <v>7.6</v>
      </c>
      <c r="F104" s="11">
        <v>46234</v>
      </c>
      <c r="G104" t="s">
        <v>69</v>
      </c>
    </row>
    <row r="105" spans="1:7" hidden="1" x14ac:dyDescent="0.25">
      <c r="A105" t="s">
        <v>66</v>
      </c>
      <c r="B105">
        <v>1</v>
      </c>
      <c r="C105" t="s">
        <v>48</v>
      </c>
      <c r="D105" t="s">
        <v>49</v>
      </c>
      <c r="E105">
        <v>7.6</v>
      </c>
      <c r="F105" s="11">
        <v>46223</v>
      </c>
      <c r="G105" t="s">
        <v>175</v>
      </c>
    </row>
    <row r="106" spans="1:7" hidden="1" x14ac:dyDescent="0.25">
      <c r="A106" t="s">
        <v>66</v>
      </c>
      <c r="B106">
        <v>1</v>
      </c>
      <c r="C106" t="s">
        <v>53</v>
      </c>
      <c r="D106" t="s">
        <v>49</v>
      </c>
      <c r="E106">
        <v>7.6</v>
      </c>
      <c r="F106" s="11">
        <v>46225</v>
      </c>
      <c r="G106" t="s">
        <v>175</v>
      </c>
    </row>
    <row r="107" spans="1:7" hidden="1" x14ac:dyDescent="0.25">
      <c r="A107" t="s">
        <v>66</v>
      </c>
      <c r="B107">
        <v>1</v>
      </c>
      <c r="C107" t="s">
        <v>56</v>
      </c>
      <c r="D107" t="s">
        <v>49</v>
      </c>
      <c r="E107">
        <v>7.6</v>
      </c>
      <c r="F107" s="11">
        <v>46228</v>
      </c>
      <c r="G107" t="s">
        <v>175</v>
      </c>
    </row>
    <row r="108" spans="1:7" hidden="1" x14ac:dyDescent="0.25">
      <c r="A108" t="s">
        <v>66</v>
      </c>
      <c r="B108">
        <v>1</v>
      </c>
      <c r="C108" t="s">
        <v>57</v>
      </c>
      <c r="D108" t="s">
        <v>49</v>
      </c>
      <c r="E108">
        <v>7.6</v>
      </c>
      <c r="F108" s="11">
        <v>46229</v>
      </c>
      <c r="G108" t="s">
        <v>175</v>
      </c>
    </row>
    <row r="109" spans="1:7" hidden="1" x14ac:dyDescent="0.25">
      <c r="A109" t="s">
        <v>66</v>
      </c>
      <c r="B109">
        <v>1</v>
      </c>
      <c r="C109" t="s">
        <v>57</v>
      </c>
      <c r="D109" t="s">
        <v>51</v>
      </c>
      <c r="E109">
        <v>7.6</v>
      </c>
      <c r="F109" s="11">
        <v>46229</v>
      </c>
      <c r="G109" t="s">
        <v>175</v>
      </c>
    </row>
    <row r="110" spans="1:7" hidden="1" x14ac:dyDescent="0.25">
      <c r="A110" t="s">
        <v>66</v>
      </c>
      <c r="B110">
        <v>2</v>
      </c>
      <c r="C110" t="s">
        <v>48</v>
      </c>
      <c r="D110" t="s">
        <v>49</v>
      </c>
      <c r="E110">
        <v>7.6</v>
      </c>
      <c r="F110" s="11">
        <v>46230</v>
      </c>
      <c r="G110" t="s">
        <v>175</v>
      </c>
    </row>
    <row r="111" spans="1:7" hidden="1" x14ac:dyDescent="0.25">
      <c r="A111" t="s">
        <v>66</v>
      </c>
      <c r="B111">
        <v>2</v>
      </c>
      <c r="C111" t="s">
        <v>53</v>
      </c>
      <c r="D111" t="s">
        <v>49</v>
      </c>
      <c r="E111">
        <v>7.6</v>
      </c>
      <c r="F111" s="11">
        <v>46232</v>
      </c>
      <c r="G111" t="s">
        <v>175</v>
      </c>
    </row>
    <row r="112" spans="1:7" hidden="1" x14ac:dyDescent="0.25">
      <c r="A112" t="s">
        <v>66</v>
      </c>
      <c r="B112">
        <v>2</v>
      </c>
      <c r="C112" t="s">
        <v>56</v>
      </c>
      <c r="D112" t="s">
        <v>49</v>
      </c>
      <c r="E112">
        <v>7.6</v>
      </c>
      <c r="F112" s="11">
        <v>46235</v>
      </c>
      <c r="G112" t="s">
        <v>175</v>
      </c>
    </row>
    <row r="113" spans="1:7" hidden="1" x14ac:dyDescent="0.25">
      <c r="A113" t="s">
        <v>66</v>
      </c>
      <c r="B113">
        <v>2</v>
      </c>
      <c r="C113" t="s">
        <v>57</v>
      </c>
      <c r="D113" t="s">
        <v>49</v>
      </c>
      <c r="E113">
        <v>7.6</v>
      </c>
      <c r="F113" s="11">
        <v>46236</v>
      </c>
      <c r="G113" t="s">
        <v>175</v>
      </c>
    </row>
    <row r="114" spans="1:7" hidden="1" x14ac:dyDescent="0.25">
      <c r="A114" t="s">
        <v>66</v>
      </c>
      <c r="B114">
        <v>2</v>
      </c>
      <c r="C114" t="s">
        <v>57</v>
      </c>
      <c r="D114" t="s">
        <v>51</v>
      </c>
      <c r="E114">
        <v>7.6</v>
      </c>
      <c r="F114" s="11">
        <v>46236</v>
      </c>
      <c r="G114" t="s">
        <v>175</v>
      </c>
    </row>
    <row r="115" spans="1:7" hidden="1" x14ac:dyDescent="0.25">
      <c r="A115" t="s">
        <v>66</v>
      </c>
      <c r="B115">
        <v>1</v>
      </c>
      <c r="C115" t="s">
        <v>56</v>
      </c>
      <c r="D115" t="s">
        <v>50</v>
      </c>
      <c r="E115">
        <v>7.6</v>
      </c>
      <c r="F115" s="11">
        <v>46228</v>
      </c>
      <c r="G115" t="s">
        <v>70</v>
      </c>
    </row>
    <row r="116" spans="1:7" hidden="1" x14ac:dyDescent="0.25">
      <c r="A116" t="s">
        <v>66</v>
      </c>
      <c r="B116">
        <v>1</v>
      </c>
      <c r="C116" t="s">
        <v>57</v>
      </c>
      <c r="D116" t="s">
        <v>50</v>
      </c>
      <c r="E116">
        <v>7.6</v>
      </c>
      <c r="F116" s="11">
        <v>46229</v>
      </c>
      <c r="G116" t="s">
        <v>70</v>
      </c>
    </row>
    <row r="117" spans="1:7" hidden="1" x14ac:dyDescent="0.25">
      <c r="A117" t="s">
        <v>66</v>
      </c>
      <c r="B117">
        <v>2</v>
      </c>
      <c r="C117" t="s">
        <v>56</v>
      </c>
      <c r="D117" t="s">
        <v>50</v>
      </c>
      <c r="E117">
        <v>7.6</v>
      </c>
      <c r="F117" s="11">
        <v>46235</v>
      </c>
      <c r="G117" t="s">
        <v>70</v>
      </c>
    </row>
    <row r="118" spans="1:7" hidden="1" x14ac:dyDescent="0.25">
      <c r="A118" t="s">
        <v>66</v>
      </c>
      <c r="B118">
        <v>2</v>
      </c>
      <c r="C118" t="s">
        <v>57</v>
      </c>
      <c r="D118" t="s">
        <v>50</v>
      </c>
      <c r="E118">
        <v>7.6</v>
      </c>
      <c r="F118" s="11">
        <v>46236</v>
      </c>
      <c r="G118" t="s">
        <v>70</v>
      </c>
    </row>
    <row r="119" spans="1:7" hidden="1" x14ac:dyDescent="0.25">
      <c r="A119" t="s">
        <v>66</v>
      </c>
      <c r="B119">
        <v>1</v>
      </c>
      <c r="C119" t="s">
        <v>48</v>
      </c>
      <c r="D119" t="s">
        <v>51</v>
      </c>
      <c r="E119">
        <v>7.6</v>
      </c>
      <c r="F119" s="11">
        <v>46223</v>
      </c>
      <c r="G119" t="s">
        <v>71</v>
      </c>
    </row>
    <row r="120" spans="1:7" hidden="1" x14ac:dyDescent="0.25">
      <c r="A120" t="s">
        <v>66</v>
      </c>
      <c r="B120">
        <v>1</v>
      </c>
      <c r="C120" t="s">
        <v>54</v>
      </c>
      <c r="D120" t="s">
        <v>49</v>
      </c>
      <c r="E120">
        <v>7.6</v>
      </c>
      <c r="F120" s="11">
        <v>46226</v>
      </c>
      <c r="G120" t="s">
        <v>71</v>
      </c>
    </row>
    <row r="121" spans="1:7" hidden="1" x14ac:dyDescent="0.25">
      <c r="A121" t="s">
        <v>66</v>
      </c>
      <c r="B121">
        <v>1</v>
      </c>
      <c r="C121" t="s">
        <v>55</v>
      </c>
      <c r="D121" t="s">
        <v>49</v>
      </c>
      <c r="E121">
        <v>7.6</v>
      </c>
      <c r="F121" s="11">
        <v>46227</v>
      </c>
      <c r="G121" t="s">
        <v>71</v>
      </c>
    </row>
    <row r="122" spans="1:7" hidden="1" x14ac:dyDescent="0.25">
      <c r="A122" t="s">
        <v>66</v>
      </c>
      <c r="B122">
        <v>1</v>
      </c>
      <c r="C122" t="s">
        <v>56</v>
      </c>
      <c r="D122" t="s">
        <v>49</v>
      </c>
      <c r="E122">
        <v>7.6</v>
      </c>
      <c r="F122" s="11">
        <v>46228</v>
      </c>
      <c r="G122" t="s">
        <v>71</v>
      </c>
    </row>
    <row r="123" spans="1:7" hidden="1" x14ac:dyDescent="0.25">
      <c r="A123" t="s">
        <v>66</v>
      </c>
      <c r="B123">
        <v>1</v>
      </c>
      <c r="C123" t="s">
        <v>57</v>
      </c>
      <c r="D123" t="s">
        <v>51</v>
      </c>
      <c r="E123">
        <v>7.6</v>
      </c>
      <c r="F123" s="11">
        <v>46229</v>
      </c>
      <c r="G123" t="s">
        <v>71</v>
      </c>
    </row>
    <row r="124" spans="1:7" hidden="1" x14ac:dyDescent="0.25">
      <c r="A124" t="s">
        <v>66</v>
      </c>
      <c r="B124">
        <v>2</v>
      </c>
      <c r="C124" t="s">
        <v>48</v>
      </c>
      <c r="D124" t="s">
        <v>51</v>
      </c>
      <c r="E124">
        <v>7.6</v>
      </c>
      <c r="F124" s="11">
        <v>46230</v>
      </c>
      <c r="G124" t="s">
        <v>71</v>
      </c>
    </row>
    <row r="125" spans="1:7" hidden="1" x14ac:dyDescent="0.25">
      <c r="A125" t="s">
        <v>66</v>
      </c>
      <c r="B125">
        <v>2</v>
      </c>
      <c r="C125" t="s">
        <v>54</v>
      </c>
      <c r="D125" t="s">
        <v>49</v>
      </c>
      <c r="E125">
        <v>7.6</v>
      </c>
      <c r="F125" s="11">
        <v>46233</v>
      </c>
      <c r="G125" t="s">
        <v>71</v>
      </c>
    </row>
    <row r="126" spans="1:7" hidden="1" x14ac:dyDescent="0.25">
      <c r="A126" t="s">
        <v>66</v>
      </c>
      <c r="B126">
        <v>2</v>
      </c>
      <c r="C126" t="s">
        <v>55</v>
      </c>
      <c r="D126" t="s">
        <v>49</v>
      </c>
      <c r="E126">
        <v>7.6</v>
      </c>
      <c r="F126" s="11">
        <v>46234</v>
      </c>
      <c r="G126" t="s">
        <v>71</v>
      </c>
    </row>
    <row r="127" spans="1:7" hidden="1" x14ac:dyDescent="0.25">
      <c r="A127" t="s">
        <v>66</v>
      </c>
      <c r="B127">
        <v>2</v>
      </c>
      <c r="C127" t="s">
        <v>56</v>
      </c>
      <c r="D127" t="s">
        <v>49</v>
      </c>
      <c r="E127">
        <v>7.6</v>
      </c>
      <c r="F127" s="11">
        <v>46235</v>
      </c>
      <c r="G127" t="s">
        <v>71</v>
      </c>
    </row>
    <row r="128" spans="1:7" hidden="1" x14ac:dyDescent="0.25">
      <c r="A128" t="s">
        <v>66</v>
      </c>
      <c r="B128">
        <v>2</v>
      </c>
      <c r="C128" t="s">
        <v>57</v>
      </c>
      <c r="D128" t="s">
        <v>51</v>
      </c>
      <c r="E128">
        <v>7.6</v>
      </c>
      <c r="F128" s="11">
        <v>46236</v>
      </c>
      <c r="G128" t="s">
        <v>71</v>
      </c>
    </row>
    <row r="129" spans="1:7" hidden="1" x14ac:dyDescent="0.25">
      <c r="A129" t="s">
        <v>66</v>
      </c>
      <c r="B129">
        <v>1</v>
      </c>
      <c r="C129" t="s">
        <v>52</v>
      </c>
      <c r="D129" t="s">
        <v>51</v>
      </c>
      <c r="E129">
        <v>7.6</v>
      </c>
      <c r="F129" s="11">
        <v>46224</v>
      </c>
      <c r="G129" t="s">
        <v>72</v>
      </c>
    </row>
    <row r="130" spans="1:7" hidden="1" x14ac:dyDescent="0.25">
      <c r="A130" t="s">
        <v>66</v>
      </c>
      <c r="B130">
        <v>1</v>
      </c>
      <c r="C130" t="s">
        <v>53</v>
      </c>
      <c r="D130" t="s">
        <v>51</v>
      </c>
      <c r="E130">
        <v>7.6</v>
      </c>
      <c r="F130" s="11">
        <v>46225</v>
      </c>
      <c r="G130" t="s">
        <v>72</v>
      </c>
    </row>
    <row r="131" spans="1:7" hidden="1" x14ac:dyDescent="0.25">
      <c r="A131" t="s">
        <v>66</v>
      </c>
      <c r="B131">
        <v>1</v>
      </c>
      <c r="C131" t="s">
        <v>54</v>
      </c>
      <c r="D131" t="s">
        <v>51</v>
      </c>
      <c r="E131">
        <v>7.6</v>
      </c>
      <c r="F131" s="11">
        <v>46226</v>
      </c>
      <c r="G131" t="s">
        <v>72</v>
      </c>
    </row>
    <row r="132" spans="1:7" hidden="1" x14ac:dyDescent="0.25">
      <c r="A132" t="s">
        <v>66</v>
      </c>
      <c r="B132">
        <v>2</v>
      </c>
      <c r="C132" t="s">
        <v>52</v>
      </c>
      <c r="D132" t="s">
        <v>51</v>
      </c>
      <c r="E132">
        <v>7.6</v>
      </c>
      <c r="F132" s="11">
        <v>46231</v>
      </c>
      <c r="G132" t="s">
        <v>72</v>
      </c>
    </row>
    <row r="133" spans="1:7" hidden="1" x14ac:dyDescent="0.25">
      <c r="A133" t="s">
        <v>66</v>
      </c>
      <c r="B133">
        <v>2</v>
      </c>
      <c r="C133" t="s">
        <v>53</v>
      </c>
      <c r="D133" t="s">
        <v>51</v>
      </c>
      <c r="E133">
        <v>7.6</v>
      </c>
      <c r="F133" s="11">
        <v>46232</v>
      </c>
      <c r="G133" t="s">
        <v>72</v>
      </c>
    </row>
    <row r="134" spans="1:7" hidden="1" x14ac:dyDescent="0.25">
      <c r="A134" t="s">
        <v>66</v>
      </c>
      <c r="B134">
        <v>2</v>
      </c>
      <c r="C134" t="s">
        <v>54</v>
      </c>
      <c r="D134" t="s">
        <v>51</v>
      </c>
      <c r="E134">
        <v>7.6</v>
      </c>
      <c r="F134" s="11">
        <v>46233</v>
      </c>
      <c r="G134" t="s">
        <v>72</v>
      </c>
    </row>
    <row r="135" spans="1:7" hidden="1" x14ac:dyDescent="0.25">
      <c r="A135" t="s">
        <v>66</v>
      </c>
      <c r="B135">
        <v>1</v>
      </c>
      <c r="C135" t="s">
        <v>48</v>
      </c>
      <c r="D135" t="s">
        <v>49</v>
      </c>
      <c r="E135">
        <v>7.6</v>
      </c>
      <c r="F135" s="11">
        <v>46223</v>
      </c>
      <c r="G135" t="s">
        <v>73</v>
      </c>
    </row>
    <row r="136" spans="1:7" hidden="1" x14ac:dyDescent="0.25">
      <c r="A136" t="s">
        <v>66</v>
      </c>
      <c r="B136">
        <v>1</v>
      </c>
      <c r="C136" t="s">
        <v>52</v>
      </c>
      <c r="D136" t="s">
        <v>49</v>
      </c>
      <c r="E136">
        <v>7.6</v>
      </c>
      <c r="F136" s="11">
        <v>46224</v>
      </c>
      <c r="G136" t="s">
        <v>73</v>
      </c>
    </row>
    <row r="137" spans="1:7" hidden="1" x14ac:dyDescent="0.25">
      <c r="A137" t="s">
        <v>66</v>
      </c>
      <c r="B137">
        <v>1</v>
      </c>
      <c r="C137" t="s">
        <v>53</v>
      </c>
      <c r="D137" t="s">
        <v>51</v>
      </c>
      <c r="E137">
        <v>7.6</v>
      </c>
      <c r="F137" s="11">
        <v>46225</v>
      </c>
      <c r="G137" t="s">
        <v>73</v>
      </c>
    </row>
    <row r="138" spans="1:7" hidden="1" x14ac:dyDescent="0.25">
      <c r="A138" t="s">
        <v>66</v>
      </c>
      <c r="B138">
        <v>1</v>
      </c>
      <c r="C138" t="s">
        <v>54</v>
      </c>
      <c r="D138" t="s">
        <v>49</v>
      </c>
      <c r="E138">
        <v>7.6</v>
      </c>
      <c r="F138" s="11">
        <v>46226</v>
      </c>
      <c r="G138" t="s">
        <v>73</v>
      </c>
    </row>
    <row r="139" spans="1:7" hidden="1" x14ac:dyDescent="0.25">
      <c r="A139" t="s">
        <v>66</v>
      </c>
      <c r="B139">
        <v>1</v>
      </c>
      <c r="C139" t="s">
        <v>55</v>
      </c>
      <c r="D139" t="s">
        <v>49</v>
      </c>
      <c r="E139">
        <v>7.6</v>
      </c>
      <c r="F139" s="11">
        <v>46227</v>
      </c>
      <c r="G139" t="s">
        <v>73</v>
      </c>
    </row>
    <row r="140" spans="1:7" hidden="1" x14ac:dyDescent="0.25">
      <c r="A140" t="s">
        <v>66</v>
      </c>
      <c r="B140">
        <v>2</v>
      </c>
      <c r="C140" t="s">
        <v>48</v>
      </c>
      <c r="D140" t="s">
        <v>49</v>
      </c>
      <c r="E140">
        <v>7.6</v>
      </c>
      <c r="F140" s="11">
        <v>46230</v>
      </c>
      <c r="G140" t="s">
        <v>73</v>
      </c>
    </row>
    <row r="141" spans="1:7" hidden="1" x14ac:dyDescent="0.25">
      <c r="A141" t="s">
        <v>66</v>
      </c>
      <c r="B141">
        <v>2</v>
      </c>
      <c r="C141" t="s">
        <v>52</v>
      </c>
      <c r="D141" t="s">
        <v>49</v>
      </c>
      <c r="E141">
        <v>7.6</v>
      </c>
      <c r="F141" s="11">
        <v>46231</v>
      </c>
      <c r="G141" t="s">
        <v>73</v>
      </c>
    </row>
    <row r="142" spans="1:7" hidden="1" x14ac:dyDescent="0.25">
      <c r="A142" t="s">
        <v>66</v>
      </c>
      <c r="B142">
        <v>2</v>
      </c>
      <c r="C142" t="s">
        <v>53</v>
      </c>
      <c r="D142" t="s">
        <v>51</v>
      </c>
      <c r="E142">
        <v>7.6</v>
      </c>
      <c r="F142" s="11">
        <v>46232</v>
      </c>
      <c r="G142" t="s">
        <v>73</v>
      </c>
    </row>
    <row r="143" spans="1:7" hidden="1" x14ac:dyDescent="0.25">
      <c r="A143" t="s">
        <v>66</v>
      </c>
      <c r="B143">
        <v>2</v>
      </c>
      <c r="C143" t="s">
        <v>54</v>
      </c>
      <c r="D143" t="s">
        <v>49</v>
      </c>
      <c r="E143">
        <v>7.6</v>
      </c>
      <c r="F143" s="11">
        <v>46233</v>
      </c>
      <c r="G143" t="s">
        <v>73</v>
      </c>
    </row>
    <row r="144" spans="1:7" hidden="1" x14ac:dyDescent="0.25">
      <c r="A144" t="s">
        <v>66</v>
      </c>
      <c r="B144">
        <v>2</v>
      </c>
      <c r="C144" t="s">
        <v>55</v>
      </c>
      <c r="D144" t="s">
        <v>49</v>
      </c>
      <c r="E144">
        <v>7.6</v>
      </c>
      <c r="F144" s="11">
        <v>46234</v>
      </c>
      <c r="G144" t="s">
        <v>73</v>
      </c>
    </row>
    <row r="145" spans="1:7" hidden="1" x14ac:dyDescent="0.25">
      <c r="A145" t="s">
        <v>66</v>
      </c>
      <c r="B145">
        <v>1</v>
      </c>
      <c r="C145" t="s">
        <v>48</v>
      </c>
      <c r="D145" t="s">
        <v>51</v>
      </c>
      <c r="E145">
        <v>7.6</v>
      </c>
      <c r="F145" s="11">
        <v>46223</v>
      </c>
      <c r="G145" t="s">
        <v>74</v>
      </c>
    </row>
    <row r="146" spans="1:7" hidden="1" x14ac:dyDescent="0.25">
      <c r="A146" t="s">
        <v>66</v>
      </c>
      <c r="B146">
        <v>1</v>
      </c>
      <c r="C146" t="s">
        <v>52</v>
      </c>
      <c r="D146" t="s">
        <v>51</v>
      </c>
      <c r="E146">
        <v>7.6</v>
      </c>
      <c r="F146" s="11">
        <v>46224</v>
      </c>
      <c r="G146" t="s">
        <v>74</v>
      </c>
    </row>
    <row r="147" spans="1:7" hidden="1" x14ac:dyDescent="0.25">
      <c r="A147" t="s">
        <v>66</v>
      </c>
      <c r="B147">
        <v>1</v>
      </c>
      <c r="C147" t="s">
        <v>53</v>
      </c>
      <c r="D147" t="s">
        <v>49</v>
      </c>
      <c r="E147">
        <v>7.6</v>
      </c>
      <c r="F147" s="11">
        <v>46225</v>
      </c>
      <c r="G147" t="s">
        <v>74</v>
      </c>
    </row>
    <row r="148" spans="1:7" hidden="1" x14ac:dyDescent="0.25">
      <c r="A148" t="s">
        <v>66</v>
      </c>
      <c r="B148">
        <v>1</v>
      </c>
      <c r="C148" t="s">
        <v>55</v>
      </c>
      <c r="D148" t="s">
        <v>51</v>
      </c>
      <c r="E148">
        <v>7.6</v>
      </c>
      <c r="F148" s="11">
        <v>46227</v>
      </c>
      <c r="G148" t="s">
        <v>74</v>
      </c>
    </row>
    <row r="149" spans="1:7" hidden="1" x14ac:dyDescent="0.25">
      <c r="A149" t="s">
        <v>66</v>
      </c>
      <c r="B149">
        <v>1</v>
      </c>
      <c r="C149" t="s">
        <v>56</v>
      </c>
      <c r="D149" t="s">
        <v>51</v>
      </c>
      <c r="E149">
        <v>7.6</v>
      </c>
      <c r="F149" s="11">
        <v>46228</v>
      </c>
      <c r="G149" t="s">
        <v>74</v>
      </c>
    </row>
    <row r="150" spans="1:7" hidden="1" x14ac:dyDescent="0.25">
      <c r="A150" t="s">
        <v>66</v>
      </c>
      <c r="B150">
        <v>2</v>
      </c>
      <c r="C150" t="s">
        <v>48</v>
      </c>
      <c r="D150" t="s">
        <v>51</v>
      </c>
      <c r="E150">
        <v>7.6</v>
      </c>
      <c r="F150" s="11">
        <v>46230</v>
      </c>
      <c r="G150" t="s">
        <v>74</v>
      </c>
    </row>
    <row r="151" spans="1:7" hidden="1" x14ac:dyDescent="0.25">
      <c r="A151" t="s">
        <v>66</v>
      </c>
      <c r="B151">
        <v>2</v>
      </c>
      <c r="C151" t="s">
        <v>52</v>
      </c>
      <c r="D151" t="s">
        <v>51</v>
      </c>
      <c r="E151">
        <v>7.6</v>
      </c>
      <c r="F151" s="11">
        <v>46231</v>
      </c>
      <c r="G151" t="s">
        <v>74</v>
      </c>
    </row>
    <row r="152" spans="1:7" hidden="1" x14ac:dyDescent="0.25">
      <c r="A152" t="s">
        <v>66</v>
      </c>
      <c r="B152">
        <v>2</v>
      </c>
      <c r="C152" t="s">
        <v>53</v>
      </c>
      <c r="D152" t="s">
        <v>49</v>
      </c>
      <c r="E152">
        <v>7.6</v>
      </c>
      <c r="F152" s="11">
        <v>46232</v>
      </c>
      <c r="G152" t="s">
        <v>74</v>
      </c>
    </row>
    <row r="153" spans="1:7" hidden="1" x14ac:dyDescent="0.25">
      <c r="A153" t="s">
        <v>66</v>
      </c>
      <c r="B153">
        <v>2</v>
      </c>
      <c r="C153" t="s">
        <v>55</v>
      </c>
      <c r="D153" t="s">
        <v>51</v>
      </c>
      <c r="E153">
        <v>7.6</v>
      </c>
      <c r="F153" s="11">
        <v>46234</v>
      </c>
      <c r="G153" t="s">
        <v>74</v>
      </c>
    </row>
    <row r="154" spans="1:7" hidden="1" x14ac:dyDescent="0.25">
      <c r="A154" t="s">
        <v>66</v>
      </c>
      <c r="B154">
        <v>2</v>
      </c>
      <c r="C154" t="s">
        <v>56</v>
      </c>
      <c r="D154" t="s">
        <v>51</v>
      </c>
      <c r="E154">
        <v>7.6</v>
      </c>
      <c r="F154" s="11">
        <v>46235</v>
      </c>
      <c r="G154" t="s">
        <v>74</v>
      </c>
    </row>
    <row r="155" spans="1:7" hidden="1" x14ac:dyDescent="0.25">
      <c r="A155" t="s">
        <v>133</v>
      </c>
      <c r="B155">
        <v>1</v>
      </c>
      <c r="C155" t="s">
        <v>48</v>
      </c>
      <c r="D155" t="s">
        <v>49</v>
      </c>
      <c r="E155">
        <v>7.6</v>
      </c>
      <c r="F155" s="11">
        <v>46223</v>
      </c>
      <c r="G155" t="s">
        <v>135</v>
      </c>
    </row>
    <row r="156" spans="1:7" hidden="1" x14ac:dyDescent="0.25">
      <c r="A156" t="s">
        <v>133</v>
      </c>
      <c r="B156">
        <v>1</v>
      </c>
      <c r="C156" t="s">
        <v>52</v>
      </c>
      <c r="D156" t="s">
        <v>51</v>
      </c>
      <c r="E156">
        <v>7.6</v>
      </c>
      <c r="F156" s="11">
        <v>46224</v>
      </c>
      <c r="G156" t="s">
        <v>135</v>
      </c>
    </row>
    <row r="157" spans="1:7" hidden="1" x14ac:dyDescent="0.25">
      <c r="A157" t="s">
        <v>133</v>
      </c>
      <c r="B157">
        <v>1</v>
      </c>
      <c r="C157" t="s">
        <v>53</v>
      </c>
      <c r="D157" t="s">
        <v>51</v>
      </c>
      <c r="E157">
        <v>7.6</v>
      </c>
      <c r="F157" s="11">
        <v>46225</v>
      </c>
      <c r="G157" t="s">
        <v>135</v>
      </c>
    </row>
    <row r="158" spans="1:7" hidden="1" x14ac:dyDescent="0.25">
      <c r="A158" t="s">
        <v>133</v>
      </c>
      <c r="B158">
        <v>1</v>
      </c>
      <c r="C158" t="s">
        <v>54</v>
      </c>
      <c r="D158" t="s">
        <v>49</v>
      </c>
      <c r="E158">
        <v>7.6</v>
      </c>
      <c r="F158" s="11">
        <v>46226</v>
      </c>
      <c r="G158" t="s">
        <v>135</v>
      </c>
    </row>
    <row r="159" spans="1:7" hidden="1" x14ac:dyDescent="0.25">
      <c r="A159" t="s">
        <v>133</v>
      </c>
      <c r="B159">
        <v>1</v>
      </c>
      <c r="C159" t="s">
        <v>54</v>
      </c>
      <c r="D159" t="s">
        <v>51</v>
      </c>
      <c r="E159">
        <v>7.6</v>
      </c>
      <c r="F159" s="11">
        <v>46226</v>
      </c>
      <c r="G159" t="s">
        <v>135</v>
      </c>
    </row>
    <row r="160" spans="1:7" hidden="1" x14ac:dyDescent="0.25">
      <c r="A160" t="s">
        <v>133</v>
      </c>
      <c r="B160">
        <v>1</v>
      </c>
      <c r="C160" t="s">
        <v>55</v>
      </c>
      <c r="D160" t="s">
        <v>49</v>
      </c>
      <c r="E160">
        <v>7.6</v>
      </c>
      <c r="F160" s="11">
        <v>46227</v>
      </c>
      <c r="G160" t="s">
        <v>135</v>
      </c>
    </row>
    <row r="161" spans="1:7" hidden="1" x14ac:dyDescent="0.25">
      <c r="A161" t="s">
        <v>133</v>
      </c>
      <c r="B161">
        <v>1</v>
      </c>
      <c r="C161" t="s">
        <v>55</v>
      </c>
      <c r="D161" t="s">
        <v>51</v>
      </c>
      <c r="E161">
        <v>7.6</v>
      </c>
      <c r="F161" s="11">
        <v>46227</v>
      </c>
      <c r="G161" t="s">
        <v>135</v>
      </c>
    </row>
    <row r="162" spans="1:7" hidden="1" x14ac:dyDescent="0.25">
      <c r="A162" t="s">
        <v>133</v>
      </c>
      <c r="B162">
        <v>1</v>
      </c>
      <c r="C162" t="s">
        <v>56</v>
      </c>
      <c r="D162" t="s">
        <v>51</v>
      </c>
      <c r="E162">
        <v>7.6</v>
      </c>
      <c r="F162" s="11">
        <v>46228</v>
      </c>
      <c r="G162" t="s">
        <v>135</v>
      </c>
    </row>
    <row r="163" spans="1:7" hidden="1" x14ac:dyDescent="0.25">
      <c r="A163" t="s">
        <v>133</v>
      </c>
      <c r="B163">
        <v>1</v>
      </c>
      <c r="C163" t="s">
        <v>57</v>
      </c>
      <c r="D163" t="s">
        <v>51</v>
      </c>
      <c r="E163">
        <v>7.6</v>
      </c>
      <c r="F163" s="11">
        <v>46229</v>
      </c>
      <c r="G163" t="s">
        <v>135</v>
      </c>
    </row>
    <row r="164" spans="1:7" hidden="1" x14ac:dyDescent="0.25">
      <c r="A164" t="s">
        <v>133</v>
      </c>
      <c r="B164">
        <v>2</v>
      </c>
      <c r="C164" t="s">
        <v>48</v>
      </c>
      <c r="D164" t="s">
        <v>49</v>
      </c>
      <c r="E164">
        <v>7.6</v>
      </c>
      <c r="F164" s="11">
        <v>46230</v>
      </c>
      <c r="G164" t="s">
        <v>135</v>
      </c>
    </row>
    <row r="165" spans="1:7" hidden="1" x14ac:dyDescent="0.25">
      <c r="A165" t="s">
        <v>133</v>
      </c>
      <c r="B165">
        <v>2</v>
      </c>
      <c r="C165" t="s">
        <v>52</v>
      </c>
      <c r="D165" t="s">
        <v>51</v>
      </c>
      <c r="E165">
        <v>7.6</v>
      </c>
      <c r="F165" s="11">
        <v>46231</v>
      </c>
      <c r="G165" t="s">
        <v>135</v>
      </c>
    </row>
    <row r="166" spans="1:7" hidden="1" x14ac:dyDescent="0.25">
      <c r="A166" t="s">
        <v>133</v>
      </c>
      <c r="B166">
        <v>2</v>
      </c>
      <c r="C166" t="s">
        <v>53</v>
      </c>
      <c r="D166" t="s">
        <v>51</v>
      </c>
      <c r="E166">
        <v>7.6</v>
      </c>
      <c r="F166" s="11">
        <v>46232</v>
      </c>
      <c r="G166" t="s">
        <v>135</v>
      </c>
    </row>
    <row r="167" spans="1:7" hidden="1" x14ac:dyDescent="0.25">
      <c r="A167" t="s">
        <v>133</v>
      </c>
      <c r="B167">
        <v>2</v>
      </c>
      <c r="C167" t="s">
        <v>54</v>
      </c>
      <c r="D167" t="s">
        <v>49</v>
      </c>
      <c r="E167">
        <v>7.6</v>
      </c>
      <c r="F167" s="11">
        <v>46233</v>
      </c>
      <c r="G167" t="s">
        <v>135</v>
      </c>
    </row>
    <row r="168" spans="1:7" hidden="1" x14ac:dyDescent="0.25">
      <c r="A168" t="s">
        <v>133</v>
      </c>
      <c r="B168">
        <v>2</v>
      </c>
      <c r="C168" t="s">
        <v>54</v>
      </c>
      <c r="D168" t="s">
        <v>51</v>
      </c>
      <c r="E168">
        <v>7.6</v>
      </c>
      <c r="F168" s="11">
        <v>46233</v>
      </c>
      <c r="G168" t="s">
        <v>135</v>
      </c>
    </row>
    <row r="169" spans="1:7" hidden="1" x14ac:dyDescent="0.25">
      <c r="A169" t="s">
        <v>133</v>
      </c>
      <c r="B169">
        <v>2</v>
      </c>
      <c r="C169" t="s">
        <v>55</v>
      </c>
      <c r="D169" t="s">
        <v>49</v>
      </c>
      <c r="E169">
        <v>7.6</v>
      </c>
      <c r="F169" s="11">
        <v>46234</v>
      </c>
      <c r="G169" t="s">
        <v>135</v>
      </c>
    </row>
    <row r="170" spans="1:7" hidden="1" x14ac:dyDescent="0.25">
      <c r="A170" t="s">
        <v>133</v>
      </c>
      <c r="B170">
        <v>2</v>
      </c>
      <c r="C170" t="s">
        <v>55</v>
      </c>
      <c r="D170" t="s">
        <v>51</v>
      </c>
      <c r="E170">
        <v>7.6</v>
      </c>
      <c r="F170" s="11">
        <v>46234</v>
      </c>
      <c r="G170" t="s">
        <v>135</v>
      </c>
    </row>
    <row r="171" spans="1:7" hidden="1" x14ac:dyDescent="0.25">
      <c r="A171" t="s">
        <v>133</v>
      </c>
      <c r="B171">
        <v>2</v>
      </c>
      <c r="C171" t="s">
        <v>56</v>
      </c>
      <c r="D171" t="s">
        <v>51</v>
      </c>
      <c r="E171">
        <v>7.6</v>
      </c>
      <c r="F171" s="11">
        <v>46235</v>
      </c>
      <c r="G171" t="s">
        <v>135</v>
      </c>
    </row>
    <row r="172" spans="1:7" hidden="1" x14ac:dyDescent="0.25">
      <c r="A172" t="s">
        <v>133</v>
      </c>
      <c r="B172">
        <v>2</v>
      </c>
      <c r="C172" t="s">
        <v>57</v>
      </c>
      <c r="D172" t="s">
        <v>51</v>
      </c>
      <c r="E172">
        <v>7.6</v>
      </c>
      <c r="F172" s="11">
        <v>46236</v>
      </c>
      <c r="G172" t="s">
        <v>135</v>
      </c>
    </row>
    <row r="173" spans="1:7" hidden="1" x14ac:dyDescent="0.25">
      <c r="A173" t="s">
        <v>66</v>
      </c>
      <c r="B173">
        <v>1</v>
      </c>
      <c r="C173" t="s">
        <v>54</v>
      </c>
      <c r="D173" t="s">
        <v>49</v>
      </c>
      <c r="E173">
        <v>7.6</v>
      </c>
      <c r="F173" s="11">
        <v>46226</v>
      </c>
      <c r="G173" t="s">
        <v>75</v>
      </c>
    </row>
    <row r="174" spans="1:7" hidden="1" x14ac:dyDescent="0.25">
      <c r="A174" t="s">
        <v>66</v>
      </c>
      <c r="B174">
        <v>1</v>
      </c>
      <c r="C174" t="s">
        <v>55</v>
      </c>
      <c r="D174" t="s">
        <v>49</v>
      </c>
      <c r="E174">
        <v>7.6</v>
      </c>
      <c r="F174" s="11">
        <v>46227</v>
      </c>
      <c r="G174" t="s">
        <v>75</v>
      </c>
    </row>
    <row r="175" spans="1:7" hidden="1" x14ac:dyDescent="0.25">
      <c r="A175" t="s">
        <v>66</v>
      </c>
      <c r="B175">
        <v>1</v>
      </c>
      <c r="C175" t="s">
        <v>57</v>
      </c>
      <c r="D175" t="s">
        <v>51</v>
      </c>
      <c r="E175">
        <v>7.6</v>
      </c>
      <c r="F175" s="11">
        <v>46229</v>
      </c>
      <c r="G175" t="s">
        <v>75</v>
      </c>
    </row>
    <row r="176" spans="1:7" hidden="1" x14ac:dyDescent="0.25">
      <c r="A176" t="s">
        <v>66</v>
      </c>
      <c r="B176">
        <v>2</v>
      </c>
      <c r="C176" t="s">
        <v>48</v>
      </c>
      <c r="D176" t="s">
        <v>49</v>
      </c>
      <c r="E176">
        <v>7.6</v>
      </c>
      <c r="F176" s="11">
        <v>46230</v>
      </c>
      <c r="G176" t="s">
        <v>75</v>
      </c>
    </row>
    <row r="177" spans="1:7" hidden="1" x14ac:dyDescent="0.25">
      <c r="A177" t="s">
        <v>66</v>
      </c>
      <c r="B177">
        <v>2</v>
      </c>
      <c r="C177" t="s">
        <v>54</v>
      </c>
      <c r="D177" t="s">
        <v>49</v>
      </c>
      <c r="E177">
        <v>7.6</v>
      </c>
      <c r="F177" s="11">
        <v>46233</v>
      </c>
      <c r="G177" t="s">
        <v>75</v>
      </c>
    </row>
    <row r="178" spans="1:7" hidden="1" x14ac:dyDescent="0.25">
      <c r="A178" t="s">
        <v>66</v>
      </c>
      <c r="B178">
        <v>2</v>
      </c>
      <c r="C178" t="s">
        <v>55</v>
      </c>
      <c r="D178" t="s">
        <v>51</v>
      </c>
      <c r="E178">
        <v>7.6</v>
      </c>
      <c r="F178" s="11">
        <v>46234</v>
      </c>
      <c r="G178" t="s">
        <v>75</v>
      </c>
    </row>
    <row r="179" spans="1:7" hidden="1" x14ac:dyDescent="0.25">
      <c r="A179" t="s">
        <v>66</v>
      </c>
      <c r="B179">
        <v>2</v>
      </c>
      <c r="C179" t="s">
        <v>56</v>
      </c>
      <c r="D179" t="s">
        <v>49</v>
      </c>
      <c r="E179">
        <v>7.6</v>
      </c>
      <c r="F179" s="11">
        <v>46235</v>
      </c>
      <c r="G179" t="s">
        <v>75</v>
      </c>
    </row>
    <row r="180" spans="1:7" hidden="1" x14ac:dyDescent="0.25">
      <c r="A180" t="s">
        <v>66</v>
      </c>
      <c r="B180">
        <v>1</v>
      </c>
      <c r="C180" t="s">
        <v>56</v>
      </c>
      <c r="D180" t="s">
        <v>50</v>
      </c>
      <c r="E180">
        <v>7.6</v>
      </c>
      <c r="F180" s="11">
        <v>46228</v>
      </c>
      <c r="G180" t="s">
        <v>77</v>
      </c>
    </row>
    <row r="181" spans="1:7" hidden="1" x14ac:dyDescent="0.25">
      <c r="A181" t="s">
        <v>66</v>
      </c>
      <c r="B181">
        <v>1</v>
      </c>
      <c r="C181" t="s">
        <v>57</v>
      </c>
      <c r="D181" t="s">
        <v>50</v>
      </c>
      <c r="E181">
        <v>7.6</v>
      </c>
      <c r="F181" s="11">
        <v>46229</v>
      </c>
      <c r="G181" t="s">
        <v>77</v>
      </c>
    </row>
    <row r="182" spans="1:7" hidden="1" x14ac:dyDescent="0.25">
      <c r="A182" t="s">
        <v>66</v>
      </c>
      <c r="B182">
        <v>2</v>
      </c>
      <c r="C182" t="s">
        <v>56</v>
      </c>
      <c r="D182" t="s">
        <v>50</v>
      </c>
      <c r="E182">
        <v>7.6</v>
      </c>
      <c r="F182" s="11">
        <v>46235</v>
      </c>
      <c r="G182" t="s">
        <v>77</v>
      </c>
    </row>
    <row r="183" spans="1:7" hidden="1" x14ac:dyDescent="0.25">
      <c r="A183" t="s">
        <v>66</v>
      </c>
      <c r="B183">
        <v>2</v>
      </c>
      <c r="C183" t="s">
        <v>57</v>
      </c>
      <c r="D183" t="s">
        <v>50</v>
      </c>
      <c r="E183">
        <v>7.6</v>
      </c>
      <c r="F183" s="11">
        <v>46236</v>
      </c>
      <c r="G183" t="s">
        <v>77</v>
      </c>
    </row>
    <row r="184" spans="1:7" hidden="1" x14ac:dyDescent="0.25">
      <c r="A184" t="s">
        <v>66</v>
      </c>
      <c r="B184">
        <v>1</v>
      </c>
      <c r="C184" t="s">
        <v>52</v>
      </c>
      <c r="D184" t="s">
        <v>49</v>
      </c>
      <c r="E184">
        <v>7.6</v>
      </c>
      <c r="F184" s="11">
        <v>46224</v>
      </c>
      <c r="G184" t="s">
        <v>78</v>
      </c>
    </row>
    <row r="185" spans="1:7" hidden="1" x14ac:dyDescent="0.25">
      <c r="A185" t="s">
        <v>66</v>
      </c>
      <c r="B185">
        <v>1</v>
      </c>
      <c r="C185" t="s">
        <v>53</v>
      </c>
      <c r="D185" t="s">
        <v>49</v>
      </c>
      <c r="E185">
        <v>7.6</v>
      </c>
      <c r="F185" s="11">
        <v>46225</v>
      </c>
      <c r="G185" t="s">
        <v>78</v>
      </c>
    </row>
    <row r="186" spans="1:7" hidden="1" x14ac:dyDescent="0.25">
      <c r="A186" t="s">
        <v>66</v>
      </c>
      <c r="B186">
        <v>1</v>
      </c>
      <c r="C186" t="s">
        <v>54</v>
      </c>
      <c r="D186" t="s">
        <v>49</v>
      </c>
      <c r="E186">
        <v>7.6</v>
      </c>
      <c r="F186" s="11">
        <v>46226</v>
      </c>
      <c r="G186" t="s">
        <v>78</v>
      </c>
    </row>
    <row r="187" spans="1:7" hidden="1" x14ac:dyDescent="0.25">
      <c r="A187" t="s">
        <v>66</v>
      </c>
      <c r="B187">
        <v>1</v>
      </c>
      <c r="C187" t="s">
        <v>55</v>
      </c>
      <c r="D187" t="s">
        <v>49</v>
      </c>
      <c r="E187">
        <v>7.6</v>
      </c>
      <c r="F187" s="11">
        <v>46227</v>
      </c>
      <c r="G187" t="s">
        <v>78</v>
      </c>
    </row>
    <row r="188" spans="1:7" hidden="1" x14ac:dyDescent="0.25">
      <c r="A188" t="s">
        <v>66</v>
      </c>
      <c r="B188">
        <v>1</v>
      </c>
      <c r="C188" t="s">
        <v>56</v>
      </c>
      <c r="D188" t="s">
        <v>49</v>
      </c>
      <c r="E188">
        <v>7.6</v>
      </c>
      <c r="F188" s="11">
        <v>46228</v>
      </c>
      <c r="G188" t="s">
        <v>78</v>
      </c>
    </row>
    <row r="189" spans="1:7" hidden="1" x14ac:dyDescent="0.25">
      <c r="A189" t="s">
        <v>66</v>
      </c>
      <c r="B189">
        <v>2</v>
      </c>
      <c r="C189" t="s">
        <v>52</v>
      </c>
      <c r="D189" t="s">
        <v>49</v>
      </c>
      <c r="E189">
        <v>7.6</v>
      </c>
      <c r="F189" s="11">
        <v>46231</v>
      </c>
      <c r="G189" t="s">
        <v>78</v>
      </c>
    </row>
    <row r="190" spans="1:7" hidden="1" x14ac:dyDescent="0.25">
      <c r="A190" t="s">
        <v>66</v>
      </c>
      <c r="B190">
        <v>2</v>
      </c>
      <c r="C190" t="s">
        <v>53</v>
      </c>
      <c r="D190" t="s">
        <v>49</v>
      </c>
      <c r="E190">
        <v>7.6</v>
      </c>
      <c r="F190" s="11">
        <v>46232</v>
      </c>
      <c r="G190" t="s">
        <v>78</v>
      </c>
    </row>
    <row r="191" spans="1:7" hidden="1" x14ac:dyDescent="0.25">
      <c r="A191" t="s">
        <v>66</v>
      </c>
      <c r="B191">
        <v>2</v>
      </c>
      <c r="C191" t="s">
        <v>54</v>
      </c>
      <c r="D191" t="s">
        <v>49</v>
      </c>
      <c r="E191">
        <v>7.6</v>
      </c>
      <c r="F191" s="11">
        <v>46233</v>
      </c>
      <c r="G191" t="s">
        <v>78</v>
      </c>
    </row>
    <row r="192" spans="1:7" hidden="1" x14ac:dyDescent="0.25">
      <c r="A192" t="s">
        <v>66</v>
      </c>
      <c r="B192">
        <v>2</v>
      </c>
      <c r="C192" t="s">
        <v>55</v>
      </c>
      <c r="D192" t="s">
        <v>49</v>
      </c>
      <c r="E192">
        <v>7.6</v>
      </c>
      <c r="F192" s="11">
        <v>46234</v>
      </c>
      <c r="G192" t="s">
        <v>78</v>
      </c>
    </row>
    <row r="193" spans="1:7" hidden="1" x14ac:dyDescent="0.25">
      <c r="A193" t="s">
        <v>66</v>
      </c>
      <c r="B193">
        <v>2</v>
      </c>
      <c r="C193" t="s">
        <v>56</v>
      </c>
      <c r="D193" t="s">
        <v>49</v>
      </c>
      <c r="E193">
        <v>7.6</v>
      </c>
      <c r="F193" s="11">
        <v>46235</v>
      </c>
      <c r="G193" t="s">
        <v>78</v>
      </c>
    </row>
    <row r="194" spans="1:7" hidden="1" x14ac:dyDescent="0.25">
      <c r="A194" t="s">
        <v>66</v>
      </c>
      <c r="B194">
        <v>1</v>
      </c>
      <c r="C194" t="s">
        <v>48</v>
      </c>
      <c r="D194" t="s">
        <v>51</v>
      </c>
      <c r="E194">
        <v>7.6</v>
      </c>
      <c r="F194" s="11">
        <v>46223</v>
      </c>
      <c r="G194" t="s">
        <v>79</v>
      </c>
    </row>
    <row r="195" spans="1:7" hidden="1" x14ac:dyDescent="0.25">
      <c r="A195" t="s">
        <v>66</v>
      </c>
      <c r="B195">
        <v>1</v>
      </c>
      <c r="C195" t="s">
        <v>52</v>
      </c>
      <c r="D195" t="s">
        <v>51</v>
      </c>
      <c r="E195">
        <v>7.6</v>
      </c>
      <c r="F195" s="11">
        <v>46224</v>
      </c>
      <c r="G195" t="s">
        <v>79</v>
      </c>
    </row>
    <row r="196" spans="1:7" hidden="1" x14ac:dyDescent="0.25">
      <c r="A196" t="s">
        <v>66</v>
      </c>
      <c r="B196">
        <v>1</v>
      </c>
      <c r="C196" t="s">
        <v>55</v>
      </c>
      <c r="D196" t="s">
        <v>51</v>
      </c>
      <c r="E196">
        <v>7.6</v>
      </c>
      <c r="F196" s="11">
        <v>46227</v>
      </c>
      <c r="G196" t="s">
        <v>79</v>
      </c>
    </row>
    <row r="197" spans="1:7" hidden="1" x14ac:dyDescent="0.25">
      <c r="A197" t="s">
        <v>66</v>
      </c>
      <c r="B197">
        <v>1</v>
      </c>
      <c r="C197" t="s">
        <v>56</v>
      </c>
      <c r="D197" t="s">
        <v>51</v>
      </c>
      <c r="E197">
        <v>7.6</v>
      </c>
      <c r="F197" s="11">
        <v>46228</v>
      </c>
      <c r="G197" t="s">
        <v>79</v>
      </c>
    </row>
    <row r="198" spans="1:7" hidden="1" x14ac:dyDescent="0.25">
      <c r="A198" t="s">
        <v>66</v>
      </c>
      <c r="B198">
        <v>1</v>
      </c>
      <c r="C198" t="s">
        <v>57</v>
      </c>
      <c r="D198" t="s">
        <v>51</v>
      </c>
      <c r="E198">
        <v>7.6</v>
      </c>
      <c r="F198" s="11">
        <v>46229</v>
      </c>
      <c r="G198" t="s">
        <v>79</v>
      </c>
    </row>
    <row r="199" spans="1:7" hidden="1" x14ac:dyDescent="0.25">
      <c r="A199" t="s">
        <v>66</v>
      </c>
      <c r="B199">
        <v>2</v>
      </c>
      <c r="C199" t="s">
        <v>48</v>
      </c>
      <c r="D199" t="s">
        <v>51</v>
      </c>
      <c r="E199">
        <v>7.6</v>
      </c>
      <c r="F199" s="11">
        <v>46230</v>
      </c>
      <c r="G199" t="s">
        <v>79</v>
      </c>
    </row>
    <row r="200" spans="1:7" hidden="1" x14ac:dyDescent="0.25">
      <c r="A200" t="s">
        <v>66</v>
      </c>
      <c r="B200">
        <v>2</v>
      </c>
      <c r="C200" t="s">
        <v>52</v>
      </c>
      <c r="D200" t="s">
        <v>51</v>
      </c>
      <c r="E200">
        <v>7.6</v>
      </c>
      <c r="F200" s="11">
        <v>46231</v>
      </c>
      <c r="G200" t="s">
        <v>79</v>
      </c>
    </row>
    <row r="201" spans="1:7" hidden="1" x14ac:dyDescent="0.25">
      <c r="A201" t="s">
        <v>66</v>
      </c>
      <c r="B201">
        <v>2</v>
      </c>
      <c r="C201" t="s">
        <v>55</v>
      </c>
      <c r="D201" t="s">
        <v>51</v>
      </c>
      <c r="E201">
        <v>7.6</v>
      </c>
      <c r="F201" s="11">
        <v>46234</v>
      </c>
      <c r="G201" t="s">
        <v>79</v>
      </c>
    </row>
    <row r="202" spans="1:7" hidden="1" x14ac:dyDescent="0.25">
      <c r="A202" t="s">
        <v>66</v>
      </c>
      <c r="B202">
        <v>2</v>
      </c>
      <c r="C202" t="s">
        <v>56</v>
      </c>
      <c r="D202" t="s">
        <v>51</v>
      </c>
      <c r="E202">
        <v>7.6</v>
      </c>
      <c r="F202" s="11">
        <v>46235</v>
      </c>
      <c r="G202" t="s">
        <v>79</v>
      </c>
    </row>
    <row r="203" spans="1:7" hidden="1" x14ac:dyDescent="0.25">
      <c r="A203" t="s">
        <v>66</v>
      </c>
      <c r="B203">
        <v>2</v>
      </c>
      <c r="C203" t="s">
        <v>57</v>
      </c>
      <c r="D203" t="s">
        <v>51</v>
      </c>
      <c r="E203">
        <v>7.6</v>
      </c>
      <c r="F203" s="11">
        <v>46236</v>
      </c>
      <c r="G203" t="s">
        <v>79</v>
      </c>
    </row>
    <row r="204" spans="1:7" hidden="1" x14ac:dyDescent="0.25">
      <c r="A204" t="s">
        <v>66</v>
      </c>
      <c r="B204">
        <v>1</v>
      </c>
      <c r="C204" t="s">
        <v>48</v>
      </c>
      <c r="D204" t="s">
        <v>49</v>
      </c>
      <c r="E204">
        <v>7.6</v>
      </c>
      <c r="F204" s="11">
        <v>46223</v>
      </c>
      <c r="G204" t="s">
        <v>81</v>
      </c>
    </row>
    <row r="205" spans="1:7" hidden="1" x14ac:dyDescent="0.25">
      <c r="A205" t="s">
        <v>66</v>
      </c>
      <c r="B205">
        <v>1</v>
      </c>
      <c r="C205" t="s">
        <v>48</v>
      </c>
      <c r="D205" t="s">
        <v>51</v>
      </c>
      <c r="E205">
        <v>7.6</v>
      </c>
      <c r="F205" s="11">
        <v>46223</v>
      </c>
      <c r="G205" t="s">
        <v>81</v>
      </c>
    </row>
    <row r="206" spans="1:7" hidden="1" x14ac:dyDescent="0.25">
      <c r="A206" t="s">
        <v>66</v>
      </c>
      <c r="B206">
        <v>1</v>
      </c>
      <c r="C206" t="s">
        <v>52</v>
      </c>
      <c r="D206" t="s">
        <v>49</v>
      </c>
      <c r="E206">
        <v>7.6</v>
      </c>
      <c r="F206" s="11">
        <v>46224</v>
      </c>
      <c r="G206" t="s">
        <v>81</v>
      </c>
    </row>
    <row r="207" spans="1:7" hidden="1" x14ac:dyDescent="0.25">
      <c r="A207" t="s">
        <v>66</v>
      </c>
      <c r="B207">
        <v>1</v>
      </c>
      <c r="C207" t="s">
        <v>52</v>
      </c>
      <c r="D207" t="s">
        <v>51</v>
      </c>
      <c r="E207">
        <v>7.6</v>
      </c>
      <c r="F207" s="11">
        <v>46224</v>
      </c>
      <c r="G207" t="s">
        <v>81</v>
      </c>
    </row>
    <row r="208" spans="1:7" hidden="1" x14ac:dyDescent="0.25">
      <c r="A208" t="s">
        <v>66</v>
      </c>
      <c r="B208">
        <v>1</v>
      </c>
      <c r="C208" t="s">
        <v>53</v>
      </c>
      <c r="D208" t="s">
        <v>49</v>
      </c>
      <c r="E208">
        <v>7.6</v>
      </c>
      <c r="F208" s="11">
        <v>46225</v>
      </c>
      <c r="G208" t="s">
        <v>81</v>
      </c>
    </row>
    <row r="209" spans="1:7" hidden="1" x14ac:dyDescent="0.25">
      <c r="A209" t="s">
        <v>66</v>
      </c>
      <c r="B209">
        <v>1</v>
      </c>
      <c r="C209" t="s">
        <v>53</v>
      </c>
      <c r="D209" t="s">
        <v>51</v>
      </c>
      <c r="E209">
        <v>7.6</v>
      </c>
      <c r="F209" s="11">
        <v>46225</v>
      </c>
      <c r="G209" t="s">
        <v>81</v>
      </c>
    </row>
    <row r="210" spans="1:7" hidden="1" x14ac:dyDescent="0.25">
      <c r="A210" t="s">
        <v>66</v>
      </c>
      <c r="B210">
        <v>1</v>
      </c>
      <c r="C210" t="s">
        <v>56</v>
      </c>
      <c r="D210" t="s">
        <v>49</v>
      </c>
      <c r="E210">
        <v>7.6</v>
      </c>
      <c r="F210" s="11">
        <v>46228</v>
      </c>
      <c r="G210" t="s">
        <v>81</v>
      </c>
    </row>
    <row r="211" spans="1:7" hidden="1" x14ac:dyDescent="0.25">
      <c r="A211" t="s">
        <v>66</v>
      </c>
      <c r="B211">
        <v>1</v>
      </c>
      <c r="C211" t="s">
        <v>56</v>
      </c>
      <c r="D211" t="s">
        <v>51</v>
      </c>
      <c r="E211">
        <v>7.6</v>
      </c>
      <c r="F211" s="11">
        <v>46228</v>
      </c>
      <c r="G211" t="s">
        <v>81</v>
      </c>
    </row>
    <row r="212" spans="1:7" hidden="1" x14ac:dyDescent="0.25">
      <c r="A212" t="s">
        <v>66</v>
      </c>
      <c r="B212">
        <v>1</v>
      </c>
      <c r="C212" t="s">
        <v>57</v>
      </c>
      <c r="D212" t="s">
        <v>49</v>
      </c>
      <c r="E212">
        <v>7.6</v>
      </c>
      <c r="F212" s="11">
        <v>46229</v>
      </c>
      <c r="G212" t="s">
        <v>81</v>
      </c>
    </row>
    <row r="213" spans="1:7" hidden="1" x14ac:dyDescent="0.25">
      <c r="A213" t="s">
        <v>66</v>
      </c>
      <c r="B213">
        <v>1</v>
      </c>
      <c r="C213" t="s">
        <v>57</v>
      </c>
      <c r="D213" t="s">
        <v>51</v>
      </c>
      <c r="E213">
        <v>7.6</v>
      </c>
      <c r="F213" s="11">
        <v>46229</v>
      </c>
      <c r="G213" t="s">
        <v>81</v>
      </c>
    </row>
    <row r="214" spans="1:7" hidden="1" x14ac:dyDescent="0.25">
      <c r="A214" t="s">
        <v>66</v>
      </c>
      <c r="B214">
        <v>2</v>
      </c>
      <c r="C214" t="s">
        <v>48</v>
      </c>
      <c r="D214" t="s">
        <v>49</v>
      </c>
      <c r="E214">
        <v>7.6</v>
      </c>
      <c r="F214" s="11">
        <v>46230</v>
      </c>
      <c r="G214" t="s">
        <v>81</v>
      </c>
    </row>
    <row r="215" spans="1:7" hidden="1" x14ac:dyDescent="0.25">
      <c r="A215" t="s">
        <v>66</v>
      </c>
      <c r="B215">
        <v>2</v>
      </c>
      <c r="C215" t="s">
        <v>48</v>
      </c>
      <c r="D215" t="s">
        <v>51</v>
      </c>
      <c r="E215">
        <v>7.6</v>
      </c>
      <c r="F215" s="11">
        <v>46230</v>
      </c>
      <c r="G215" t="s">
        <v>81</v>
      </c>
    </row>
    <row r="216" spans="1:7" hidden="1" x14ac:dyDescent="0.25">
      <c r="A216" t="s">
        <v>66</v>
      </c>
      <c r="B216">
        <v>2</v>
      </c>
      <c r="C216" t="s">
        <v>52</v>
      </c>
      <c r="D216" t="s">
        <v>49</v>
      </c>
      <c r="E216">
        <v>7.6</v>
      </c>
      <c r="F216" s="11">
        <v>46231</v>
      </c>
      <c r="G216" t="s">
        <v>81</v>
      </c>
    </row>
    <row r="217" spans="1:7" hidden="1" x14ac:dyDescent="0.25">
      <c r="A217" t="s">
        <v>66</v>
      </c>
      <c r="B217">
        <v>2</v>
      </c>
      <c r="C217" t="s">
        <v>52</v>
      </c>
      <c r="D217" t="s">
        <v>51</v>
      </c>
      <c r="E217">
        <v>7.6</v>
      </c>
      <c r="F217" s="11">
        <v>46231</v>
      </c>
      <c r="G217" t="s">
        <v>81</v>
      </c>
    </row>
    <row r="218" spans="1:7" hidden="1" x14ac:dyDescent="0.25">
      <c r="A218" t="s">
        <v>66</v>
      </c>
      <c r="B218">
        <v>2</v>
      </c>
      <c r="C218" t="s">
        <v>53</v>
      </c>
      <c r="D218" t="s">
        <v>49</v>
      </c>
      <c r="E218">
        <v>7.6</v>
      </c>
      <c r="F218" s="11">
        <v>46232</v>
      </c>
      <c r="G218" t="s">
        <v>81</v>
      </c>
    </row>
    <row r="219" spans="1:7" hidden="1" x14ac:dyDescent="0.25">
      <c r="A219" t="s">
        <v>66</v>
      </c>
      <c r="B219">
        <v>2</v>
      </c>
      <c r="C219" t="s">
        <v>53</v>
      </c>
      <c r="D219" t="s">
        <v>51</v>
      </c>
      <c r="E219">
        <v>7.6</v>
      </c>
      <c r="F219" s="11">
        <v>46232</v>
      </c>
      <c r="G219" t="s">
        <v>81</v>
      </c>
    </row>
    <row r="220" spans="1:7" hidden="1" x14ac:dyDescent="0.25">
      <c r="A220" t="s">
        <v>66</v>
      </c>
      <c r="B220">
        <v>2</v>
      </c>
      <c r="C220" t="s">
        <v>56</v>
      </c>
      <c r="D220" t="s">
        <v>49</v>
      </c>
      <c r="E220">
        <v>7.6</v>
      </c>
      <c r="F220" s="11">
        <v>46235</v>
      </c>
      <c r="G220" t="s">
        <v>81</v>
      </c>
    </row>
    <row r="221" spans="1:7" hidden="1" x14ac:dyDescent="0.25">
      <c r="A221" t="s">
        <v>66</v>
      </c>
      <c r="B221">
        <v>2</v>
      </c>
      <c r="C221" t="s">
        <v>56</v>
      </c>
      <c r="D221" t="s">
        <v>51</v>
      </c>
      <c r="E221">
        <v>7.6</v>
      </c>
      <c r="F221" s="11">
        <v>46235</v>
      </c>
      <c r="G221" t="s">
        <v>81</v>
      </c>
    </row>
    <row r="222" spans="1:7" hidden="1" x14ac:dyDescent="0.25">
      <c r="A222" t="s">
        <v>66</v>
      </c>
      <c r="B222">
        <v>2</v>
      </c>
      <c r="C222" t="s">
        <v>57</v>
      </c>
      <c r="D222" t="s">
        <v>49</v>
      </c>
      <c r="E222">
        <v>7.6</v>
      </c>
      <c r="F222" s="11">
        <v>46236</v>
      </c>
      <c r="G222" t="s">
        <v>81</v>
      </c>
    </row>
    <row r="223" spans="1:7" hidden="1" x14ac:dyDescent="0.25">
      <c r="A223" t="s">
        <v>66</v>
      </c>
      <c r="B223">
        <v>2</v>
      </c>
      <c r="C223" t="s">
        <v>57</v>
      </c>
      <c r="D223" t="s">
        <v>51</v>
      </c>
      <c r="E223">
        <v>7.6</v>
      </c>
      <c r="F223" s="11">
        <v>46236</v>
      </c>
      <c r="G223" t="s">
        <v>81</v>
      </c>
    </row>
    <row r="224" spans="1:7" hidden="1" x14ac:dyDescent="0.25">
      <c r="A224" t="s">
        <v>66</v>
      </c>
      <c r="B224">
        <v>1</v>
      </c>
      <c r="C224" t="s">
        <v>52</v>
      </c>
      <c r="D224" t="s">
        <v>49</v>
      </c>
      <c r="E224">
        <v>7.6</v>
      </c>
      <c r="F224" s="11">
        <v>46224</v>
      </c>
      <c r="G224" t="s">
        <v>82</v>
      </c>
    </row>
    <row r="225" spans="1:7" hidden="1" x14ac:dyDescent="0.25">
      <c r="A225" t="s">
        <v>66</v>
      </c>
      <c r="B225">
        <v>1</v>
      </c>
      <c r="C225" t="s">
        <v>55</v>
      </c>
      <c r="D225" t="s">
        <v>51</v>
      </c>
      <c r="E225">
        <v>7.6</v>
      </c>
      <c r="F225" s="11">
        <v>46227</v>
      </c>
      <c r="G225" t="s">
        <v>82</v>
      </c>
    </row>
    <row r="226" spans="1:7" hidden="1" x14ac:dyDescent="0.25">
      <c r="A226" t="s">
        <v>66</v>
      </c>
      <c r="B226">
        <v>1</v>
      </c>
      <c r="C226" t="s">
        <v>56</v>
      </c>
      <c r="D226" t="s">
        <v>49</v>
      </c>
      <c r="E226">
        <v>7.6</v>
      </c>
      <c r="F226" s="11">
        <v>46228</v>
      </c>
      <c r="G226" t="s">
        <v>82</v>
      </c>
    </row>
    <row r="227" spans="1:7" hidden="1" x14ac:dyDescent="0.25">
      <c r="A227" t="s">
        <v>66</v>
      </c>
      <c r="B227">
        <v>2</v>
      </c>
      <c r="C227" t="s">
        <v>52</v>
      </c>
      <c r="D227" t="s">
        <v>49</v>
      </c>
      <c r="E227">
        <v>7.6</v>
      </c>
      <c r="F227" s="11">
        <v>46231</v>
      </c>
      <c r="G227" t="s">
        <v>82</v>
      </c>
    </row>
    <row r="228" spans="1:7" hidden="1" x14ac:dyDescent="0.25">
      <c r="A228" t="s">
        <v>66</v>
      </c>
      <c r="B228">
        <v>2</v>
      </c>
      <c r="C228" t="s">
        <v>55</v>
      </c>
      <c r="D228" t="s">
        <v>51</v>
      </c>
      <c r="E228">
        <v>7.6</v>
      </c>
      <c r="F228" s="11">
        <v>46234</v>
      </c>
      <c r="G228" t="s">
        <v>82</v>
      </c>
    </row>
    <row r="229" spans="1:7" hidden="1" x14ac:dyDescent="0.25">
      <c r="A229" t="s">
        <v>66</v>
      </c>
      <c r="B229">
        <v>2</v>
      </c>
      <c r="C229" t="s">
        <v>56</v>
      </c>
      <c r="D229" t="s">
        <v>49</v>
      </c>
      <c r="E229">
        <v>7.6</v>
      </c>
      <c r="F229" s="11">
        <v>46235</v>
      </c>
      <c r="G229" t="s">
        <v>82</v>
      </c>
    </row>
    <row r="230" spans="1:7" hidden="1" x14ac:dyDescent="0.25">
      <c r="A230" t="s">
        <v>66</v>
      </c>
      <c r="B230">
        <v>1</v>
      </c>
      <c r="C230" t="s">
        <v>52</v>
      </c>
      <c r="D230" t="s">
        <v>51</v>
      </c>
      <c r="E230">
        <v>7.6</v>
      </c>
      <c r="F230" s="11">
        <v>46224</v>
      </c>
      <c r="G230" t="s">
        <v>83</v>
      </c>
    </row>
    <row r="231" spans="1:7" hidden="1" x14ac:dyDescent="0.25">
      <c r="A231" t="s">
        <v>66</v>
      </c>
      <c r="B231">
        <v>1</v>
      </c>
      <c r="C231" t="s">
        <v>53</v>
      </c>
      <c r="D231" t="s">
        <v>49</v>
      </c>
      <c r="E231">
        <v>7.6</v>
      </c>
      <c r="F231" s="11">
        <v>46225</v>
      </c>
      <c r="G231" t="s">
        <v>83</v>
      </c>
    </row>
    <row r="232" spans="1:7" hidden="1" x14ac:dyDescent="0.25">
      <c r="A232" t="s">
        <v>66</v>
      </c>
      <c r="B232">
        <v>1</v>
      </c>
      <c r="C232" t="s">
        <v>54</v>
      </c>
      <c r="D232" t="s">
        <v>51</v>
      </c>
      <c r="E232">
        <v>7.6</v>
      </c>
      <c r="F232" s="11">
        <v>46226</v>
      </c>
      <c r="G232" t="s">
        <v>83</v>
      </c>
    </row>
    <row r="233" spans="1:7" hidden="1" x14ac:dyDescent="0.25">
      <c r="A233" t="s">
        <v>66</v>
      </c>
      <c r="B233">
        <v>1</v>
      </c>
      <c r="C233" t="s">
        <v>55</v>
      </c>
      <c r="D233" t="s">
        <v>51</v>
      </c>
      <c r="E233">
        <v>7.6</v>
      </c>
      <c r="F233" s="11">
        <v>46227</v>
      </c>
      <c r="G233" t="s">
        <v>83</v>
      </c>
    </row>
    <row r="234" spans="1:7" hidden="1" x14ac:dyDescent="0.25">
      <c r="A234" t="s">
        <v>66</v>
      </c>
      <c r="B234">
        <v>2</v>
      </c>
      <c r="C234" t="s">
        <v>52</v>
      </c>
      <c r="D234" t="s">
        <v>51</v>
      </c>
      <c r="E234">
        <v>7.6</v>
      </c>
      <c r="F234" s="11">
        <v>46231</v>
      </c>
      <c r="G234" t="s">
        <v>83</v>
      </c>
    </row>
    <row r="235" spans="1:7" hidden="1" x14ac:dyDescent="0.25">
      <c r="A235" t="s">
        <v>66</v>
      </c>
      <c r="B235">
        <v>2</v>
      </c>
      <c r="C235" t="s">
        <v>53</v>
      </c>
      <c r="D235" t="s">
        <v>49</v>
      </c>
      <c r="E235">
        <v>7.6</v>
      </c>
      <c r="F235" s="11">
        <v>46232</v>
      </c>
      <c r="G235" t="s">
        <v>83</v>
      </c>
    </row>
    <row r="236" spans="1:7" hidden="1" x14ac:dyDescent="0.25">
      <c r="A236" t="s">
        <v>66</v>
      </c>
      <c r="B236">
        <v>2</v>
      </c>
      <c r="C236" t="s">
        <v>54</v>
      </c>
      <c r="D236" t="s">
        <v>51</v>
      </c>
      <c r="E236">
        <v>7.6</v>
      </c>
      <c r="F236" s="11">
        <v>46233</v>
      </c>
      <c r="G236" t="s">
        <v>83</v>
      </c>
    </row>
    <row r="237" spans="1:7" hidden="1" x14ac:dyDescent="0.25">
      <c r="A237" t="s">
        <v>66</v>
      </c>
      <c r="B237">
        <v>2</v>
      </c>
      <c r="C237" t="s">
        <v>55</v>
      </c>
      <c r="D237" t="s">
        <v>51</v>
      </c>
      <c r="E237">
        <v>7.6</v>
      </c>
      <c r="F237" s="11">
        <v>46234</v>
      </c>
      <c r="G237" t="s">
        <v>83</v>
      </c>
    </row>
    <row r="238" spans="1:7" hidden="1" x14ac:dyDescent="0.25">
      <c r="A238" t="s">
        <v>66</v>
      </c>
      <c r="B238">
        <v>1</v>
      </c>
      <c r="C238" t="s">
        <v>53</v>
      </c>
      <c r="D238" t="s">
        <v>51</v>
      </c>
      <c r="E238">
        <v>7.6</v>
      </c>
      <c r="F238" s="11">
        <v>46225</v>
      </c>
      <c r="G238" t="s">
        <v>84</v>
      </c>
    </row>
    <row r="239" spans="1:7" hidden="1" x14ac:dyDescent="0.25">
      <c r="A239" t="s">
        <v>66</v>
      </c>
      <c r="B239">
        <v>1</v>
      </c>
      <c r="C239" t="s">
        <v>54</v>
      </c>
      <c r="D239" t="s">
        <v>51</v>
      </c>
      <c r="E239">
        <v>7.6</v>
      </c>
      <c r="F239" s="11">
        <v>46226</v>
      </c>
      <c r="G239" t="s">
        <v>84</v>
      </c>
    </row>
    <row r="240" spans="1:7" hidden="1" x14ac:dyDescent="0.25">
      <c r="A240" t="s">
        <v>66</v>
      </c>
      <c r="B240">
        <v>1</v>
      </c>
      <c r="C240" t="s">
        <v>55</v>
      </c>
      <c r="D240" t="s">
        <v>51</v>
      </c>
      <c r="E240">
        <v>7.6</v>
      </c>
      <c r="F240" s="11">
        <v>46227</v>
      </c>
      <c r="G240" t="s">
        <v>84</v>
      </c>
    </row>
    <row r="241" spans="1:7" hidden="1" x14ac:dyDescent="0.25">
      <c r="A241" t="s">
        <v>66</v>
      </c>
      <c r="B241">
        <v>1</v>
      </c>
      <c r="C241" t="s">
        <v>56</v>
      </c>
      <c r="D241" t="s">
        <v>49</v>
      </c>
      <c r="E241">
        <v>7.6</v>
      </c>
      <c r="F241" s="11">
        <v>46228</v>
      </c>
      <c r="G241" t="s">
        <v>84</v>
      </c>
    </row>
    <row r="242" spans="1:7" hidden="1" x14ac:dyDescent="0.25">
      <c r="A242" t="s">
        <v>66</v>
      </c>
      <c r="B242">
        <v>1</v>
      </c>
      <c r="C242" t="s">
        <v>57</v>
      </c>
      <c r="D242" t="s">
        <v>49</v>
      </c>
      <c r="E242">
        <v>7.6</v>
      </c>
      <c r="F242" s="11">
        <v>46229</v>
      </c>
      <c r="G242" t="s">
        <v>84</v>
      </c>
    </row>
    <row r="243" spans="1:7" hidden="1" x14ac:dyDescent="0.25">
      <c r="A243" t="s">
        <v>66</v>
      </c>
      <c r="B243">
        <v>2</v>
      </c>
      <c r="C243" t="s">
        <v>53</v>
      </c>
      <c r="D243" t="s">
        <v>51</v>
      </c>
      <c r="E243">
        <v>7.6</v>
      </c>
      <c r="F243" s="11">
        <v>46232</v>
      </c>
      <c r="G243" t="s">
        <v>84</v>
      </c>
    </row>
    <row r="244" spans="1:7" hidden="1" x14ac:dyDescent="0.25">
      <c r="A244" t="s">
        <v>66</v>
      </c>
      <c r="B244">
        <v>2</v>
      </c>
      <c r="C244" t="s">
        <v>54</v>
      </c>
      <c r="D244" t="s">
        <v>51</v>
      </c>
      <c r="E244">
        <v>7.6</v>
      </c>
      <c r="F244" s="11">
        <v>46233</v>
      </c>
      <c r="G244" t="s">
        <v>84</v>
      </c>
    </row>
    <row r="245" spans="1:7" hidden="1" x14ac:dyDescent="0.25">
      <c r="A245" t="s">
        <v>66</v>
      </c>
      <c r="B245">
        <v>2</v>
      </c>
      <c r="C245" t="s">
        <v>55</v>
      </c>
      <c r="D245" t="s">
        <v>51</v>
      </c>
      <c r="E245">
        <v>7.6</v>
      </c>
      <c r="F245" s="11">
        <v>46234</v>
      </c>
      <c r="G245" t="s">
        <v>84</v>
      </c>
    </row>
    <row r="246" spans="1:7" hidden="1" x14ac:dyDescent="0.25">
      <c r="A246" t="s">
        <v>66</v>
      </c>
      <c r="B246">
        <v>2</v>
      </c>
      <c r="C246" t="s">
        <v>56</v>
      </c>
      <c r="D246" t="s">
        <v>49</v>
      </c>
      <c r="E246">
        <v>7.6</v>
      </c>
      <c r="F246" s="11">
        <v>46235</v>
      </c>
      <c r="G246" t="s">
        <v>84</v>
      </c>
    </row>
    <row r="247" spans="1:7" hidden="1" x14ac:dyDescent="0.25">
      <c r="A247" t="s">
        <v>66</v>
      </c>
      <c r="B247">
        <v>2</v>
      </c>
      <c r="C247" t="s">
        <v>57</v>
      </c>
      <c r="D247" t="s">
        <v>49</v>
      </c>
      <c r="E247">
        <v>7.6</v>
      </c>
      <c r="F247" s="11">
        <v>46236</v>
      </c>
      <c r="G247" t="s">
        <v>84</v>
      </c>
    </row>
    <row r="248" spans="1:7" hidden="1" x14ac:dyDescent="0.25">
      <c r="A248" t="s">
        <v>66</v>
      </c>
      <c r="B248">
        <v>1</v>
      </c>
      <c r="C248" t="s">
        <v>48</v>
      </c>
      <c r="D248" t="s">
        <v>49</v>
      </c>
      <c r="E248">
        <v>7.6</v>
      </c>
      <c r="F248" s="11">
        <v>46223</v>
      </c>
      <c r="G248" t="s">
        <v>85</v>
      </c>
    </row>
    <row r="249" spans="1:7" hidden="1" x14ac:dyDescent="0.25">
      <c r="A249" t="s">
        <v>66</v>
      </c>
      <c r="B249">
        <v>1</v>
      </c>
      <c r="C249" t="s">
        <v>48</v>
      </c>
      <c r="D249" t="s">
        <v>51</v>
      </c>
      <c r="E249">
        <v>7.6</v>
      </c>
      <c r="F249" s="11">
        <v>46223</v>
      </c>
      <c r="G249" t="s">
        <v>85</v>
      </c>
    </row>
    <row r="250" spans="1:7" hidden="1" x14ac:dyDescent="0.25">
      <c r="A250" t="s">
        <v>66</v>
      </c>
      <c r="B250">
        <v>1</v>
      </c>
      <c r="C250" t="s">
        <v>52</v>
      </c>
      <c r="D250" t="s">
        <v>49</v>
      </c>
      <c r="E250">
        <v>7.6</v>
      </c>
      <c r="F250" s="11">
        <v>46224</v>
      </c>
      <c r="G250" t="s">
        <v>85</v>
      </c>
    </row>
    <row r="251" spans="1:7" hidden="1" x14ac:dyDescent="0.25">
      <c r="A251" t="s">
        <v>66</v>
      </c>
      <c r="B251">
        <v>1</v>
      </c>
      <c r="C251" t="s">
        <v>52</v>
      </c>
      <c r="D251" t="s">
        <v>51</v>
      </c>
      <c r="E251">
        <v>7.6</v>
      </c>
      <c r="F251" s="11">
        <v>46224</v>
      </c>
      <c r="G251" t="s">
        <v>85</v>
      </c>
    </row>
    <row r="252" spans="1:7" hidden="1" x14ac:dyDescent="0.25">
      <c r="A252" t="s">
        <v>66</v>
      </c>
      <c r="B252">
        <v>1</v>
      </c>
      <c r="C252" t="s">
        <v>53</v>
      </c>
      <c r="D252" t="s">
        <v>49</v>
      </c>
      <c r="E252">
        <v>7.6</v>
      </c>
      <c r="F252" s="11">
        <v>46225</v>
      </c>
      <c r="G252" t="s">
        <v>85</v>
      </c>
    </row>
    <row r="253" spans="1:7" hidden="1" x14ac:dyDescent="0.25">
      <c r="A253" t="s">
        <v>66</v>
      </c>
      <c r="B253">
        <v>1</v>
      </c>
      <c r="C253" t="s">
        <v>54</v>
      </c>
      <c r="D253" t="s">
        <v>49</v>
      </c>
      <c r="E253">
        <v>7.6</v>
      </c>
      <c r="F253" s="11">
        <v>46226</v>
      </c>
      <c r="G253" t="s">
        <v>85</v>
      </c>
    </row>
    <row r="254" spans="1:7" hidden="1" x14ac:dyDescent="0.25">
      <c r="A254" t="s">
        <v>66</v>
      </c>
      <c r="B254">
        <v>1</v>
      </c>
      <c r="C254" t="s">
        <v>55</v>
      </c>
      <c r="D254" t="s">
        <v>49</v>
      </c>
      <c r="E254">
        <v>7.6</v>
      </c>
      <c r="F254" s="11">
        <v>46227</v>
      </c>
      <c r="G254" t="s">
        <v>85</v>
      </c>
    </row>
    <row r="255" spans="1:7" hidden="1" x14ac:dyDescent="0.25">
      <c r="A255" t="s">
        <v>66</v>
      </c>
      <c r="B255">
        <v>1</v>
      </c>
      <c r="C255" t="s">
        <v>55</v>
      </c>
      <c r="D255" t="s">
        <v>51</v>
      </c>
      <c r="E255">
        <v>7.6</v>
      </c>
      <c r="F255" s="11">
        <v>46227</v>
      </c>
      <c r="G255" t="s">
        <v>85</v>
      </c>
    </row>
    <row r="256" spans="1:7" hidden="1" x14ac:dyDescent="0.25">
      <c r="A256" t="s">
        <v>66</v>
      </c>
      <c r="B256">
        <v>1</v>
      </c>
      <c r="C256" t="s">
        <v>56</v>
      </c>
      <c r="D256" t="s">
        <v>49</v>
      </c>
      <c r="E256">
        <v>7.6</v>
      </c>
      <c r="F256" s="11">
        <v>46228</v>
      </c>
      <c r="G256" t="s">
        <v>85</v>
      </c>
    </row>
    <row r="257" spans="1:7" hidden="1" x14ac:dyDescent="0.25">
      <c r="A257" t="s">
        <v>66</v>
      </c>
      <c r="B257">
        <v>1</v>
      </c>
      <c r="C257" t="s">
        <v>56</v>
      </c>
      <c r="D257" t="s">
        <v>51</v>
      </c>
      <c r="E257">
        <v>7.6</v>
      </c>
      <c r="F257" s="11">
        <v>46228</v>
      </c>
      <c r="G257" t="s">
        <v>85</v>
      </c>
    </row>
    <row r="258" spans="1:7" hidden="1" x14ac:dyDescent="0.25">
      <c r="A258" t="s">
        <v>66</v>
      </c>
      <c r="B258">
        <v>1</v>
      </c>
      <c r="C258" t="s">
        <v>57</v>
      </c>
      <c r="D258" t="s">
        <v>49</v>
      </c>
      <c r="E258">
        <v>7.6</v>
      </c>
      <c r="F258" s="11">
        <v>46229</v>
      </c>
      <c r="G258" t="s">
        <v>85</v>
      </c>
    </row>
    <row r="259" spans="1:7" hidden="1" x14ac:dyDescent="0.25">
      <c r="A259" t="s">
        <v>66</v>
      </c>
      <c r="B259">
        <v>1</v>
      </c>
      <c r="C259" t="s">
        <v>57</v>
      </c>
      <c r="D259" t="s">
        <v>51</v>
      </c>
      <c r="E259">
        <v>7.6</v>
      </c>
      <c r="F259" s="11">
        <v>46229</v>
      </c>
      <c r="G259" t="s">
        <v>85</v>
      </c>
    </row>
    <row r="260" spans="1:7" hidden="1" x14ac:dyDescent="0.25">
      <c r="A260" t="s">
        <v>66</v>
      </c>
      <c r="B260">
        <v>2</v>
      </c>
      <c r="C260" t="s">
        <v>48</v>
      </c>
      <c r="D260" t="s">
        <v>49</v>
      </c>
      <c r="E260">
        <v>7.6</v>
      </c>
      <c r="F260" s="11">
        <v>46230</v>
      </c>
      <c r="G260" t="s">
        <v>85</v>
      </c>
    </row>
    <row r="261" spans="1:7" hidden="1" x14ac:dyDescent="0.25">
      <c r="A261" t="s">
        <v>66</v>
      </c>
      <c r="B261">
        <v>2</v>
      </c>
      <c r="C261" t="s">
        <v>48</v>
      </c>
      <c r="D261" t="s">
        <v>51</v>
      </c>
      <c r="E261">
        <v>7.6</v>
      </c>
      <c r="F261" s="11">
        <v>46230</v>
      </c>
      <c r="G261" t="s">
        <v>85</v>
      </c>
    </row>
    <row r="262" spans="1:7" hidden="1" x14ac:dyDescent="0.25">
      <c r="A262" t="s">
        <v>66</v>
      </c>
      <c r="B262">
        <v>2</v>
      </c>
      <c r="C262" t="s">
        <v>52</v>
      </c>
      <c r="D262" t="s">
        <v>49</v>
      </c>
      <c r="E262">
        <v>7.6</v>
      </c>
      <c r="F262" s="11">
        <v>46231</v>
      </c>
      <c r="G262" t="s">
        <v>85</v>
      </c>
    </row>
    <row r="263" spans="1:7" hidden="1" x14ac:dyDescent="0.25">
      <c r="A263" t="s">
        <v>66</v>
      </c>
      <c r="B263">
        <v>2</v>
      </c>
      <c r="C263" t="s">
        <v>52</v>
      </c>
      <c r="D263" t="s">
        <v>51</v>
      </c>
      <c r="E263">
        <v>7.6</v>
      </c>
      <c r="F263" s="11">
        <v>46231</v>
      </c>
      <c r="G263" t="s">
        <v>85</v>
      </c>
    </row>
    <row r="264" spans="1:7" hidden="1" x14ac:dyDescent="0.25">
      <c r="A264" t="s">
        <v>66</v>
      </c>
      <c r="B264">
        <v>2</v>
      </c>
      <c r="C264" t="s">
        <v>53</v>
      </c>
      <c r="D264" t="s">
        <v>49</v>
      </c>
      <c r="E264">
        <v>7.6</v>
      </c>
      <c r="F264" s="11">
        <v>46232</v>
      </c>
      <c r="G264" t="s">
        <v>85</v>
      </c>
    </row>
    <row r="265" spans="1:7" hidden="1" x14ac:dyDescent="0.25">
      <c r="A265" t="s">
        <v>66</v>
      </c>
      <c r="B265">
        <v>2</v>
      </c>
      <c r="C265" t="s">
        <v>54</v>
      </c>
      <c r="D265" t="s">
        <v>49</v>
      </c>
      <c r="E265">
        <v>7.6</v>
      </c>
      <c r="F265" s="11">
        <v>46233</v>
      </c>
      <c r="G265" t="s">
        <v>85</v>
      </c>
    </row>
    <row r="266" spans="1:7" hidden="1" x14ac:dyDescent="0.25">
      <c r="A266" t="s">
        <v>66</v>
      </c>
      <c r="B266">
        <v>2</v>
      </c>
      <c r="C266" t="s">
        <v>55</v>
      </c>
      <c r="D266" t="s">
        <v>49</v>
      </c>
      <c r="E266">
        <v>7.6</v>
      </c>
      <c r="F266" s="11">
        <v>46234</v>
      </c>
      <c r="G266" t="s">
        <v>85</v>
      </c>
    </row>
    <row r="267" spans="1:7" hidden="1" x14ac:dyDescent="0.25">
      <c r="A267" t="s">
        <v>66</v>
      </c>
      <c r="B267">
        <v>2</v>
      </c>
      <c r="C267" t="s">
        <v>55</v>
      </c>
      <c r="D267" t="s">
        <v>51</v>
      </c>
      <c r="E267">
        <v>7.6</v>
      </c>
      <c r="F267" s="11">
        <v>46234</v>
      </c>
      <c r="G267" t="s">
        <v>85</v>
      </c>
    </row>
    <row r="268" spans="1:7" hidden="1" x14ac:dyDescent="0.25">
      <c r="A268" t="s">
        <v>66</v>
      </c>
      <c r="B268">
        <v>2</v>
      </c>
      <c r="C268" t="s">
        <v>56</v>
      </c>
      <c r="D268" t="s">
        <v>49</v>
      </c>
      <c r="E268">
        <v>7.6</v>
      </c>
      <c r="F268" s="11">
        <v>46235</v>
      </c>
      <c r="G268" t="s">
        <v>85</v>
      </c>
    </row>
    <row r="269" spans="1:7" hidden="1" x14ac:dyDescent="0.25">
      <c r="A269" t="s">
        <v>66</v>
      </c>
      <c r="B269">
        <v>2</v>
      </c>
      <c r="C269" t="s">
        <v>56</v>
      </c>
      <c r="D269" t="s">
        <v>51</v>
      </c>
      <c r="E269">
        <v>7.6</v>
      </c>
      <c r="F269" s="11">
        <v>46235</v>
      </c>
      <c r="G269" t="s">
        <v>85</v>
      </c>
    </row>
    <row r="270" spans="1:7" hidden="1" x14ac:dyDescent="0.25">
      <c r="A270" t="s">
        <v>66</v>
      </c>
      <c r="B270">
        <v>2</v>
      </c>
      <c r="C270" t="s">
        <v>57</v>
      </c>
      <c r="D270" t="s">
        <v>49</v>
      </c>
      <c r="E270">
        <v>7.6</v>
      </c>
      <c r="F270" s="11">
        <v>46236</v>
      </c>
      <c r="G270" t="s">
        <v>85</v>
      </c>
    </row>
    <row r="271" spans="1:7" hidden="1" x14ac:dyDescent="0.25">
      <c r="A271" t="s">
        <v>66</v>
      </c>
      <c r="B271">
        <v>2</v>
      </c>
      <c r="C271" t="s">
        <v>57</v>
      </c>
      <c r="D271" t="s">
        <v>51</v>
      </c>
      <c r="E271">
        <v>7.6</v>
      </c>
      <c r="F271" s="11">
        <v>46236</v>
      </c>
      <c r="G271" t="s">
        <v>85</v>
      </c>
    </row>
    <row r="272" spans="1:7" hidden="1" x14ac:dyDescent="0.25">
      <c r="A272" t="s">
        <v>66</v>
      </c>
      <c r="B272">
        <v>1</v>
      </c>
      <c r="C272" t="s">
        <v>52</v>
      </c>
      <c r="D272" t="s">
        <v>49</v>
      </c>
      <c r="E272">
        <v>7.6</v>
      </c>
      <c r="F272" s="11">
        <v>46224</v>
      </c>
      <c r="G272" t="s">
        <v>86</v>
      </c>
    </row>
    <row r="273" spans="1:7" hidden="1" x14ac:dyDescent="0.25">
      <c r="A273" t="s">
        <v>66</v>
      </c>
      <c r="B273">
        <v>1</v>
      </c>
      <c r="C273" t="s">
        <v>53</v>
      </c>
      <c r="D273" t="s">
        <v>49</v>
      </c>
      <c r="E273">
        <v>7.6</v>
      </c>
      <c r="F273" s="11">
        <v>46225</v>
      </c>
      <c r="G273" t="s">
        <v>86</v>
      </c>
    </row>
    <row r="274" spans="1:7" hidden="1" x14ac:dyDescent="0.25">
      <c r="A274" t="s">
        <v>66</v>
      </c>
      <c r="B274">
        <v>1</v>
      </c>
      <c r="C274" t="s">
        <v>54</v>
      </c>
      <c r="D274" t="s">
        <v>49</v>
      </c>
      <c r="E274">
        <v>7.6</v>
      </c>
      <c r="F274" s="11">
        <v>46226</v>
      </c>
      <c r="G274" t="s">
        <v>86</v>
      </c>
    </row>
    <row r="275" spans="1:7" hidden="1" x14ac:dyDescent="0.25">
      <c r="A275" t="s">
        <v>66</v>
      </c>
      <c r="B275">
        <v>1</v>
      </c>
      <c r="C275" t="s">
        <v>55</v>
      </c>
      <c r="D275" t="s">
        <v>49</v>
      </c>
      <c r="E275">
        <v>7.6</v>
      </c>
      <c r="F275" s="11">
        <v>46227</v>
      </c>
      <c r="G275" t="s">
        <v>86</v>
      </c>
    </row>
    <row r="276" spans="1:7" hidden="1" x14ac:dyDescent="0.25">
      <c r="A276" t="s">
        <v>66</v>
      </c>
      <c r="B276">
        <v>1</v>
      </c>
      <c r="C276" t="s">
        <v>56</v>
      </c>
      <c r="D276" t="s">
        <v>49</v>
      </c>
      <c r="E276">
        <v>7.6</v>
      </c>
      <c r="F276" s="11">
        <v>46228</v>
      </c>
      <c r="G276" t="s">
        <v>86</v>
      </c>
    </row>
    <row r="277" spans="1:7" hidden="1" x14ac:dyDescent="0.25">
      <c r="A277" t="s">
        <v>66</v>
      </c>
      <c r="B277">
        <v>2</v>
      </c>
      <c r="C277" t="s">
        <v>52</v>
      </c>
      <c r="D277" t="s">
        <v>49</v>
      </c>
      <c r="E277">
        <v>7.6</v>
      </c>
      <c r="F277" s="11">
        <v>46231</v>
      </c>
      <c r="G277" t="s">
        <v>86</v>
      </c>
    </row>
    <row r="278" spans="1:7" hidden="1" x14ac:dyDescent="0.25">
      <c r="A278" t="s">
        <v>66</v>
      </c>
      <c r="B278">
        <v>2</v>
      </c>
      <c r="C278" t="s">
        <v>53</v>
      </c>
      <c r="D278" t="s">
        <v>49</v>
      </c>
      <c r="E278">
        <v>7.6</v>
      </c>
      <c r="F278" s="11">
        <v>46232</v>
      </c>
      <c r="G278" t="s">
        <v>86</v>
      </c>
    </row>
    <row r="279" spans="1:7" hidden="1" x14ac:dyDescent="0.25">
      <c r="A279" t="s">
        <v>66</v>
      </c>
      <c r="B279">
        <v>2</v>
      </c>
      <c r="C279" t="s">
        <v>54</v>
      </c>
      <c r="D279" t="s">
        <v>49</v>
      </c>
      <c r="E279">
        <v>7.6</v>
      </c>
      <c r="F279" s="11">
        <v>46233</v>
      </c>
      <c r="G279" t="s">
        <v>86</v>
      </c>
    </row>
    <row r="280" spans="1:7" hidden="1" x14ac:dyDescent="0.25">
      <c r="A280" t="s">
        <v>66</v>
      </c>
      <c r="B280">
        <v>2</v>
      </c>
      <c r="C280" t="s">
        <v>55</v>
      </c>
      <c r="D280" t="s">
        <v>49</v>
      </c>
      <c r="E280">
        <v>7.6</v>
      </c>
      <c r="F280" s="11">
        <v>46234</v>
      </c>
      <c r="G280" t="s">
        <v>86</v>
      </c>
    </row>
    <row r="281" spans="1:7" hidden="1" x14ac:dyDescent="0.25">
      <c r="A281" t="s">
        <v>66</v>
      </c>
      <c r="B281">
        <v>2</v>
      </c>
      <c r="C281" t="s">
        <v>56</v>
      </c>
      <c r="D281" t="s">
        <v>49</v>
      </c>
      <c r="E281">
        <v>7.6</v>
      </c>
      <c r="F281" s="11">
        <v>46235</v>
      </c>
      <c r="G281" t="s">
        <v>86</v>
      </c>
    </row>
    <row r="282" spans="1:7" hidden="1" x14ac:dyDescent="0.25">
      <c r="A282" t="s">
        <v>66</v>
      </c>
      <c r="B282">
        <v>1</v>
      </c>
      <c r="C282" t="s">
        <v>48</v>
      </c>
      <c r="D282" t="s">
        <v>51</v>
      </c>
      <c r="E282">
        <v>7.6</v>
      </c>
      <c r="F282" s="11">
        <v>46223</v>
      </c>
      <c r="G282" t="s">
        <v>87</v>
      </c>
    </row>
    <row r="283" spans="1:7" hidden="1" x14ac:dyDescent="0.25">
      <c r="A283" t="s">
        <v>66</v>
      </c>
      <c r="B283">
        <v>1</v>
      </c>
      <c r="C283" t="s">
        <v>54</v>
      </c>
      <c r="D283" t="s">
        <v>51</v>
      </c>
      <c r="E283">
        <v>7.6</v>
      </c>
      <c r="F283" s="11">
        <v>46226</v>
      </c>
      <c r="G283" t="s">
        <v>87</v>
      </c>
    </row>
    <row r="284" spans="1:7" hidden="1" x14ac:dyDescent="0.25">
      <c r="A284" t="s">
        <v>66</v>
      </c>
      <c r="B284">
        <v>1</v>
      </c>
      <c r="C284" t="s">
        <v>55</v>
      </c>
      <c r="D284" t="s">
        <v>51</v>
      </c>
      <c r="E284">
        <v>7.6</v>
      </c>
      <c r="F284" s="11">
        <v>46227</v>
      </c>
      <c r="G284" t="s">
        <v>87</v>
      </c>
    </row>
    <row r="285" spans="1:7" hidden="1" x14ac:dyDescent="0.25">
      <c r="A285" t="s">
        <v>66</v>
      </c>
      <c r="B285">
        <v>1</v>
      </c>
      <c r="C285" t="s">
        <v>56</v>
      </c>
      <c r="D285" t="s">
        <v>51</v>
      </c>
      <c r="E285">
        <v>7.6</v>
      </c>
      <c r="F285" s="11">
        <v>46228</v>
      </c>
      <c r="G285" t="s">
        <v>87</v>
      </c>
    </row>
    <row r="286" spans="1:7" hidden="1" x14ac:dyDescent="0.25">
      <c r="A286" t="s">
        <v>66</v>
      </c>
      <c r="B286">
        <v>1</v>
      </c>
      <c r="C286" t="s">
        <v>57</v>
      </c>
      <c r="D286" t="s">
        <v>51</v>
      </c>
      <c r="E286">
        <v>7.6</v>
      </c>
      <c r="F286" s="11">
        <v>46229</v>
      </c>
      <c r="G286" t="s">
        <v>87</v>
      </c>
    </row>
    <row r="287" spans="1:7" hidden="1" x14ac:dyDescent="0.25">
      <c r="A287" t="s">
        <v>66</v>
      </c>
      <c r="B287">
        <v>2</v>
      </c>
      <c r="C287" t="s">
        <v>48</v>
      </c>
      <c r="D287" t="s">
        <v>51</v>
      </c>
      <c r="E287">
        <v>7.6</v>
      </c>
      <c r="F287" s="11">
        <v>46230</v>
      </c>
      <c r="G287" t="s">
        <v>87</v>
      </c>
    </row>
    <row r="288" spans="1:7" hidden="1" x14ac:dyDescent="0.25">
      <c r="A288" t="s">
        <v>66</v>
      </c>
      <c r="B288">
        <v>2</v>
      </c>
      <c r="C288" t="s">
        <v>54</v>
      </c>
      <c r="D288" t="s">
        <v>51</v>
      </c>
      <c r="E288">
        <v>7.6</v>
      </c>
      <c r="F288" s="11">
        <v>46233</v>
      </c>
      <c r="G288" t="s">
        <v>87</v>
      </c>
    </row>
    <row r="289" spans="1:7" hidden="1" x14ac:dyDescent="0.25">
      <c r="A289" t="s">
        <v>66</v>
      </c>
      <c r="B289">
        <v>2</v>
      </c>
      <c r="C289" t="s">
        <v>55</v>
      </c>
      <c r="D289" t="s">
        <v>51</v>
      </c>
      <c r="E289">
        <v>7.6</v>
      </c>
      <c r="F289" s="11">
        <v>46234</v>
      </c>
      <c r="G289" t="s">
        <v>87</v>
      </c>
    </row>
    <row r="290" spans="1:7" hidden="1" x14ac:dyDescent="0.25">
      <c r="A290" t="s">
        <v>66</v>
      </c>
      <c r="B290">
        <v>2</v>
      </c>
      <c r="C290" t="s">
        <v>56</v>
      </c>
      <c r="D290" t="s">
        <v>51</v>
      </c>
      <c r="E290">
        <v>7.6</v>
      </c>
      <c r="F290" s="11">
        <v>46235</v>
      </c>
      <c r="G290" t="s">
        <v>87</v>
      </c>
    </row>
    <row r="291" spans="1:7" hidden="1" x14ac:dyDescent="0.25">
      <c r="A291" t="s">
        <v>66</v>
      </c>
      <c r="B291">
        <v>2</v>
      </c>
      <c r="C291" t="s">
        <v>57</v>
      </c>
      <c r="D291" t="s">
        <v>51</v>
      </c>
      <c r="E291">
        <v>7.6</v>
      </c>
      <c r="F291" s="11">
        <v>46236</v>
      </c>
      <c r="G291" t="s">
        <v>87</v>
      </c>
    </row>
    <row r="292" spans="1:7" hidden="1" x14ac:dyDescent="0.25">
      <c r="A292" t="s">
        <v>66</v>
      </c>
      <c r="B292">
        <v>1</v>
      </c>
      <c r="C292" t="s">
        <v>52</v>
      </c>
      <c r="D292" t="s">
        <v>49</v>
      </c>
      <c r="E292">
        <v>7.6</v>
      </c>
      <c r="F292" s="11">
        <v>46224</v>
      </c>
      <c r="G292" t="s">
        <v>89</v>
      </c>
    </row>
    <row r="293" spans="1:7" hidden="1" x14ac:dyDescent="0.25">
      <c r="A293" t="s">
        <v>66</v>
      </c>
      <c r="B293">
        <v>1</v>
      </c>
      <c r="C293" t="s">
        <v>53</v>
      </c>
      <c r="D293" t="s">
        <v>49</v>
      </c>
      <c r="E293">
        <v>7.6</v>
      </c>
      <c r="F293" s="11">
        <v>46225</v>
      </c>
      <c r="G293" t="s">
        <v>89</v>
      </c>
    </row>
    <row r="294" spans="1:7" hidden="1" x14ac:dyDescent="0.25">
      <c r="A294" t="s">
        <v>66</v>
      </c>
      <c r="B294">
        <v>1</v>
      </c>
      <c r="C294" t="s">
        <v>54</v>
      </c>
      <c r="D294" t="s">
        <v>49</v>
      </c>
      <c r="E294">
        <v>7.6</v>
      </c>
      <c r="F294" s="11">
        <v>46226</v>
      </c>
      <c r="G294" t="s">
        <v>89</v>
      </c>
    </row>
    <row r="295" spans="1:7" hidden="1" x14ac:dyDescent="0.25">
      <c r="A295" t="s">
        <v>66</v>
      </c>
      <c r="B295">
        <v>1</v>
      </c>
      <c r="C295" t="s">
        <v>55</v>
      </c>
      <c r="D295" t="s">
        <v>49</v>
      </c>
      <c r="E295">
        <v>7.6</v>
      </c>
      <c r="F295" s="11">
        <v>46227</v>
      </c>
      <c r="G295" t="s">
        <v>89</v>
      </c>
    </row>
    <row r="296" spans="1:7" hidden="1" x14ac:dyDescent="0.25">
      <c r="A296" t="s">
        <v>66</v>
      </c>
      <c r="B296">
        <v>1</v>
      </c>
      <c r="C296" t="s">
        <v>56</v>
      </c>
      <c r="D296" t="s">
        <v>49</v>
      </c>
      <c r="E296">
        <v>7.6</v>
      </c>
      <c r="F296" s="11">
        <v>46228</v>
      </c>
      <c r="G296" t="s">
        <v>89</v>
      </c>
    </row>
    <row r="297" spans="1:7" hidden="1" x14ac:dyDescent="0.25">
      <c r="A297" t="s">
        <v>66</v>
      </c>
      <c r="B297">
        <v>2</v>
      </c>
      <c r="C297" t="s">
        <v>52</v>
      </c>
      <c r="D297" t="s">
        <v>49</v>
      </c>
      <c r="E297">
        <v>7.6</v>
      </c>
      <c r="F297" s="11">
        <v>46231</v>
      </c>
      <c r="G297" t="s">
        <v>89</v>
      </c>
    </row>
    <row r="298" spans="1:7" hidden="1" x14ac:dyDescent="0.25">
      <c r="A298" t="s">
        <v>66</v>
      </c>
      <c r="B298">
        <v>2</v>
      </c>
      <c r="C298" t="s">
        <v>53</v>
      </c>
      <c r="D298" t="s">
        <v>49</v>
      </c>
      <c r="E298">
        <v>7.6</v>
      </c>
      <c r="F298" s="11">
        <v>46232</v>
      </c>
      <c r="G298" t="s">
        <v>89</v>
      </c>
    </row>
    <row r="299" spans="1:7" hidden="1" x14ac:dyDescent="0.25">
      <c r="A299" t="s">
        <v>66</v>
      </c>
      <c r="B299">
        <v>2</v>
      </c>
      <c r="C299" t="s">
        <v>54</v>
      </c>
      <c r="D299" t="s">
        <v>49</v>
      </c>
      <c r="E299">
        <v>7.6</v>
      </c>
      <c r="F299" s="11">
        <v>46233</v>
      </c>
      <c r="G299" t="s">
        <v>89</v>
      </c>
    </row>
    <row r="300" spans="1:7" hidden="1" x14ac:dyDescent="0.25">
      <c r="A300" t="s">
        <v>66</v>
      </c>
      <c r="B300">
        <v>2</v>
      </c>
      <c r="C300" t="s">
        <v>55</v>
      </c>
      <c r="D300" t="s">
        <v>49</v>
      </c>
      <c r="E300">
        <v>7.6</v>
      </c>
      <c r="F300" s="11">
        <v>46234</v>
      </c>
      <c r="G300" t="s">
        <v>89</v>
      </c>
    </row>
    <row r="301" spans="1:7" hidden="1" x14ac:dyDescent="0.25">
      <c r="A301" t="s">
        <v>66</v>
      </c>
      <c r="B301">
        <v>2</v>
      </c>
      <c r="C301" t="s">
        <v>56</v>
      </c>
      <c r="D301" t="s">
        <v>49</v>
      </c>
      <c r="E301">
        <v>7.6</v>
      </c>
      <c r="F301" s="11">
        <v>46235</v>
      </c>
      <c r="G301" t="s">
        <v>89</v>
      </c>
    </row>
    <row r="302" spans="1:7" hidden="1" x14ac:dyDescent="0.25">
      <c r="A302" t="s">
        <v>66</v>
      </c>
      <c r="B302">
        <v>1</v>
      </c>
      <c r="C302" t="s">
        <v>48</v>
      </c>
      <c r="D302" t="s">
        <v>49</v>
      </c>
      <c r="E302">
        <v>7.6</v>
      </c>
      <c r="F302" s="11">
        <v>46223</v>
      </c>
      <c r="G302" t="s">
        <v>90</v>
      </c>
    </row>
    <row r="303" spans="1:7" hidden="1" x14ac:dyDescent="0.25">
      <c r="A303" t="s">
        <v>66</v>
      </c>
      <c r="B303">
        <v>1</v>
      </c>
      <c r="C303" t="s">
        <v>54</v>
      </c>
      <c r="D303" t="s">
        <v>49</v>
      </c>
      <c r="E303">
        <v>7.6</v>
      </c>
      <c r="F303" s="11">
        <v>46226</v>
      </c>
      <c r="G303" t="s">
        <v>90</v>
      </c>
    </row>
    <row r="304" spans="1:7" hidden="1" x14ac:dyDescent="0.25">
      <c r="A304" t="s">
        <v>66</v>
      </c>
      <c r="B304">
        <v>1</v>
      </c>
      <c r="C304" t="s">
        <v>55</v>
      </c>
      <c r="D304" t="s">
        <v>49</v>
      </c>
      <c r="E304">
        <v>7.6</v>
      </c>
      <c r="F304" s="11">
        <v>46227</v>
      </c>
      <c r="G304" t="s">
        <v>90</v>
      </c>
    </row>
    <row r="305" spans="1:7" hidden="1" x14ac:dyDescent="0.25">
      <c r="A305" t="s">
        <v>66</v>
      </c>
      <c r="B305">
        <v>1</v>
      </c>
      <c r="C305" t="s">
        <v>56</v>
      </c>
      <c r="D305" t="s">
        <v>49</v>
      </c>
      <c r="E305">
        <v>7.6</v>
      </c>
      <c r="F305" s="11">
        <v>46228</v>
      </c>
      <c r="G305" t="s">
        <v>90</v>
      </c>
    </row>
    <row r="306" spans="1:7" hidden="1" x14ac:dyDescent="0.25">
      <c r="A306" t="s">
        <v>66</v>
      </c>
      <c r="B306">
        <v>1</v>
      </c>
      <c r="C306" t="s">
        <v>57</v>
      </c>
      <c r="D306" t="s">
        <v>49</v>
      </c>
      <c r="E306">
        <v>7.6</v>
      </c>
      <c r="F306" s="11">
        <v>46229</v>
      </c>
      <c r="G306" t="s">
        <v>90</v>
      </c>
    </row>
    <row r="307" spans="1:7" hidden="1" x14ac:dyDescent="0.25">
      <c r="A307" t="s">
        <v>66</v>
      </c>
      <c r="B307">
        <v>2</v>
      </c>
      <c r="C307" t="s">
        <v>48</v>
      </c>
      <c r="D307" t="s">
        <v>49</v>
      </c>
      <c r="E307">
        <v>7.6</v>
      </c>
      <c r="F307" s="11">
        <v>46230</v>
      </c>
      <c r="G307" t="s">
        <v>90</v>
      </c>
    </row>
    <row r="308" spans="1:7" hidden="1" x14ac:dyDescent="0.25">
      <c r="A308" t="s">
        <v>66</v>
      </c>
      <c r="B308">
        <v>2</v>
      </c>
      <c r="C308" t="s">
        <v>54</v>
      </c>
      <c r="D308" t="s">
        <v>49</v>
      </c>
      <c r="E308">
        <v>7.6</v>
      </c>
      <c r="F308" s="11">
        <v>46233</v>
      </c>
      <c r="G308" t="s">
        <v>90</v>
      </c>
    </row>
    <row r="309" spans="1:7" hidden="1" x14ac:dyDescent="0.25">
      <c r="A309" t="s">
        <v>66</v>
      </c>
      <c r="B309">
        <v>2</v>
      </c>
      <c r="C309" t="s">
        <v>55</v>
      </c>
      <c r="D309" t="s">
        <v>49</v>
      </c>
      <c r="E309">
        <v>7.6</v>
      </c>
      <c r="F309" s="11">
        <v>46234</v>
      </c>
      <c r="G309" t="s">
        <v>90</v>
      </c>
    </row>
    <row r="310" spans="1:7" hidden="1" x14ac:dyDescent="0.25">
      <c r="A310" t="s">
        <v>66</v>
      </c>
      <c r="B310">
        <v>2</v>
      </c>
      <c r="C310" t="s">
        <v>56</v>
      </c>
      <c r="D310" t="s">
        <v>49</v>
      </c>
      <c r="E310">
        <v>7.6</v>
      </c>
      <c r="F310" s="11">
        <v>46235</v>
      </c>
      <c r="G310" t="s">
        <v>90</v>
      </c>
    </row>
    <row r="311" spans="1:7" hidden="1" x14ac:dyDescent="0.25">
      <c r="A311" t="s">
        <v>66</v>
      </c>
      <c r="B311">
        <v>2</v>
      </c>
      <c r="C311" t="s">
        <v>57</v>
      </c>
      <c r="D311" t="s">
        <v>49</v>
      </c>
      <c r="E311">
        <v>7.6</v>
      </c>
      <c r="F311" s="11">
        <v>46236</v>
      </c>
      <c r="G311" t="s">
        <v>90</v>
      </c>
    </row>
    <row r="312" spans="1:7" hidden="1" x14ac:dyDescent="0.25">
      <c r="A312" t="s">
        <v>66</v>
      </c>
      <c r="B312">
        <v>1</v>
      </c>
      <c r="C312" t="s">
        <v>48</v>
      </c>
      <c r="D312" t="s">
        <v>49</v>
      </c>
      <c r="E312">
        <v>7.6</v>
      </c>
      <c r="F312" s="11">
        <v>46223</v>
      </c>
      <c r="G312" t="s">
        <v>91</v>
      </c>
    </row>
    <row r="313" spans="1:7" hidden="1" x14ac:dyDescent="0.25">
      <c r="A313" t="s">
        <v>66</v>
      </c>
      <c r="B313">
        <v>1</v>
      </c>
      <c r="C313" t="s">
        <v>48</v>
      </c>
      <c r="D313" t="s">
        <v>51</v>
      </c>
      <c r="E313">
        <v>7.6</v>
      </c>
      <c r="F313" s="11">
        <v>46223</v>
      </c>
      <c r="G313" t="s">
        <v>91</v>
      </c>
    </row>
    <row r="314" spans="1:7" hidden="1" x14ac:dyDescent="0.25">
      <c r="A314" t="s">
        <v>66</v>
      </c>
      <c r="B314">
        <v>1</v>
      </c>
      <c r="C314" t="s">
        <v>52</v>
      </c>
      <c r="D314" t="s">
        <v>49</v>
      </c>
      <c r="E314">
        <v>7.6</v>
      </c>
      <c r="F314" s="11">
        <v>46224</v>
      </c>
      <c r="G314" t="s">
        <v>91</v>
      </c>
    </row>
    <row r="315" spans="1:7" hidden="1" x14ac:dyDescent="0.25">
      <c r="A315" t="s">
        <v>66</v>
      </c>
      <c r="B315">
        <v>1</v>
      </c>
      <c r="C315" t="s">
        <v>53</v>
      </c>
      <c r="D315" t="s">
        <v>49</v>
      </c>
      <c r="E315">
        <v>7.6</v>
      </c>
      <c r="F315" s="11">
        <v>46225</v>
      </c>
      <c r="G315" t="s">
        <v>91</v>
      </c>
    </row>
    <row r="316" spans="1:7" hidden="1" x14ac:dyDescent="0.25">
      <c r="A316" t="s">
        <v>66</v>
      </c>
      <c r="B316">
        <v>1</v>
      </c>
      <c r="C316" t="s">
        <v>54</v>
      </c>
      <c r="D316" t="s">
        <v>49</v>
      </c>
      <c r="E316">
        <v>7.6</v>
      </c>
      <c r="F316" s="11">
        <v>46226</v>
      </c>
      <c r="G316" t="s">
        <v>91</v>
      </c>
    </row>
    <row r="317" spans="1:7" hidden="1" x14ac:dyDescent="0.25">
      <c r="A317" t="s">
        <v>66</v>
      </c>
      <c r="B317">
        <v>1</v>
      </c>
      <c r="C317" t="s">
        <v>56</v>
      </c>
      <c r="D317" t="s">
        <v>49</v>
      </c>
      <c r="E317">
        <v>7.6</v>
      </c>
      <c r="F317" s="11">
        <v>46228</v>
      </c>
      <c r="G317" t="s">
        <v>91</v>
      </c>
    </row>
    <row r="318" spans="1:7" hidden="1" x14ac:dyDescent="0.25">
      <c r="A318" t="s">
        <v>66</v>
      </c>
      <c r="B318">
        <v>1</v>
      </c>
      <c r="C318" t="s">
        <v>56</v>
      </c>
      <c r="D318" t="s">
        <v>51</v>
      </c>
      <c r="E318">
        <v>7.6</v>
      </c>
      <c r="F318" s="11">
        <v>46228</v>
      </c>
      <c r="G318" t="s">
        <v>91</v>
      </c>
    </row>
    <row r="319" spans="1:7" hidden="1" x14ac:dyDescent="0.25">
      <c r="A319" t="s">
        <v>66</v>
      </c>
      <c r="B319">
        <v>1</v>
      </c>
      <c r="C319" t="s">
        <v>57</v>
      </c>
      <c r="D319" t="s">
        <v>49</v>
      </c>
      <c r="E319">
        <v>7.6</v>
      </c>
      <c r="F319" s="11">
        <v>46229</v>
      </c>
      <c r="G319" t="s">
        <v>91</v>
      </c>
    </row>
    <row r="320" spans="1:7" hidden="1" x14ac:dyDescent="0.25">
      <c r="A320" t="s">
        <v>66</v>
      </c>
      <c r="B320">
        <v>2</v>
      </c>
      <c r="C320" t="s">
        <v>48</v>
      </c>
      <c r="D320" t="s">
        <v>49</v>
      </c>
      <c r="E320">
        <v>7.6</v>
      </c>
      <c r="F320" s="11">
        <v>46230</v>
      </c>
      <c r="G320" t="s">
        <v>91</v>
      </c>
    </row>
    <row r="321" spans="1:7" hidden="1" x14ac:dyDescent="0.25">
      <c r="A321" t="s">
        <v>66</v>
      </c>
      <c r="B321">
        <v>2</v>
      </c>
      <c r="C321" t="s">
        <v>48</v>
      </c>
      <c r="D321" t="s">
        <v>51</v>
      </c>
      <c r="E321">
        <v>7.6</v>
      </c>
      <c r="F321" s="11">
        <v>46230</v>
      </c>
      <c r="G321" t="s">
        <v>91</v>
      </c>
    </row>
    <row r="322" spans="1:7" hidden="1" x14ac:dyDescent="0.25">
      <c r="A322" t="s">
        <v>66</v>
      </c>
      <c r="B322">
        <v>2</v>
      </c>
      <c r="C322" t="s">
        <v>52</v>
      </c>
      <c r="D322" t="s">
        <v>49</v>
      </c>
      <c r="E322">
        <v>7.6</v>
      </c>
      <c r="F322" s="11">
        <v>46231</v>
      </c>
      <c r="G322" t="s">
        <v>91</v>
      </c>
    </row>
    <row r="323" spans="1:7" hidden="1" x14ac:dyDescent="0.25">
      <c r="A323" t="s">
        <v>66</v>
      </c>
      <c r="B323">
        <v>2</v>
      </c>
      <c r="C323" t="s">
        <v>53</v>
      </c>
      <c r="D323" t="s">
        <v>49</v>
      </c>
      <c r="E323">
        <v>7.6</v>
      </c>
      <c r="F323" s="11">
        <v>46232</v>
      </c>
      <c r="G323" t="s">
        <v>91</v>
      </c>
    </row>
    <row r="324" spans="1:7" hidden="1" x14ac:dyDescent="0.25">
      <c r="A324" t="s">
        <v>66</v>
      </c>
      <c r="B324">
        <v>2</v>
      </c>
      <c r="C324" t="s">
        <v>54</v>
      </c>
      <c r="D324" t="s">
        <v>49</v>
      </c>
      <c r="E324">
        <v>7.6</v>
      </c>
      <c r="F324" s="11">
        <v>46233</v>
      </c>
      <c r="G324" t="s">
        <v>91</v>
      </c>
    </row>
    <row r="325" spans="1:7" hidden="1" x14ac:dyDescent="0.25">
      <c r="A325" t="s">
        <v>66</v>
      </c>
      <c r="B325">
        <v>2</v>
      </c>
      <c r="C325" t="s">
        <v>56</v>
      </c>
      <c r="D325" t="s">
        <v>49</v>
      </c>
      <c r="E325">
        <v>7.6</v>
      </c>
      <c r="F325" s="11">
        <v>46235</v>
      </c>
      <c r="G325" t="s">
        <v>91</v>
      </c>
    </row>
    <row r="326" spans="1:7" hidden="1" x14ac:dyDescent="0.25">
      <c r="A326" t="s">
        <v>66</v>
      </c>
      <c r="B326">
        <v>2</v>
      </c>
      <c r="C326" t="s">
        <v>56</v>
      </c>
      <c r="D326" t="s">
        <v>51</v>
      </c>
      <c r="E326">
        <v>7.6</v>
      </c>
      <c r="F326" s="11">
        <v>46235</v>
      </c>
      <c r="G326" t="s">
        <v>91</v>
      </c>
    </row>
    <row r="327" spans="1:7" hidden="1" x14ac:dyDescent="0.25">
      <c r="A327" t="s">
        <v>66</v>
      </c>
      <c r="B327">
        <v>2</v>
      </c>
      <c r="C327" t="s">
        <v>57</v>
      </c>
      <c r="D327" t="s">
        <v>49</v>
      </c>
      <c r="E327">
        <v>7.6</v>
      </c>
      <c r="F327" s="11">
        <v>46236</v>
      </c>
      <c r="G327" t="s">
        <v>91</v>
      </c>
    </row>
    <row r="328" spans="1:7" hidden="1" x14ac:dyDescent="0.25">
      <c r="A328" t="s">
        <v>66</v>
      </c>
      <c r="B328">
        <v>1</v>
      </c>
      <c r="C328" t="s">
        <v>48</v>
      </c>
      <c r="D328" t="s">
        <v>51</v>
      </c>
      <c r="E328">
        <v>7.6</v>
      </c>
      <c r="F328" s="11">
        <v>46223</v>
      </c>
      <c r="G328" t="s">
        <v>92</v>
      </c>
    </row>
    <row r="329" spans="1:7" hidden="1" x14ac:dyDescent="0.25">
      <c r="A329" t="s">
        <v>66</v>
      </c>
      <c r="B329">
        <v>1</v>
      </c>
      <c r="C329" t="s">
        <v>52</v>
      </c>
      <c r="D329" t="s">
        <v>51</v>
      </c>
      <c r="E329">
        <v>7.6</v>
      </c>
      <c r="F329" s="11">
        <v>46224</v>
      </c>
      <c r="G329" t="s">
        <v>92</v>
      </c>
    </row>
    <row r="330" spans="1:7" hidden="1" x14ac:dyDescent="0.25">
      <c r="A330" t="s">
        <v>66</v>
      </c>
      <c r="B330">
        <v>1</v>
      </c>
      <c r="C330" t="s">
        <v>53</v>
      </c>
      <c r="D330" t="s">
        <v>51</v>
      </c>
      <c r="E330">
        <v>7.6</v>
      </c>
      <c r="F330" s="11">
        <v>46225</v>
      </c>
      <c r="G330" t="s">
        <v>92</v>
      </c>
    </row>
    <row r="331" spans="1:7" hidden="1" x14ac:dyDescent="0.25">
      <c r="A331" t="s">
        <v>66</v>
      </c>
      <c r="B331">
        <v>1</v>
      </c>
      <c r="C331" t="s">
        <v>56</v>
      </c>
      <c r="D331" t="s">
        <v>49</v>
      </c>
      <c r="E331">
        <v>7.6</v>
      </c>
      <c r="F331" s="11">
        <v>46228</v>
      </c>
      <c r="G331" t="s">
        <v>92</v>
      </c>
    </row>
    <row r="332" spans="1:7" hidden="1" x14ac:dyDescent="0.25">
      <c r="A332" t="s">
        <v>66</v>
      </c>
      <c r="B332">
        <v>1</v>
      </c>
      <c r="C332" t="s">
        <v>56</v>
      </c>
      <c r="D332" t="s">
        <v>51</v>
      </c>
      <c r="E332">
        <v>7.6</v>
      </c>
      <c r="F332" s="11">
        <v>46228</v>
      </c>
      <c r="G332" t="s">
        <v>92</v>
      </c>
    </row>
    <row r="333" spans="1:7" hidden="1" x14ac:dyDescent="0.25">
      <c r="A333" t="s">
        <v>66</v>
      </c>
      <c r="B333">
        <v>1</v>
      </c>
      <c r="C333" t="s">
        <v>57</v>
      </c>
      <c r="D333" t="s">
        <v>49</v>
      </c>
      <c r="E333">
        <v>7.6</v>
      </c>
      <c r="F333" s="11">
        <v>46229</v>
      </c>
      <c r="G333" t="s">
        <v>92</v>
      </c>
    </row>
    <row r="334" spans="1:7" hidden="1" x14ac:dyDescent="0.25">
      <c r="A334" t="s">
        <v>66</v>
      </c>
      <c r="B334">
        <v>2</v>
      </c>
      <c r="C334" t="s">
        <v>48</v>
      </c>
      <c r="D334" t="s">
        <v>51</v>
      </c>
      <c r="E334">
        <v>7.6</v>
      </c>
      <c r="F334" s="11">
        <v>46230</v>
      </c>
      <c r="G334" t="s">
        <v>92</v>
      </c>
    </row>
    <row r="335" spans="1:7" hidden="1" x14ac:dyDescent="0.25">
      <c r="A335" t="s">
        <v>66</v>
      </c>
      <c r="B335">
        <v>2</v>
      </c>
      <c r="C335" t="s">
        <v>52</v>
      </c>
      <c r="D335" t="s">
        <v>51</v>
      </c>
      <c r="E335">
        <v>7.6</v>
      </c>
      <c r="F335" s="11">
        <v>46231</v>
      </c>
      <c r="G335" t="s">
        <v>92</v>
      </c>
    </row>
    <row r="336" spans="1:7" hidden="1" x14ac:dyDescent="0.25">
      <c r="A336" t="s">
        <v>66</v>
      </c>
      <c r="B336">
        <v>2</v>
      </c>
      <c r="C336" t="s">
        <v>53</v>
      </c>
      <c r="D336" t="s">
        <v>51</v>
      </c>
      <c r="E336">
        <v>7.6</v>
      </c>
      <c r="F336" s="11">
        <v>46232</v>
      </c>
      <c r="G336" t="s">
        <v>92</v>
      </c>
    </row>
    <row r="337" spans="1:7" hidden="1" x14ac:dyDescent="0.25">
      <c r="A337" t="s">
        <v>66</v>
      </c>
      <c r="B337">
        <v>2</v>
      </c>
      <c r="C337" t="s">
        <v>56</v>
      </c>
      <c r="D337" t="s">
        <v>49</v>
      </c>
      <c r="E337">
        <v>7.6</v>
      </c>
      <c r="F337" s="11">
        <v>46235</v>
      </c>
      <c r="G337" t="s">
        <v>92</v>
      </c>
    </row>
    <row r="338" spans="1:7" hidden="1" x14ac:dyDescent="0.25">
      <c r="A338" t="s">
        <v>66</v>
      </c>
      <c r="B338">
        <v>2</v>
      </c>
      <c r="C338" t="s">
        <v>56</v>
      </c>
      <c r="D338" t="s">
        <v>51</v>
      </c>
      <c r="E338">
        <v>7.6</v>
      </c>
      <c r="F338" s="11">
        <v>46235</v>
      </c>
      <c r="G338" t="s">
        <v>92</v>
      </c>
    </row>
    <row r="339" spans="1:7" hidden="1" x14ac:dyDescent="0.25">
      <c r="A339" t="s">
        <v>66</v>
      </c>
      <c r="B339">
        <v>2</v>
      </c>
      <c r="C339" t="s">
        <v>57</v>
      </c>
      <c r="D339" t="s">
        <v>49</v>
      </c>
      <c r="E339">
        <v>7.6</v>
      </c>
      <c r="F339" s="11">
        <v>46236</v>
      </c>
      <c r="G339" t="s">
        <v>92</v>
      </c>
    </row>
    <row r="340" spans="1:7" hidden="1" x14ac:dyDescent="0.25">
      <c r="A340" t="s">
        <v>66</v>
      </c>
      <c r="B340">
        <v>1</v>
      </c>
      <c r="C340" t="s">
        <v>48</v>
      </c>
      <c r="D340" t="s">
        <v>49</v>
      </c>
      <c r="E340">
        <v>7.6</v>
      </c>
      <c r="F340" s="11">
        <v>46223</v>
      </c>
      <c r="G340" t="s">
        <v>93</v>
      </c>
    </row>
    <row r="341" spans="1:7" hidden="1" x14ac:dyDescent="0.25">
      <c r="A341" t="s">
        <v>66</v>
      </c>
      <c r="B341">
        <v>1</v>
      </c>
      <c r="C341" t="s">
        <v>52</v>
      </c>
      <c r="D341" t="s">
        <v>49</v>
      </c>
      <c r="E341">
        <v>7.6</v>
      </c>
      <c r="F341" s="11">
        <v>46224</v>
      </c>
      <c r="G341" t="s">
        <v>93</v>
      </c>
    </row>
    <row r="342" spans="1:7" hidden="1" x14ac:dyDescent="0.25">
      <c r="A342" t="s">
        <v>66</v>
      </c>
      <c r="B342">
        <v>1</v>
      </c>
      <c r="C342" t="s">
        <v>53</v>
      </c>
      <c r="D342" t="s">
        <v>49</v>
      </c>
      <c r="E342">
        <v>7.6</v>
      </c>
      <c r="F342" s="11">
        <v>46225</v>
      </c>
      <c r="G342" t="s">
        <v>93</v>
      </c>
    </row>
    <row r="343" spans="1:7" hidden="1" x14ac:dyDescent="0.25">
      <c r="A343" t="s">
        <v>66</v>
      </c>
      <c r="B343">
        <v>1</v>
      </c>
      <c r="C343" t="s">
        <v>54</v>
      </c>
      <c r="D343" t="s">
        <v>49</v>
      </c>
      <c r="E343">
        <v>7.6</v>
      </c>
      <c r="F343" s="11">
        <v>46226</v>
      </c>
      <c r="G343" t="s">
        <v>93</v>
      </c>
    </row>
    <row r="344" spans="1:7" hidden="1" x14ac:dyDescent="0.25">
      <c r="A344" t="s">
        <v>66</v>
      </c>
      <c r="B344">
        <v>1</v>
      </c>
      <c r="C344" t="s">
        <v>56</v>
      </c>
      <c r="D344" t="s">
        <v>49</v>
      </c>
      <c r="E344">
        <v>7.6</v>
      </c>
      <c r="F344" s="11">
        <v>46228</v>
      </c>
      <c r="G344" t="s">
        <v>93</v>
      </c>
    </row>
    <row r="345" spans="1:7" hidden="1" x14ac:dyDescent="0.25">
      <c r="A345" t="s">
        <v>66</v>
      </c>
      <c r="B345">
        <v>1</v>
      </c>
      <c r="C345" t="s">
        <v>57</v>
      </c>
      <c r="D345" t="s">
        <v>51</v>
      </c>
      <c r="E345">
        <v>7.6</v>
      </c>
      <c r="F345" s="11">
        <v>46229</v>
      </c>
      <c r="G345" t="s">
        <v>93</v>
      </c>
    </row>
    <row r="346" spans="1:7" hidden="1" x14ac:dyDescent="0.25">
      <c r="A346" t="s">
        <v>66</v>
      </c>
      <c r="B346">
        <v>2</v>
      </c>
      <c r="C346" t="s">
        <v>48</v>
      </c>
      <c r="D346" t="s">
        <v>49</v>
      </c>
      <c r="E346">
        <v>7.6</v>
      </c>
      <c r="F346" s="11">
        <v>46230</v>
      </c>
      <c r="G346" t="s">
        <v>93</v>
      </c>
    </row>
    <row r="347" spans="1:7" hidden="1" x14ac:dyDescent="0.25">
      <c r="A347" t="s">
        <v>66</v>
      </c>
      <c r="B347">
        <v>2</v>
      </c>
      <c r="C347" t="s">
        <v>52</v>
      </c>
      <c r="D347" t="s">
        <v>49</v>
      </c>
      <c r="E347">
        <v>7.6</v>
      </c>
      <c r="F347" s="11">
        <v>46231</v>
      </c>
      <c r="G347" t="s">
        <v>93</v>
      </c>
    </row>
    <row r="348" spans="1:7" hidden="1" x14ac:dyDescent="0.25">
      <c r="A348" t="s">
        <v>66</v>
      </c>
      <c r="B348">
        <v>2</v>
      </c>
      <c r="C348" t="s">
        <v>53</v>
      </c>
      <c r="D348" t="s">
        <v>49</v>
      </c>
      <c r="E348">
        <v>7.6</v>
      </c>
      <c r="F348" s="11">
        <v>46232</v>
      </c>
      <c r="G348" t="s">
        <v>93</v>
      </c>
    </row>
    <row r="349" spans="1:7" hidden="1" x14ac:dyDescent="0.25">
      <c r="A349" t="s">
        <v>66</v>
      </c>
      <c r="B349">
        <v>2</v>
      </c>
      <c r="C349" t="s">
        <v>54</v>
      </c>
      <c r="D349" t="s">
        <v>49</v>
      </c>
      <c r="E349">
        <v>7.6</v>
      </c>
      <c r="F349" s="11">
        <v>46233</v>
      </c>
      <c r="G349" t="s">
        <v>93</v>
      </c>
    </row>
    <row r="350" spans="1:7" hidden="1" x14ac:dyDescent="0.25">
      <c r="A350" t="s">
        <v>66</v>
      </c>
      <c r="B350">
        <v>2</v>
      </c>
      <c r="C350" t="s">
        <v>56</v>
      </c>
      <c r="D350" t="s">
        <v>49</v>
      </c>
      <c r="E350">
        <v>7.6</v>
      </c>
      <c r="F350" s="11">
        <v>46235</v>
      </c>
      <c r="G350" t="s">
        <v>93</v>
      </c>
    </row>
    <row r="351" spans="1:7" hidden="1" x14ac:dyDescent="0.25">
      <c r="A351" t="s">
        <v>66</v>
      </c>
      <c r="B351">
        <v>2</v>
      </c>
      <c r="C351" t="s">
        <v>57</v>
      </c>
      <c r="D351" t="s">
        <v>51</v>
      </c>
      <c r="E351">
        <v>7.6</v>
      </c>
      <c r="F351" s="11">
        <v>46236</v>
      </c>
      <c r="G351" t="s">
        <v>93</v>
      </c>
    </row>
    <row r="352" spans="1:7" hidden="1" x14ac:dyDescent="0.25">
      <c r="A352" t="s">
        <v>66</v>
      </c>
      <c r="B352">
        <v>1</v>
      </c>
      <c r="C352" t="s">
        <v>48</v>
      </c>
      <c r="D352" t="s">
        <v>50</v>
      </c>
      <c r="E352">
        <v>7.6</v>
      </c>
      <c r="F352" s="11">
        <v>46223</v>
      </c>
      <c r="G352" t="s">
        <v>94</v>
      </c>
    </row>
    <row r="353" spans="1:7" hidden="1" x14ac:dyDescent="0.25">
      <c r="A353" t="s">
        <v>66</v>
      </c>
      <c r="B353">
        <v>1</v>
      </c>
      <c r="C353" t="s">
        <v>52</v>
      </c>
      <c r="D353" t="s">
        <v>50</v>
      </c>
      <c r="E353">
        <v>7.6</v>
      </c>
      <c r="F353" s="11">
        <v>46224</v>
      </c>
      <c r="G353" t="s">
        <v>94</v>
      </c>
    </row>
    <row r="354" spans="1:7" hidden="1" x14ac:dyDescent="0.25">
      <c r="A354" t="s">
        <v>66</v>
      </c>
      <c r="B354">
        <v>1</v>
      </c>
      <c r="C354" t="s">
        <v>53</v>
      </c>
      <c r="D354" t="s">
        <v>50</v>
      </c>
      <c r="E354">
        <v>7.6</v>
      </c>
      <c r="F354" s="11">
        <v>46225</v>
      </c>
      <c r="G354" t="s">
        <v>94</v>
      </c>
    </row>
    <row r="355" spans="1:7" hidden="1" x14ac:dyDescent="0.25">
      <c r="A355" t="s">
        <v>66</v>
      </c>
      <c r="B355">
        <v>1</v>
      </c>
      <c r="C355" t="s">
        <v>54</v>
      </c>
      <c r="D355" t="s">
        <v>50</v>
      </c>
      <c r="E355">
        <v>7.6</v>
      </c>
      <c r="F355" s="11">
        <v>46226</v>
      </c>
      <c r="G355" t="s">
        <v>94</v>
      </c>
    </row>
    <row r="356" spans="1:7" hidden="1" x14ac:dyDescent="0.25">
      <c r="A356" t="s">
        <v>66</v>
      </c>
      <c r="B356">
        <v>1</v>
      </c>
      <c r="C356" t="s">
        <v>55</v>
      </c>
      <c r="D356" t="s">
        <v>50</v>
      </c>
      <c r="E356">
        <v>7.6</v>
      </c>
      <c r="F356" s="11">
        <v>46227</v>
      </c>
      <c r="G356" t="s">
        <v>94</v>
      </c>
    </row>
    <row r="357" spans="1:7" hidden="1" x14ac:dyDescent="0.25">
      <c r="A357" t="s">
        <v>66</v>
      </c>
      <c r="B357">
        <v>2</v>
      </c>
      <c r="C357" t="s">
        <v>48</v>
      </c>
      <c r="D357" t="s">
        <v>50</v>
      </c>
      <c r="E357">
        <v>7.6</v>
      </c>
      <c r="F357" s="11">
        <v>46230</v>
      </c>
      <c r="G357" t="s">
        <v>94</v>
      </c>
    </row>
    <row r="358" spans="1:7" hidden="1" x14ac:dyDescent="0.25">
      <c r="A358" t="s">
        <v>66</v>
      </c>
      <c r="B358">
        <v>2</v>
      </c>
      <c r="C358" t="s">
        <v>52</v>
      </c>
      <c r="D358" t="s">
        <v>50</v>
      </c>
      <c r="E358">
        <v>7.6</v>
      </c>
      <c r="F358" s="11">
        <v>46231</v>
      </c>
      <c r="G358" t="s">
        <v>94</v>
      </c>
    </row>
    <row r="359" spans="1:7" hidden="1" x14ac:dyDescent="0.25">
      <c r="A359" t="s">
        <v>66</v>
      </c>
      <c r="B359">
        <v>2</v>
      </c>
      <c r="C359" t="s">
        <v>53</v>
      </c>
      <c r="D359" t="s">
        <v>50</v>
      </c>
      <c r="E359">
        <v>7.6</v>
      </c>
      <c r="F359" s="11">
        <v>46232</v>
      </c>
      <c r="G359" t="s">
        <v>94</v>
      </c>
    </row>
    <row r="360" spans="1:7" hidden="1" x14ac:dyDescent="0.25">
      <c r="A360" t="s">
        <v>66</v>
      </c>
      <c r="B360">
        <v>2</v>
      </c>
      <c r="C360" t="s">
        <v>55</v>
      </c>
      <c r="D360" t="s">
        <v>50</v>
      </c>
      <c r="E360">
        <v>7.6</v>
      </c>
      <c r="F360" s="11">
        <v>46234</v>
      </c>
      <c r="G360" t="s">
        <v>94</v>
      </c>
    </row>
    <row r="361" spans="1:7" hidden="1" x14ac:dyDescent="0.25">
      <c r="A361" t="s">
        <v>66</v>
      </c>
      <c r="B361">
        <v>1</v>
      </c>
      <c r="C361" t="s">
        <v>48</v>
      </c>
      <c r="D361" t="s">
        <v>50</v>
      </c>
      <c r="E361">
        <v>7.6</v>
      </c>
      <c r="F361" s="11">
        <v>46223</v>
      </c>
      <c r="G361" t="s">
        <v>95</v>
      </c>
    </row>
    <row r="362" spans="1:7" hidden="1" x14ac:dyDescent="0.25">
      <c r="A362" t="s">
        <v>66</v>
      </c>
      <c r="B362">
        <v>1</v>
      </c>
      <c r="C362" t="s">
        <v>52</v>
      </c>
      <c r="D362" t="s">
        <v>50</v>
      </c>
      <c r="E362">
        <v>7.6</v>
      </c>
      <c r="F362" s="11">
        <v>46224</v>
      </c>
      <c r="G362" t="s">
        <v>95</v>
      </c>
    </row>
    <row r="363" spans="1:7" hidden="1" x14ac:dyDescent="0.25">
      <c r="A363" t="s">
        <v>66</v>
      </c>
      <c r="B363">
        <v>1</v>
      </c>
      <c r="C363" t="s">
        <v>53</v>
      </c>
      <c r="D363" t="s">
        <v>50</v>
      </c>
      <c r="E363">
        <v>7.6</v>
      </c>
      <c r="F363" s="11">
        <v>46225</v>
      </c>
      <c r="G363" t="s">
        <v>95</v>
      </c>
    </row>
    <row r="364" spans="1:7" hidden="1" x14ac:dyDescent="0.25">
      <c r="A364" t="s">
        <v>66</v>
      </c>
      <c r="B364">
        <v>1</v>
      </c>
      <c r="C364" t="s">
        <v>54</v>
      </c>
      <c r="D364" t="s">
        <v>50</v>
      </c>
      <c r="E364">
        <v>7.6</v>
      </c>
      <c r="F364" s="11">
        <v>46226</v>
      </c>
      <c r="G364" t="s">
        <v>95</v>
      </c>
    </row>
    <row r="365" spans="1:7" hidden="1" x14ac:dyDescent="0.25">
      <c r="A365" t="s">
        <v>66</v>
      </c>
      <c r="B365">
        <v>1</v>
      </c>
      <c r="C365" t="s">
        <v>55</v>
      </c>
      <c r="D365" t="s">
        <v>50</v>
      </c>
      <c r="E365">
        <v>7.6</v>
      </c>
      <c r="F365" s="11">
        <v>46227</v>
      </c>
      <c r="G365" t="s">
        <v>95</v>
      </c>
    </row>
    <row r="366" spans="1:7" hidden="1" x14ac:dyDescent="0.25">
      <c r="A366" t="s">
        <v>66</v>
      </c>
      <c r="B366">
        <v>1</v>
      </c>
      <c r="C366" t="s">
        <v>56</v>
      </c>
      <c r="D366" t="s">
        <v>50</v>
      </c>
      <c r="E366">
        <v>7.6</v>
      </c>
      <c r="F366" s="11">
        <v>46228</v>
      </c>
      <c r="G366" t="s">
        <v>95</v>
      </c>
    </row>
    <row r="367" spans="1:7" hidden="1" x14ac:dyDescent="0.25">
      <c r="A367" t="s">
        <v>66</v>
      </c>
      <c r="B367">
        <v>1</v>
      </c>
      <c r="C367" t="s">
        <v>57</v>
      </c>
      <c r="D367" t="s">
        <v>50</v>
      </c>
      <c r="E367">
        <v>7.6</v>
      </c>
      <c r="F367" s="11">
        <v>46229</v>
      </c>
      <c r="G367" t="s">
        <v>95</v>
      </c>
    </row>
    <row r="368" spans="1:7" hidden="1" x14ac:dyDescent="0.25">
      <c r="A368" t="s">
        <v>66</v>
      </c>
      <c r="B368">
        <v>2</v>
      </c>
      <c r="C368" t="s">
        <v>48</v>
      </c>
      <c r="D368" t="s">
        <v>50</v>
      </c>
      <c r="E368">
        <v>7.6</v>
      </c>
      <c r="F368" s="11">
        <v>46230</v>
      </c>
      <c r="G368" t="s">
        <v>95</v>
      </c>
    </row>
    <row r="369" spans="1:7" hidden="1" x14ac:dyDescent="0.25">
      <c r="A369" t="s">
        <v>66</v>
      </c>
      <c r="B369">
        <v>2</v>
      </c>
      <c r="C369" t="s">
        <v>52</v>
      </c>
      <c r="D369" t="s">
        <v>50</v>
      </c>
      <c r="E369">
        <v>7.6</v>
      </c>
      <c r="F369" s="11">
        <v>46231</v>
      </c>
      <c r="G369" t="s">
        <v>95</v>
      </c>
    </row>
    <row r="370" spans="1:7" hidden="1" x14ac:dyDescent="0.25">
      <c r="A370" t="s">
        <v>66</v>
      </c>
      <c r="B370">
        <v>2</v>
      </c>
      <c r="C370" t="s">
        <v>53</v>
      </c>
      <c r="D370" t="s">
        <v>50</v>
      </c>
      <c r="E370">
        <v>7.6</v>
      </c>
      <c r="F370" s="11">
        <v>46232</v>
      </c>
      <c r="G370" t="s">
        <v>95</v>
      </c>
    </row>
    <row r="371" spans="1:7" hidden="1" x14ac:dyDescent="0.25">
      <c r="A371" t="s">
        <v>66</v>
      </c>
      <c r="B371">
        <v>2</v>
      </c>
      <c r="C371" t="s">
        <v>54</v>
      </c>
      <c r="D371" t="s">
        <v>50</v>
      </c>
      <c r="E371">
        <v>7.6</v>
      </c>
      <c r="F371" s="11">
        <v>46233</v>
      </c>
      <c r="G371" t="s">
        <v>95</v>
      </c>
    </row>
    <row r="372" spans="1:7" hidden="1" x14ac:dyDescent="0.25">
      <c r="A372" t="s">
        <v>66</v>
      </c>
      <c r="B372">
        <v>2</v>
      </c>
      <c r="C372" t="s">
        <v>55</v>
      </c>
      <c r="D372" t="s">
        <v>50</v>
      </c>
      <c r="E372">
        <v>7.6</v>
      </c>
      <c r="F372" s="11">
        <v>46234</v>
      </c>
      <c r="G372" t="s">
        <v>95</v>
      </c>
    </row>
    <row r="373" spans="1:7" hidden="1" x14ac:dyDescent="0.25">
      <c r="A373" t="s">
        <v>66</v>
      </c>
      <c r="B373">
        <v>2</v>
      </c>
      <c r="C373" t="s">
        <v>56</v>
      </c>
      <c r="D373" t="s">
        <v>50</v>
      </c>
      <c r="E373">
        <v>7.6</v>
      </c>
      <c r="F373" s="11">
        <v>46235</v>
      </c>
      <c r="G373" t="s">
        <v>95</v>
      </c>
    </row>
    <row r="374" spans="1:7" hidden="1" x14ac:dyDescent="0.25">
      <c r="A374" t="s">
        <v>66</v>
      </c>
      <c r="B374">
        <v>1</v>
      </c>
      <c r="C374" t="s">
        <v>52</v>
      </c>
      <c r="D374" t="s">
        <v>51</v>
      </c>
      <c r="E374">
        <v>7.6</v>
      </c>
      <c r="F374" s="11">
        <v>46224</v>
      </c>
      <c r="G374" t="s">
        <v>96</v>
      </c>
    </row>
    <row r="375" spans="1:7" hidden="1" x14ac:dyDescent="0.25">
      <c r="A375" t="s">
        <v>66</v>
      </c>
      <c r="B375">
        <v>1</v>
      </c>
      <c r="C375" t="s">
        <v>53</v>
      </c>
      <c r="D375" t="s">
        <v>51</v>
      </c>
      <c r="E375">
        <v>7.6</v>
      </c>
      <c r="F375" s="11">
        <v>46225</v>
      </c>
      <c r="G375" t="s">
        <v>96</v>
      </c>
    </row>
    <row r="376" spans="1:7" hidden="1" x14ac:dyDescent="0.25">
      <c r="A376" t="s">
        <v>66</v>
      </c>
      <c r="B376">
        <v>2</v>
      </c>
      <c r="C376" t="s">
        <v>52</v>
      </c>
      <c r="D376" t="s">
        <v>51</v>
      </c>
      <c r="E376">
        <v>7.6</v>
      </c>
      <c r="F376" s="11">
        <v>46231</v>
      </c>
      <c r="G376" t="s">
        <v>96</v>
      </c>
    </row>
    <row r="377" spans="1:7" hidden="1" x14ac:dyDescent="0.25">
      <c r="A377" t="s">
        <v>66</v>
      </c>
      <c r="B377">
        <v>2</v>
      </c>
      <c r="C377" t="s">
        <v>53</v>
      </c>
      <c r="D377" t="s">
        <v>51</v>
      </c>
      <c r="E377">
        <v>7.6</v>
      </c>
      <c r="F377" s="11">
        <v>46232</v>
      </c>
      <c r="G377" t="s">
        <v>96</v>
      </c>
    </row>
    <row r="378" spans="1:7" hidden="1" x14ac:dyDescent="0.25">
      <c r="A378" t="s">
        <v>66</v>
      </c>
      <c r="B378">
        <v>1</v>
      </c>
      <c r="C378" t="s">
        <v>48</v>
      </c>
      <c r="D378" t="s">
        <v>49</v>
      </c>
      <c r="E378">
        <v>7.6</v>
      </c>
      <c r="F378" s="11">
        <v>46223</v>
      </c>
      <c r="G378" t="s">
        <v>97</v>
      </c>
    </row>
    <row r="379" spans="1:7" hidden="1" x14ac:dyDescent="0.25">
      <c r="A379" t="s">
        <v>66</v>
      </c>
      <c r="B379">
        <v>1</v>
      </c>
      <c r="C379" t="s">
        <v>53</v>
      </c>
      <c r="D379" t="s">
        <v>49</v>
      </c>
      <c r="E379">
        <v>7.6</v>
      </c>
      <c r="F379" s="11">
        <v>46225</v>
      </c>
      <c r="G379" t="s">
        <v>97</v>
      </c>
    </row>
    <row r="380" spans="1:7" hidden="1" x14ac:dyDescent="0.25">
      <c r="A380" t="s">
        <v>66</v>
      </c>
      <c r="B380">
        <v>1</v>
      </c>
      <c r="C380" t="s">
        <v>53</v>
      </c>
      <c r="D380" t="s">
        <v>51</v>
      </c>
      <c r="E380">
        <v>7.6</v>
      </c>
      <c r="F380" s="11">
        <v>46225</v>
      </c>
      <c r="G380" t="s">
        <v>97</v>
      </c>
    </row>
    <row r="381" spans="1:7" hidden="1" x14ac:dyDescent="0.25">
      <c r="A381" t="s">
        <v>66</v>
      </c>
      <c r="B381">
        <v>1</v>
      </c>
      <c r="C381" t="s">
        <v>54</v>
      </c>
      <c r="D381" t="s">
        <v>51</v>
      </c>
      <c r="E381">
        <v>7.6</v>
      </c>
      <c r="F381" s="11">
        <v>46226</v>
      </c>
      <c r="G381" t="s">
        <v>97</v>
      </c>
    </row>
    <row r="382" spans="1:7" hidden="1" x14ac:dyDescent="0.25">
      <c r="A382" t="s">
        <v>66</v>
      </c>
      <c r="B382">
        <v>1</v>
      </c>
      <c r="C382" t="s">
        <v>55</v>
      </c>
      <c r="D382" t="s">
        <v>49</v>
      </c>
      <c r="E382">
        <v>7.6</v>
      </c>
      <c r="F382" s="11">
        <v>46227</v>
      </c>
      <c r="G382" t="s">
        <v>97</v>
      </c>
    </row>
    <row r="383" spans="1:7" hidden="1" x14ac:dyDescent="0.25">
      <c r="A383" t="s">
        <v>66</v>
      </c>
      <c r="B383">
        <v>1</v>
      </c>
      <c r="C383" t="s">
        <v>55</v>
      </c>
      <c r="D383" t="s">
        <v>50</v>
      </c>
      <c r="E383">
        <v>7.6</v>
      </c>
      <c r="F383" s="11">
        <v>46227</v>
      </c>
      <c r="G383" t="s">
        <v>97</v>
      </c>
    </row>
    <row r="384" spans="1:7" hidden="1" x14ac:dyDescent="0.25">
      <c r="A384" t="s">
        <v>66</v>
      </c>
      <c r="B384">
        <v>1</v>
      </c>
      <c r="C384" t="s">
        <v>56</v>
      </c>
      <c r="D384" t="s">
        <v>51</v>
      </c>
      <c r="E384">
        <v>7.6</v>
      </c>
      <c r="F384" s="11">
        <v>46228</v>
      </c>
      <c r="G384" t="s">
        <v>97</v>
      </c>
    </row>
    <row r="385" spans="1:7" hidden="1" x14ac:dyDescent="0.25">
      <c r="A385" t="s">
        <v>66</v>
      </c>
      <c r="B385">
        <v>1</v>
      </c>
      <c r="C385" t="s">
        <v>56</v>
      </c>
      <c r="D385" t="s">
        <v>50</v>
      </c>
      <c r="E385">
        <v>7.6</v>
      </c>
      <c r="F385" s="11">
        <v>46228</v>
      </c>
      <c r="G385" t="s">
        <v>97</v>
      </c>
    </row>
    <row r="386" spans="1:7" hidden="1" x14ac:dyDescent="0.25">
      <c r="A386" t="s">
        <v>66</v>
      </c>
      <c r="B386">
        <v>1</v>
      </c>
      <c r="C386" t="s">
        <v>57</v>
      </c>
      <c r="D386" t="s">
        <v>49</v>
      </c>
      <c r="E386">
        <v>7.6</v>
      </c>
      <c r="F386" s="11">
        <v>46229</v>
      </c>
      <c r="G386" t="s">
        <v>97</v>
      </c>
    </row>
    <row r="387" spans="1:7" hidden="1" x14ac:dyDescent="0.25">
      <c r="A387" t="s">
        <v>66</v>
      </c>
      <c r="B387">
        <v>1</v>
      </c>
      <c r="C387" t="s">
        <v>57</v>
      </c>
      <c r="D387" t="s">
        <v>51</v>
      </c>
      <c r="E387">
        <v>7.6</v>
      </c>
      <c r="F387" s="11">
        <v>46229</v>
      </c>
      <c r="G387" t="s">
        <v>97</v>
      </c>
    </row>
    <row r="388" spans="1:7" hidden="1" x14ac:dyDescent="0.25">
      <c r="A388" t="s">
        <v>66</v>
      </c>
      <c r="B388">
        <v>2</v>
      </c>
      <c r="C388" t="s">
        <v>48</v>
      </c>
      <c r="D388" t="s">
        <v>49</v>
      </c>
      <c r="E388">
        <v>7.6</v>
      </c>
      <c r="F388" s="11">
        <v>46230</v>
      </c>
      <c r="G388" t="s">
        <v>97</v>
      </c>
    </row>
    <row r="389" spans="1:7" hidden="1" x14ac:dyDescent="0.25">
      <c r="A389" t="s">
        <v>66</v>
      </c>
      <c r="B389">
        <v>2</v>
      </c>
      <c r="C389" t="s">
        <v>53</v>
      </c>
      <c r="D389" t="s">
        <v>49</v>
      </c>
      <c r="E389">
        <v>7.6</v>
      </c>
      <c r="F389" s="11">
        <v>46232</v>
      </c>
      <c r="G389" t="s">
        <v>97</v>
      </c>
    </row>
    <row r="390" spans="1:7" hidden="1" x14ac:dyDescent="0.25">
      <c r="A390" t="s">
        <v>66</v>
      </c>
      <c r="B390">
        <v>2</v>
      </c>
      <c r="C390" t="s">
        <v>53</v>
      </c>
      <c r="D390" t="s">
        <v>51</v>
      </c>
      <c r="E390">
        <v>7.6</v>
      </c>
      <c r="F390" s="11">
        <v>46232</v>
      </c>
      <c r="G390" t="s">
        <v>97</v>
      </c>
    </row>
    <row r="391" spans="1:7" hidden="1" x14ac:dyDescent="0.25">
      <c r="A391" t="s">
        <v>66</v>
      </c>
      <c r="B391">
        <v>2</v>
      </c>
      <c r="C391" t="s">
        <v>54</v>
      </c>
      <c r="D391" t="s">
        <v>51</v>
      </c>
      <c r="E391">
        <v>7.6</v>
      </c>
      <c r="F391" s="11">
        <v>46233</v>
      </c>
      <c r="G391" t="s">
        <v>97</v>
      </c>
    </row>
    <row r="392" spans="1:7" hidden="1" x14ac:dyDescent="0.25">
      <c r="A392" t="s">
        <v>66</v>
      </c>
      <c r="B392">
        <v>2</v>
      </c>
      <c r="C392" t="s">
        <v>55</v>
      </c>
      <c r="D392" t="s">
        <v>49</v>
      </c>
      <c r="E392">
        <v>7.6</v>
      </c>
      <c r="F392" s="11">
        <v>46234</v>
      </c>
      <c r="G392" t="s">
        <v>97</v>
      </c>
    </row>
    <row r="393" spans="1:7" hidden="1" x14ac:dyDescent="0.25">
      <c r="A393" t="s">
        <v>66</v>
      </c>
      <c r="B393">
        <v>2</v>
      </c>
      <c r="C393" t="s">
        <v>55</v>
      </c>
      <c r="D393" t="s">
        <v>50</v>
      </c>
      <c r="E393">
        <v>7.6</v>
      </c>
      <c r="F393" s="11">
        <v>46234</v>
      </c>
      <c r="G393" t="s">
        <v>97</v>
      </c>
    </row>
    <row r="394" spans="1:7" hidden="1" x14ac:dyDescent="0.25">
      <c r="A394" t="s">
        <v>66</v>
      </c>
      <c r="B394">
        <v>2</v>
      </c>
      <c r="C394" t="s">
        <v>56</v>
      </c>
      <c r="D394" t="s">
        <v>51</v>
      </c>
      <c r="E394">
        <v>7.6</v>
      </c>
      <c r="F394" s="11">
        <v>46235</v>
      </c>
      <c r="G394" t="s">
        <v>97</v>
      </c>
    </row>
    <row r="395" spans="1:7" hidden="1" x14ac:dyDescent="0.25">
      <c r="A395" t="s">
        <v>66</v>
      </c>
      <c r="B395">
        <v>2</v>
      </c>
      <c r="C395" t="s">
        <v>56</v>
      </c>
      <c r="D395" t="s">
        <v>50</v>
      </c>
      <c r="E395">
        <v>7.6</v>
      </c>
      <c r="F395" s="11">
        <v>46235</v>
      </c>
      <c r="G395" t="s">
        <v>97</v>
      </c>
    </row>
    <row r="396" spans="1:7" hidden="1" x14ac:dyDescent="0.25">
      <c r="A396" t="s">
        <v>66</v>
      </c>
      <c r="B396">
        <v>2</v>
      </c>
      <c r="C396" t="s">
        <v>57</v>
      </c>
      <c r="D396" t="s">
        <v>49</v>
      </c>
      <c r="E396">
        <v>7.6</v>
      </c>
      <c r="F396" s="11">
        <v>46236</v>
      </c>
      <c r="G396" t="s">
        <v>97</v>
      </c>
    </row>
    <row r="397" spans="1:7" hidden="1" x14ac:dyDescent="0.25">
      <c r="A397" t="s">
        <v>66</v>
      </c>
      <c r="B397">
        <v>2</v>
      </c>
      <c r="C397" t="s">
        <v>57</v>
      </c>
      <c r="D397" t="s">
        <v>51</v>
      </c>
      <c r="E397">
        <v>7.6</v>
      </c>
      <c r="F397" s="11">
        <v>46236</v>
      </c>
      <c r="G397" t="s">
        <v>97</v>
      </c>
    </row>
    <row r="398" spans="1:7" hidden="1" x14ac:dyDescent="0.25">
      <c r="A398" t="s">
        <v>66</v>
      </c>
      <c r="B398">
        <v>1</v>
      </c>
      <c r="C398" t="s">
        <v>48</v>
      </c>
      <c r="D398" t="s">
        <v>49</v>
      </c>
      <c r="E398">
        <v>7.6</v>
      </c>
      <c r="F398" s="11">
        <v>46223</v>
      </c>
      <c r="G398" t="s">
        <v>176</v>
      </c>
    </row>
    <row r="399" spans="1:7" hidden="1" x14ac:dyDescent="0.25">
      <c r="A399" t="s">
        <v>66</v>
      </c>
      <c r="B399">
        <v>1</v>
      </c>
      <c r="C399" t="s">
        <v>48</v>
      </c>
      <c r="D399" t="s">
        <v>51</v>
      </c>
      <c r="E399">
        <v>7.6</v>
      </c>
      <c r="F399" s="11">
        <v>46223</v>
      </c>
      <c r="G399" t="s">
        <v>176</v>
      </c>
    </row>
    <row r="400" spans="1:7" hidden="1" x14ac:dyDescent="0.25">
      <c r="A400" t="s">
        <v>66</v>
      </c>
      <c r="B400">
        <v>1</v>
      </c>
      <c r="C400" t="s">
        <v>48</v>
      </c>
      <c r="D400" t="s">
        <v>50</v>
      </c>
      <c r="E400">
        <v>7.6</v>
      </c>
      <c r="F400" s="11">
        <v>46223</v>
      </c>
      <c r="G400" t="s">
        <v>176</v>
      </c>
    </row>
    <row r="401" spans="1:7" hidden="1" x14ac:dyDescent="0.25">
      <c r="A401" t="s">
        <v>66</v>
      </c>
      <c r="B401">
        <v>1</v>
      </c>
      <c r="C401" t="s">
        <v>52</v>
      </c>
      <c r="D401" t="s">
        <v>49</v>
      </c>
      <c r="E401">
        <v>7.6</v>
      </c>
      <c r="F401" s="11">
        <v>46224</v>
      </c>
      <c r="G401" t="s">
        <v>176</v>
      </c>
    </row>
    <row r="402" spans="1:7" hidden="1" x14ac:dyDescent="0.25">
      <c r="A402" t="s">
        <v>66</v>
      </c>
      <c r="B402">
        <v>1</v>
      </c>
      <c r="C402" t="s">
        <v>52</v>
      </c>
      <c r="D402" t="s">
        <v>51</v>
      </c>
      <c r="E402">
        <v>7.6</v>
      </c>
      <c r="F402" s="11">
        <v>46224</v>
      </c>
      <c r="G402" t="s">
        <v>176</v>
      </c>
    </row>
    <row r="403" spans="1:7" hidden="1" x14ac:dyDescent="0.25">
      <c r="A403" t="s">
        <v>66</v>
      </c>
      <c r="B403">
        <v>1</v>
      </c>
      <c r="C403" t="s">
        <v>52</v>
      </c>
      <c r="D403" t="s">
        <v>50</v>
      </c>
      <c r="E403">
        <v>7.6</v>
      </c>
      <c r="F403" s="11">
        <v>46224</v>
      </c>
      <c r="G403" t="s">
        <v>176</v>
      </c>
    </row>
    <row r="404" spans="1:7" hidden="1" x14ac:dyDescent="0.25">
      <c r="A404" t="s">
        <v>66</v>
      </c>
      <c r="B404">
        <v>1</v>
      </c>
      <c r="C404" t="s">
        <v>53</v>
      </c>
      <c r="D404" t="s">
        <v>49</v>
      </c>
      <c r="E404">
        <v>7.6</v>
      </c>
      <c r="F404" s="11">
        <v>46225</v>
      </c>
      <c r="G404" t="s">
        <v>176</v>
      </c>
    </row>
    <row r="405" spans="1:7" hidden="1" x14ac:dyDescent="0.25">
      <c r="A405" t="s">
        <v>66</v>
      </c>
      <c r="B405">
        <v>1</v>
      </c>
      <c r="C405" t="s">
        <v>53</v>
      </c>
      <c r="D405" t="s">
        <v>51</v>
      </c>
      <c r="E405">
        <v>7.6</v>
      </c>
      <c r="F405" s="11">
        <v>46225</v>
      </c>
      <c r="G405" t="s">
        <v>176</v>
      </c>
    </row>
    <row r="406" spans="1:7" hidden="1" x14ac:dyDescent="0.25">
      <c r="A406" t="s">
        <v>66</v>
      </c>
      <c r="B406">
        <v>1</v>
      </c>
      <c r="C406" t="s">
        <v>53</v>
      </c>
      <c r="D406" t="s">
        <v>50</v>
      </c>
      <c r="E406">
        <v>7.6</v>
      </c>
      <c r="F406" s="11">
        <v>46225</v>
      </c>
      <c r="G406" t="s">
        <v>176</v>
      </c>
    </row>
    <row r="407" spans="1:7" hidden="1" x14ac:dyDescent="0.25">
      <c r="A407" t="s">
        <v>66</v>
      </c>
      <c r="B407">
        <v>1</v>
      </c>
      <c r="C407" t="s">
        <v>54</v>
      </c>
      <c r="D407" t="s">
        <v>49</v>
      </c>
      <c r="E407">
        <v>7.6</v>
      </c>
      <c r="F407" s="11">
        <v>46226</v>
      </c>
      <c r="G407" t="s">
        <v>176</v>
      </c>
    </row>
    <row r="408" spans="1:7" hidden="1" x14ac:dyDescent="0.25">
      <c r="A408" t="s">
        <v>66</v>
      </c>
      <c r="B408">
        <v>1</v>
      </c>
      <c r="C408" t="s">
        <v>54</v>
      </c>
      <c r="D408" t="s">
        <v>51</v>
      </c>
      <c r="E408">
        <v>7.6</v>
      </c>
      <c r="F408" s="11">
        <v>46226</v>
      </c>
      <c r="G408" t="s">
        <v>176</v>
      </c>
    </row>
    <row r="409" spans="1:7" hidden="1" x14ac:dyDescent="0.25">
      <c r="A409" t="s">
        <v>66</v>
      </c>
      <c r="B409">
        <v>1</v>
      </c>
      <c r="C409" t="s">
        <v>54</v>
      </c>
      <c r="D409" t="s">
        <v>50</v>
      </c>
      <c r="E409">
        <v>7.6</v>
      </c>
      <c r="F409" s="11">
        <v>46226</v>
      </c>
      <c r="G409" t="s">
        <v>176</v>
      </c>
    </row>
    <row r="410" spans="1:7" hidden="1" x14ac:dyDescent="0.25">
      <c r="A410" t="s">
        <v>66</v>
      </c>
      <c r="B410">
        <v>1</v>
      </c>
      <c r="C410" t="s">
        <v>55</v>
      </c>
      <c r="D410" t="s">
        <v>49</v>
      </c>
      <c r="E410">
        <v>7.6</v>
      </c>
      <c r="F410" s="11">
        <v>46227</v>
      </c>
      <c r="G410" t="s">
        <v>176</v>
      </c>
    </row>
    <row r="411" spans="1:7" hidden="1" x14ac:dyDescent="0.25">
      <c r="A411" t="s">
        <v>66</v>
      </c>
      <c r="B411">
        <v>1</v>
      </c>
      <c r="C411" t="s">
        <v>55</v>
      </c>
      <c r="D411" t="s">
        <v>51</v>
      </c>
      <c r="E411">
        <v>7.6</v>
      </c>
      <c r="F411" s="11">
        <v>46227</v>
      </c>
      <c r="G411" t="s">
        <v>176</v>
      </c>
    </row>
    <row r="412" spans="1:7" hidden="1" x14ac:dyDescent="0.25">
      <c r="A412" t="s">
        <v>66</v>
      </c>
      <c r="B412">
        <v>1</v>
      </c>
      <c r="C412" t="s">
        <v>55</v>
      </c>
      <c r="D412" t="s">
        <v>50</v>
      </c>
      <c r="E412">
        <v>7.6</v>
      </c>
      <c r="F412" s="11">
        <v>46227</v>
      </c>
      <c r="G412" t="s">
        <v>176</v>
      </c>
    </row>
    <row r="413" spans="1:7" hidden="1" x14ac:dyDescent="0.25">
      <c r="A413" t="s">
        <v>66</v>
      </c>
      <c r="B413">
        <v>1</v>
      </c>
      <c r="C413" t="s">
        <v>56</v>
      </c>
      <c r="D413" t="s">
        <v>49</v>
      </c>
      <c r="E413">
        <v>7.6</v>
      </c>
      <c r="F413" s="11">
        <v>46228</v>
      </c>
      <c r="G413" t="s">
        <v>176</v>
      </c>
    </row>
    <row r="414" spans="1:7" hidden="1" x14ac:dyDescent="0.25">
      <c r="A414" t="s">
        <v>66</v>
      </c>
      <c r="B414">
        <v>1</v>
      </c>
      <c r="C414" t="s">
        <v>56</v>
      </c>
      <c r="D414" t="s">
        <v>51</v>
      </c>
      <c r="E414">
        <v>7.6</v>
      </c>
      <c r="F414" s="11">
        <v>46228</v>
      </c>
      <c r="G414" t="s">
        <v>176</v>
      </c>
    </row>
    <row r="415" spans="1:7" hidden="1" x14ac:dyDescent="0.25">
      <c r="A415" t="s">
        <v>66</v>
      </c>
      <c r="B415">
        <v>1</v>
      </c>
      <c r="C415" t="s">
        <v>56</v>
      </c>
      <c r="D415" t="s">
        <v>50</v>
      </c>
      <c r="E415">
        <v>7.6</v>
      </c>
      <c r="F415" s="11">
        <v>46228</v>
      </c>
      <c r="G415" t="s">
        <v>176</v>
      </c>
    </row>
    <row r="416" spans="1:7" hidden="1" x14ac:dyDescent="0.25">
      <c r="A416" t="s">
        <v>66</v>
      </c>
      <c r="B416">
        <v>1</v>
      </c>
      <c r="C416" t="s">
        <v>57</v>
      </c>
      <c r="D416" t="s">
        <v>49</v>
      </c>
      <c r="E416">
        <v>7.6</v>
      </c>
      <c r="F416" s="11">
        <v>46229</v>
      </c>
      <c r="G416" t="s">
        <v>176</v>
      </c>
    </row>
    <row r="417" spans="1:7" hidden="1" x14ac:dyDescent="0.25">
      <c r="A417" t="s">
        <v>66</v>
      </c>
      <c r="B417">
        <v>1</v>
      </c>
      <c r="C417" t="s">
        <v>57</v>
      </c>
      <c r="D417" t="s">
        <v>51</v>
      </c>
      <c r="E417">
        <v>7.6</v>
      </c>
      <c r="F417" s="11">
        <v>46229</v>
      </c>
      <c r="G417" t="s">
        <v>176</v>
      </c>
    </row>
    <row r="418" spans="1:7" hidden="1" x14ac:dyDescent="0.25">
      <c r="A418" t="s">
        <v>66</v>
      </c>
      <c r="B418">
        <v>1</v>
      </c>
      <c r="C418" t="s">
        <v>57</v>
      </c>
      <c r="D418" t="s">
        <v>50</v>
      </c>
      <c r="E418">
        <v>7.6</v>
      </c>
      <c r="F418" s="11">
        <v>46229</v>
      </c>
      <c r="G418" t="s">
        <v>176</v>
      </c>
    </row>
    <row r="419" spans="1:7" hidden="1" x14ac:dyDescent="0.25">
      <c r="A419" t="s">
        <v>66</v>
      </c>
      <c r="B419">
        <v>2</v>
      </c>
      <c r="C419" t="s">
        <v>48</v>
      </c>
      <c r="D419" t="s">
        <v>49</v>
      </c>
      <c r="E419">
        <v>7.6</v>
      </c>
      <c r="F419" s="11">
        <v>46230</v>
      </c>
      <c r="G419" t="s">
        <v>176</v>
      </c>
    </row>
    <row r="420" spans="1:7" hidden="1" x14ac:dyDescent="0.25">
      <c r="A420" t="s">
        <v>66</v>
      </c>
      <c r="B420">
        <v>2</v>
      </c>
      <c r="C420" t="s">
        <v>48</v>
      </c>
      <c r="D420" t="s">
        <v>51</v>
      </c>
      <c r="E420">
        <v>7.6</v>
      </c>
      <c r="F420" s="11">
        <v>46230</v>
      </c>
      <c r="G420" t="s">
        <v>176</v>
      </c>
    </row>
    <row r="421" spans="1:7" hidden="1" x14ac:dyDescent="0.25">
      <c r="A421" t="s">
        <v>66</v>
      </c>
      <c r="B421">
        <v>2</v>
      </c>
      <c r="C421" t="s">
        <v>48</v>
      </c>
      <c r="D421" t="s">
        <v>50</v>
      </c>
      <c r="E421">
        <v>7.6</v>
      </c>
      <c r="F421" s="11">
        <v>46230</v>
      </c>
      <c r="G421" t="s">
        <v>176</v>
      </c>
    </row>
    <row r="422" spans="1:7" hidden="1" x14ac:dyDescent="0.25">
      <c r="A422" t="s">
        <v>66</v>
      </c>
      <c r="B422">
        <v>2</v>
      </c>
      <c r="C422" t="s">
        <v>52</v>
      </c>
      <c r="D422" t="s">
        <v>49</v>
      </c>
      <c r="E422">
        <v>7.6</v>
      </c>
      <c r="F422" s="11">
        <v>46231</v>
      </c>
      <c r="G422" t="s">
        <v>176</v>
      </c>
    </row>
    <row r="423" spans="1:7" hidden="1" x14ac:dyDescent="0.25">
      <c r="A423" t="s">
        <v>66</v>
      </c>
      <c r="B423">
        <v>2</v>
      </c>
      <c r="C423" t="s">
        <v>52</v>
      </c>
      <c r="D423" t="s">
        <v>51</v>
      </c>
      <c r="E423">
        <v>7.6</v>
      </c>
      <c r="F423" s="11">
        <v>46231</v>
      </c>
      <c r="G423" t="s">
        <v>176</v>
      </c>
    </row>
    <row r="424" spans="1:7" hidden="1" x14ac:dyDescent="0.25">
      <c r="A424" t="s">
        <v>66</v>
      </c>
      <c r="B424">
        <v>2</v>
      </c>
      <c r="C424" t="s">
        <v>52</v>
      </c>
      <c r="D424" t="s">
        <v>50</v>
      </c>
      <c r="E424">
        <v>7.6</v>
      </c>
      <c r="F424" s="11">
        <v>46231</v>
      </c>
      <c r="G424" t="s">
        <v>176</v>
      </c>
    </row>
    <row r="425" spans="1:7" hidden="1" x14ac:dyDescent="0.25">
      <c r="A425" t="s">
        <v>66</v>
      </c>
      <c r="B425">
        <v>2</v>
      </c>
      <c r="C425" t="s">
        <v>53</v>
      </c>
      <c r="D425" t="s">
        <v>49</v>
      </c>
      <c r="E425">
        <v>7.6</v>
      </c>
      <c r="F425" s="11">
        <v>46232</v>
      </c>
      <c r="G425" t="s">
        <v>176</v>
      </c>
    </row>
    <row r="426" spans="1:7" hidden="1" x14ac:dyDescent="0.25">
      <c r="A426" t="s">
        <v>66</v>
      </c>
      <c r="B426">
        <v>2</v>
      </c>
      <c r="C426" t="s">
        <v>53</v>
      </c>
      <c r="D426" t="s">
        <v>51</v>
      </c>
      <c r="E426">
        <v>7.6</v>
      </c>
      <c r="F426" s="11">
        <v>46232</v>
      </c>
      <c r="G426" t="s">
        <v>176</v>
      </c>
    </row>
    <row r="427" spans="1:7" hidden="1" x14ac:dyDescent="0.25">
      <c r="A427" t="s">
        <v>66</v>
      </c>
      <c r="B427">
        <v>2</v>
      </c>
      <c r="C427" t="s">
        <v>53</v>
      </c>
      <c r="D427" t="s">
        <v>50</v>
      </c>
      <c r="E427">
        <v>7.6</v>
      </c>
      <c r="F427" s="11">
        <v>46232</v>
      </c>
      <c r="G427" t="s">
        <v>176</v>
      </c>
    </row>
    <row r="428" spans="1:7" hidden="1" x14ac:dyDescent="0.25">
      <c r="A428" t="s">
        <v>66</v>
      </c>
      <c r="B428">
        <v>2</v>
      </c>
      <c r="C428" t="s">
        <v>54</v>
      </c>
      <c r="D428" t="s">
        <v>49</v>
      </c>
      <c r="E428">
        <v>7.6</v>
      </c>
      <c r="F428" s="11">
        <v>46233</v>
      </c>
      <c r="G428" t="s">
        <v>176</v>
      </c>
    </row>
    <row r="429" spans="1:7" hidden="1" x14ac:dyDescent="0.25">
      <c r="A429" t="s">
        <v>66</v>
      </c>
      <c r="B429">
        <v>2</v>
      </c>
      <c r="C429" t="s">
        <v>54</v>
      </c>
      <c r="D429" t="s">
        <v>51</v>
      </c>
      <c r="E429">
        <v>7.6</v>
      </c>
      <c r="F429" s="11">
        <v>46233</v>
      </c>
      <c r="G429" t="s">
        <v>176</v>
      </c>
    </row>
    <row r="430" spans="1:7" hidden="1" x14ac:dyDescent="0.25">
      <c r="A430" t="s">
        <v>66</v>
      </c>
      <c r="B430">
        <v>2</v>
      </c>
      <c r="C430" t="s">
        <v>54</v>
      </c>
      <c r="D430" t="s">
        <v>50</v>
      </c>
      <c r="E430">
        <v>7.6</v>
      </c>
      <c r="F430" s="11">
        <v>46233</v>
      </c>
      <c r="G430" t="s">
        <v>176</v>
      </c>
    </row>
    <row r="431" spans="1:7" hidden="1" x14ac:dyDescent="0.25">
      <c r="A431" t="s">
        <v>66</v>
      </c>
      <c r="B431">
        <v>2</v>
      </c>
      <c r="C431" t="s">
        <v>55</v>
      </c>
      <c r="D431" t="s">
        <v>49</v>
      </c>
      <c r="E431">
        <v>7.6</v>
      </c>
      <c r="F431" s="11">
        <v>46234</v>
      </c>
      <c r="G431" t="s">
        <v>176</v>
      </c>
    </row>
    <row r="432" spans="1:7" hidden="1" x14ac:dyDescent="0.25">
      <c r="A432" t="s">
        <v>66</v>
      </c>
      <c r="B432">
        <v>2</v>
      </c>
      <c r="C432" t="s">
        <v>55</v>
      </c>
      <c r="D432" t="s">
        <v>51</v>
      </c>
      <c r="E432">
        <v>7.6</v>
      </c>
      <c r="F432" s="11">
        <v>46234</v>
      </c>
      <c r="G432" t="s">
        <v>176</v>
      </c>
    </row>
    <row r="433" spans="1:7" hidden="1" x14ac:dyDescent="0.25">
      <c r="A433" t="s">
        <v>66</v>
      </c>
      <c r="B433">
        <v>2</v>
      </c>
      <c r="C433" t="s">
        <v>55</v>
      </c>
      <c r="D433" t="s">
        <v>50</v>
      </c>
      <c r="E433">
        <v>7.6</v>
      </c>
      <c r="F433" s="11">
        <v>46234</v>
      </c>
      <c r="G433" t="s">
        <v>176</v>
      </c>
    </row>
    <row r="434" spans="1:7" hidden="1" x14ac:dyDescent="0.25">
      <c r="A434" t="s">
        <v>66</v>
      </c>
      <c r="B434">
        <v>2</v>
      </c>
      <c r="C434" t="s">
        <v>56</v>
      </c>
      <c r="D434" t="s">
        <v>49</v>
      </c>
      <c r="E434">
        <v>7.6</v>
      </c>
      <c r="F434" s="11">
        <v>46235</v>
      </c>
      <c r="G434" t="s">
        <v>176</v>
      </c>
    </row>
    <row r="435" spans="1:7" hidden="1" x14ac:dyDescent="0.25">
      <c r="A435" t="s">
        <v>66</v>
      </c>
      <c r="B435">
        <v>2</v>
      </c>
      <c r="C435" t="s">
        <v>56</v>
      </c>
      <c r="D435" t="s">
        <v>51</v>
      </c>
      <c r="E435">
        <v>7.6</v>
      </c>
      <c r="F435" s="11">
        <v>46235</v>
      </c>
      <c r="G435" t="s">
        <v>176</v>
      </c>
    </row>
    <row r="436" spans="1:7" hidden="1" x14ac:dyDescent="0.25">
      <c r="A436" t="s">
        <v>66</v>
      </c>
      <c r="B436">
        <v>2</v>
      </c>
      <c r="C436" t="s">
        <v>56</v>
      </c>
      <c r="D436" t="s">
        <v>50</v>
      </c>
      <c r="E436">
        <v>7.6</v>
      </c>
      <c r="F436" s="11">
        <v>46235</v>
      </c>
      <c r="G436" t="s">
        <v>176</v>
      </c>
    </row>
    <row r="437" spans="1:7" hidden="1" x14ac:dyDescent="0.25">
      <c r="A437" t="s">
        <v>66</v>
      </c>
      <c r="B437">
        <v>2</v>
      </c>
      <c r="C437" t="s">
        <v>57</v>
      </c>
      <c r="D437" t="s">
        <v>49</v>
      </c>
      <c r="E437">
        <v>7.6</v>
      </c>
      <c r="F437" s="11">
        <v>46236</v>
      </c>
      <c r="G437" t="s">
        <v>176</v>
      </c>
    </row>
    <row r="438" spans="1:7" hidden="1" x14ac:dyDescent="0.25">
      <c r="A438" t="s">
        <v>66</v>
      </c>
      <c r="B438">
        <v>2</v>
      </c>
      <c r="C438" t="s">
        <v>57</v>
      </c>
      <c r="D438" t="s">
        <v>51</v>
      </c>
      <c r="E438">
        <v>7.6</v>
      </c>
      <c r="F438" s="11">
        <v>46236</v>
      </c>
      <c r="G438" t="s">
        <v>176</v>
      </c>
    </row>
    <row r="439" spans="1:7" hidden="1" x14ac:dyDescent="0.25">
      <c r="A439" t="s">
        <v>66</v>
      </c>
      <c r="B439">
        <v>2</v>
      </c>
      <c r="C439" t="s">
        <v>57</v>
      </c>
      <c r="D439" t="s">
        <v>50</v>
      </c>
      <c r="E439">
        <v>7.6</v>
      </c>
      <c r="F439" s="11">
        <v>46236</v>
      </c>
      <c r="G439" t="s">
        <v>176</v>
      </c>
    </row>
    <row r="440" spans="1:7" hidden="1" x14ac:dyDescent="0.25">
      <c r="A440" t="s">
        <v>66</v>
      </c>
      <c r="B440">
        <v>1</v>
      </c>
      <c r="C440" t="s">
        <v>48</v>
      </c>
      <c r="D440" t="s">
        <v>50</v>
      </c>
      <c r="E440">
        <v>7.6</v>
      </c>
      <c r="F440" s="11">
        <v>46223</v>
      </c>
      <c r="G440" t="s">
        <v>98</v>
      </c>
    </row>
    <row r="441" spans="1:7" hidden="1" x14ac:dyDescent="0.25">
      <c r="A441" t="s">
        <v>66</v>
      </c>
      <c r="B441">
        <v>1</v>
      </c>
      <c r="C441" t="s">
        <v>52</v>
      </c>
      <c r="D441" t="s">
        <v>50</v>
      </c>
      <c r="E441">
        <v>7.6</v>
      </c>
      <c r="F441" s="11">
        <v>46224</v>
      </c>
      <c r="G441" t="s">
        <v>98</v>
      </c>
    </row>
    <row r="442" spans="1:7" hidden="1" x14ac:dyDescent="0.25">
      <c r="A442" t="s">
        <v>66</v>
      </c>
      <c r="B442">
        <v>1</v>
      </c>
      <c r="C442" t="s">
        <v>55</v>
      </c>
      <c r="D442" t="s">
        <v>50</v>
      </c>
      <c r="E442">
        <v>7.6</v>
      </c>
      <c r="F442" s="11">
        <v>46227</v>
      </c>
      <c r="G442" t="s">
        <v>98</v>
      </c>
    </row>
    <row r="443" spans="1:7" hidden="1" x14ac:dyDescent="0.25">
      <c r="A443" t="s">
        <v>66</v>
      </c>
      <c r="B443">
        <v>1</v>
      </c>
      <c r="C443" t="s">
        <v>57</v>
      </c>
      <c r="D443" t="s">
        <v>51</v>
      </c>
      <c r="E443">
        <v>7.6</v>
      </c>
      <c r="F443" s="11">
        <v>46229</v>
      </c>
      <c r="G443" t="s">
        <v>98</v>
      </c>
    </row>
    <row r="444" spans="1:7" hidden="1" x14ac:dyDescent="0.25">
      <c r="A444" t="s">
        <v>66</v>
      </c>
      <c r="B444">
        <v>1</v>
      </c>
      <c r="C444" t="s">
        <v>57</v>
      </c>
      <c r="D444" t="s">
        <v>50</v>
      </c>
      <c r="E444">
        <v>7.6</v>
      </c>
      <c r="F444" s="11">
        <v>46229</v>
      </c>
      <c r="G444" t="s">
        <v>98</v>
      </c>
    </row>
    <row r="445" spans="1:7" hidden="1" x14ac:dyDescent="0.25">
      <c r="A445" t="s">
        <v>66</v>
      </c>
      <c r="B445">
        <v>1</v>
      </c>
      <c r="C445" t="s">
        <v>52</v>
      </c>
      <c r="D445" t="s">
        <v>51</v>
      </c>
      <c r="E445">
        <v>7.6</v>
      </c>
      <c r="F445" s="11">
        <v>46224</v>
      </c>
      <c r="G445" t="s">
        <v>99</v>
      </c>
    </row>
    <row r="446" spans="1:7" hidden="1" x14ac:dyDescent="0.25">
      <c r="A446" t="s">
        <v>66</v>
      </c>
      <c r="B446">
        <v>1</v>
      </c>
      <c r="C446" t="s">
        <v>53</v>
      </c>
      <c r="D446" t="s">
        <v>49</v>
      </c>
      <c r="E446">
        <v>7.6</v>
      </c>
      <c r="F446" s="11">
        <v>46225</v>
      </c>
      <c r="G446" t="s">
        <v>99</v>
      </c>
    </row>
    <row r="447" spans="1:7" hidden="1" x14ac:dyDescent="0.25">
      <c r="A447" t="s">
        <v>66</v>
      </c>
      <c r="B447">
        <v>1</v>
      </c>
      <c r="C447" t="s">
        <v>54</v>
      </c>
      <c r="D447" t="s">
        <v>49</v>
      </c>
      <c r="E447">
        <v>7.6</v>
      </c>
      <c r="F447" s="11">
        <v>46226</v>
      </c>
      <c r="G447" t="s">
        <v>99</v>
      </c>
    </row>
    <row r="448" spans="1:7" hidden="1" x14ac:dyDescent="0.25">
      <c r="A448" t="s">
        <v>66</v>
      </c>
      <c r="B448">
        <v>1</v>
      </c>
      <c r="C448" t="s">
        <v>56</v>
      </c>
      <c r="D448" t="s">
        <v>51</v>
      </c>
      <c r="E448">
        <v>7.6</v>
      </c>
      <c r="F448" s="11">
        <v>46228</v>
      </c>
      <c r="G448" t="s">
        <v>99</v>
      </c>
    </row>
    <row r="449" spans="1:7" hidden="1" x14ac:dyDescent="0.25">
      <c r="A449" t="s">
        <v>66</v>
      </c>
      <c r="B449">
        <v>1</v>
      </c>
      <c r="C449" t="s">
        <v>57</v>
      </c>
      <c r="D449" t="s">
        <v>51</v>
      </c>
      <c r="E449">
        <v>7.6</v>
      </c>
      <c r="F449" s="11">
        <v>46229</v>
      </c>
      <c r="G449" t="s">
        <v>99</v>
      </c>
    </row>
    <row r="450" spans="1:7" hidden="1" x14ac:dyDescent="0.25">
      <c r="A450" t="s">
        <v>66</v>
      </c>
      <c r="B450">
        <v>2</v>
      </c>
      <c r="C450" t="s">
        <v>52</v>
      </c>
      <c r="D450" t="s">
        <v>51</v>
      </c>
      <c r="E450">
        <v>7.6</v>
      </c>
      <c r="F450" s="11">
        <v>46231</v>
      </c>
      <c r="G450" t="s">
        <v>99</v>
      </c>
    </row>
    <row r="451" spans="1:7" hidden="1" x14ac:dyDescent="0.25">
      <c r="A451" t="s">
        <v>66</v>
      </c>
      <c r="B451">
        <v>2</v>
      </c>
      <c r="C451" t="s">
        <v>53</v>
      </c>
      <c r="D451" t="s">
        <v>49</v>
      </c>
      <c r="E451">
        <v>7.6</v>
      </c>
      <c r="F451" s="11">
        <v>46232</v>
      </c>
      <c r="G451" t="s">
        <v>99</v>
      </c>
    </row>
    <row r="452" spans="1:7" hidden="1" x14ac:dyDescent="0.25">
      <c r="A452" t="s">
        <v>66</v>
      </c>
      <c r="B452">
        <v>2</v>
      </c>
      <c r="C452" t="s">
        <v>54</v>
      </c>
      <c r="D452" t="s">
        <v>49</v>
      </c>
      <c r="E452">
        <v>7.6</v>
      </c>
      <c r="F452" s="11">
        <v>46233</v>
      </c>
      <c r="G452" t="s">
        <v>99</v>
      </c>
    </row>
    <row r="453" spans="1:7" hidden="1" x14ac:dyDescent="0.25">
      <c r="A453" t="s">
        <v>66</v>
      </c>
      <c r="B453">
        <v>2</v>
      </c>
      <c r="C453" t="s">
        <v>56</v>
      </c>
      <c r="D453" t="s">
        <v>51</v>
      </c>
      <c r="E453">
        <v>7.6</v>
      </c>
      <c r="F453" s="11">
        <v>46235</v>
      </c>
      <c r="G453" t="s">
        <v>99</v>
      </c>
    </row>
    <row r="454" spans="1:7" hidden="1" x14ac:dyDescent="0.25">
      <c r="A454" t="s">
        <v>66</v>
      </c>
      <c r="B454">
        <v>2</v>
      </c>
      <c r="C454" t="s">
        <v>57</v>
      </c>
      <c r="D454" t="s">
        <v>51</v>
      </c>
      <c r="E454">
        <v>7.6</v>
      </c>
      <c r="F454" s="11">
        <v>46236</v>
      </c>
      <c r="G454" t="s">
        <v>99</v>
      </c>
    </row>
    <row r="455" spans="1:7" hidden="1" x14ac:dyDescent="0.25">
      <c r="A455" t="s">
        <v>66</v>
      </c>
      <c r="B455">
        <v>1</v>
      </c>
      <c r="C455" t="s">
        <v>48</v>
      </c>
      <c r="D455" t="s">
        <v>51</v>
      </c>
      <c r="E455">
        <v>7.6</v>
      </c>
      <c r="F455" s="11">
        <v>46223</v>
      </c>
      <c r="G455" t="s">
        <v>100</v>
      </c>
    </row>
    <row r="456" spans="1:7" hidden="1" x14ac:dyDescent="0.25">
      <c r="A456" t="s">
        <v>66</v>
      </c>
      <c r="B456">
        <v>1</v>
      </c>
      <c r="C456" t="s">
        <v>55</v>
      </c>
      <c r="D456" t="s">
        <v>50</v>
      </c>
      <c r="E456">
        <v>7.6</v>
      </c>
      <c r="F456" s="11">
        <v>46227</v>
      </c>
      <c r="G456" t="s">
        <v>100</v>
      </c>
    </row>
    <row r="457" spans="1:7" hidden="1" x14ac:dyDescent="0.25">
      <c r="A457" t="s">
        <v>66</v>
      </c>
      <c r="B457">
        <v>1</v>
      </c>
      <c r="C457" t="s">
        <v>56</v>
      </c>
      <c r="D457" t="s">
        <v>51</v>
      </c>
      <c r="E457">
        <v>7.6</v>
      </c>
      <c r="F457" s="11">
        <v>46228</v>
      </c>
      <c r="G457" t="s">
        <v>100</v>
      </c>
    </row>
    <row r="458" spans="1:7" hidden="1" x14ac:dyDescent="0.25">
      <c r="A458" t="s">
        <v>66</v>
      </c>
      <c r="B458">
        <v>1</v>
      </c>
      <c r="C458" t="s">
        <v>57</v>
      </c>
      <c r="D458" t="s">
        <v>51</v>
      </c>
      <c r="E458">
        <v>7.6</v>
      </c>
      <c r="F458" s="11">
        <v>46229</v>
      </c>
      <c r="G458" t="s">
        <v>100</v>
      </c>
    </row>
    <row r="459" spans="1:7" hidden="1" x14ac:dyDescent="0.25">
      <c r="A459" t="s">
        <v>66</v>
      </c>
      <c r="B459">
        <v>2</v>
      </c>
      <c r="C459" t="s">
        <v>48</v>
      </c>
      <c r="D459" t="s">
        <v>51</v>
      </c>
      <c r="E459">
        <v>7.6</v>
      </c>
      <c r="F459" s="11">
        <v>46230</v>
      </c>
      <c r="G459" t="s">
        <v>100</v>
      </c>
    </row>
    <row r="460" spans="1:7" hidden="1" x14ac:dyDescent="0.25">
      <c r="A460" t="s">
        <v>66</v>
      </c>
      <c r="B460">
        <v>2</v>
      </c>
      <c r="C460" t="s">
        <v>55</v>
      </c>
      <c r="D460" t="s">
        <v>50</v>
      </c>
      <c r="E460">
        <v>7.6</v>
      </c>
      <c r="F460" s="11">
        <v>46234</v>
      </c>
      <c r="G460" t="s">
        <v>100</v>
      </c>
    </row>
    <row r="461" spans="1:7" hidden="1" x14ac:dyDescent="0.25">
      <c r="A461" t="s">
        <v>66</v>
      </c>
      <c r="B461">
        <v>2</v>
      </c>
      <c r="C461" t="s">
        <v>56</v>
      </c>
      <c r="D461" t="s">
        <v>51</v>
      </c>
      <c r="E461">
        <v>7.6</v>
      </c>
      <c r="F461" s="11">
        <v>46235</v>
      </c>
      <c r="G461" t="s">
        <v>100</v>
      </c>
    </row>
    <row r="462" spans="1:7" hidden="1" x14ac:dyDescent="0.25">
      <c r="A462" t="s">
        <v>66</v>
      </c>
      <c r="B462">
        <v>2</v>
      </c>
      <c r="C462" t="s">
        <v>57</v>
      </c>
      <c r="D462" t="s">
        <v>51</v>
      </c>
      <c r="E462">
        <v>7.6</v>
      </c>
      <c r="F462" s="11">
        <v>46236</v>
      </c>
      <c r="G462" t="s">
        <v>100</v>
      </c>
    </row>
    <row r="463" spans="1:7" hidden="1" x14ac:dyDescent="0.25">
      <c r="A463" t="s">
        <v>66</v>
      </c>
      <c r="B463">
        <v>1</v>
      </c>
      <c r="C463" t="s">
        <v>54</v>
      </c>
      <c r="D463" t="s">
        <v>50</v>
      </c>
      <c r="E463">
        <v>7.6</v>
      </c>
      <c r="F463" s="11">
        <v>46226</v>
      </c>
      <c r="G463" t="s">
        <v>102</v>
      </c>
    </row>
    <row r="464" spans="1:7" hidden="1" x14ac:dyDescent="0.25">
      <c r="A464" t="s">
        <v>66</v>
      </c>
      <c r="B464">
        <v>1</v>
      </c>
      <c r="C464" t="s">
        <v>55</v>
      </c>
      <c r="D464" t="s">
        <v>50</v>
      </c>
      <c r="E464">
        <v>7.6</v>
      </c>
      <c r="F464" s="11">
        <v>46227</v>
      </c>
      <c r="G464" t="s">
        <v>102</v>
      </c>
    </row>
    <row r="465" spans="1:7" hidden="1" x14ac:dyDescent="0.25">
      <c r="A465" t="s">
        <v>66</v>
      </c>
      <c r="B465">
        <v>1</v>
      </c>
      <c r="C465" t="s">
        <v>56</v>
      </c>
      <c r="D465" t="s">
        <v>50</v>
      </c>
      <c r="E465">
        <v>7.6</v>
      </c>
      <c r="F465" s="11">
        <v>46228</v>
      </c>
      <c r="G465" t="s">
        <v>102</v>
      </c>
    </row>
    <row r="466" spans="1:7" hidden="1" x14ac:dyDescent="0.25">
      <c r="A466" t="s">
        <v>66</v>
      </c>
      <c r="B466">
        <v>1</v>
      </c>
      <c r="C466" t="s">
        <v>57</v>
      </c>
      <c r="D466" t="s">
        <v>50</v>
      </c>
      <c r="E466">
        <v>7.6</v>
      </c>
      <c r="F466" s="11">
        <v>46229</v>
      </c>
      <c r="G466" t="s">
        <v>102</v>
      </c>
    </row>
    <row r="467" spans="1:7" hidden="1" x14ac:dyDescent="0.25">
      <c r="A467" t="s">
        <v>66</v>
      </c>
      <c r="B467">
        <v>2</v>
      </c>
      <c r="C467" t="s">
        <v>54</v>
      </c>
      <c r="D467" t="s">
        <v>50</v>
      </c>
      <c r="E467">
        <v>7.6</v>
      </c>
      <c r="F467" s="11">
        <v>46233</v>
      </c>
      <c r="G467" t="s">
        <v>102</v>
      </c>
    </row>
    <row r="468" spans="1:7" hidden="1" x14ac:dyDescent="0.25">
      <c r="A468" t="s">
        <v>66</v>
      </c>
      <c r="B468">
        <v>2</v>
      </c>
      <c r="C468" t="s">
        <v>55</v>
      </c>
      <c r="D468" t="s">
        <v>50</v>
      </c>
      <c r="E468">
        <v>7.6</v>
      </c>
      <c r="F468" s="11">
        <v>46234</v>
      </c>
      <c r="G468" t="s">
        <v>102</v>
      </c>
    </row>
    <row r="469" spans="1:7" hidden="1" x14ac:dyDescent="0.25">
      <c r="A469" t="s">
        <v>66</v>
      </c>
      <c r="B469">
        <v>2</v>
      </c>
      <c r="C469" t="s">
        <v>56</v>
      </c>
      <c r="D469" t="s">
        <v>50</v>
      </c>
      <c r="E469">
        <v>7.6</v>
      </c>
      <c r="F469" s="11">
        <v>46235</v>
      </c>
      <c r="G469" t="s">
        <v>102</v>
      </c>
    </row>
    <row r="470" spans="1:7" hidden="1" x14ac:dyDescent="0.25">
      <c r="A470" t="s">
        <v>66</v>
      </c>
      <c r="B470">
        <v>2</v>
      </c>
      <c r="C470" t="s">
        <v>57</v>
      </c>
      <c r="D470" t="s">
        <v>50</v>
      </c>
      <c r="E470">
        <v>7.6</v>
      </c>
      <c r="F470" s="11">
        <v>46236</v>
      </c>
      <c r="G470" t="s">
        <v>102</v>
      </c>
    </row>
    <row r="471" spans="1:7" hidden="1" x14ac:dyDescent="0.25">
      <c r="A471" t="s">
        <v>66</v>
      </c>
      <c r="B471">
        <v>1</v>
      </c>
      <c r="C471" t="s">
        <v>48</v>
      </c>
      <c r="D471" t="s">
        <v>50</v>
      </c>
      <c r="E471">
        <v>7.6</v>
      </c>
      <c r="F471" s="11">
        <v>46223</v>
      </c>
      <c r="G471" t="s">
        <v>103</v>
      </c>
    </row>
    <row r="472" spans="1:7" hidden="1" x14ac:dyDescent="0.25">
      <c r="A472" t="s">
        <v>66</v>
      </c>
      <c r="B472">
        <v>1</v>
      </c>
      <c r="C472" t="s">
        <v>52</v>
      </c>
      <c r="D472" t="s">
        <v>50</v>
      </c>
      <c r="E472">
        <v>7.6</v>
      </c>
      <c r="F472" s="11">
        <v>46224</v>
      </c>
      <c r="G472" t="s">
        <v>103</v>
      </c>
    </row>
    <row r="473" spans="1:7" hidden="1" x14ac:dyDescent="0.25">
      <c r="A473" t="s">
        <v>66</v>
      </c>
      <c r="B473">
        <v>1</v>
      </c>
      <c r="C473" t="s">
        <v>53</v>
      </c>
      <c r="D473" t="s">
        <v>50</v>
      </c>
      <c r="E473">
        <v>7.6</v>
      </c>
      <c r="F473" s="11">
        <v>46225</v>
      </c>
      <c r="G473" t="s">
        <v>103</v>
      </c>
    </row>
    <row r="474" spans="1:7" hidden="1" x14ac:dyDescent="0.25">
      <c r="A474" t="s">
        <v>66</v>
      </c>
      <c r="B474">
        <v>1</v>
      </c>
      <c r="C474" t="s">
        <v>54</v>
      </c>
      <c r="D474" t="s">
        <v>50</v>
      </c>
      <c r="E474">
        <v>7.6</v>
      </c>
      <c r="F474" s="11">
        <v>46226</v>
      </c>
      <c r="G474" t="s">
        <v>103</v>
      </c>
    </row>
    <row r="475" spans="1:7" hidden="1" x14ac:dyDescent="0.25">
      <c r="A475" t="s">
        <v>66</v>
      </c>
      <c r="B475">
        <v>1</v>
      </c>
      <c r="C475" t="s">
        <v>55</v>
      </c>
      <c r="D475" t="s">
        <v>50</v>
      </c>
      <c r="E475">
        <v>7.6</v>
      </c>
      <c r="F475" s="11">
        <v>46227</v>
      </c>
      <c r="G475" t="s">
        <v>103</v>
      </c>
    </row>
    <row r="476" spans="1:7" hidden="1" x14ac:dyDescent="0.25">
      <c r="A476" t="s">
        <v>66</v>
      </c>
      <c r="B476">
        <v>1</v>
      </c>
      <c r="C476" t="s">
        <v>56</v>
      </c>
      <c r="D476" t="s">
        <v>50</v>
      </c>
      <c r="E476">
        <v>7.6</v>
      </c>
      <c r="F476" s="11">
        <v>46228</v>
      </c>
      <c r="G476" t="s">
        <v>103</v>
      </c>
    </row>
    <row r="477" spans="1:7" hidden="1" x14ac:dyDescent="0.25">
      <c r="A477" t="s">
        <v>66</v>
      </c>
      <c r="B477">
        <v>1</v>
      </c>
      <c r="C477" t="s">
        <v>57</v>
      </c>
      <c r="D477" t="s">
        <v>50</v>
      </c>
      <c r="E477">
        <v>7.6</v>
      </c>
      <c r="F477" s="11">
        <v>46229</v>
      </c>
      <c r="G477" t="s">
        <v>103</v>
      </c>
    </row>
    <row r="478" spans="1:7" hidden="1" x14ac:dyDescent="0.25">
      <c r="A478" t="s">
        <v>66</v>
      </c>
      <c r="B478">
        <v>2</v>
      </c>
      <c r="C478" t="s">
        <v>48</v>
      </c>
      <c r="D478" t="s">
        <v>50</v>
      </c>
      <c r="E478">
        <v>7.6</v>
      </c>
      <c r="F478" s="11">
        <v>46230</v>
      </c>
      <c r="G478" t="s">
        <v>103</v>
      </c>
    </row>
    <row r="479" spans="1:7" hidden="1" x14ac:dyDescent="0.25">
      <c r="A479" t="s">
        <v>66</v>
      </c>
      <c r="B479">
        <v>2</v>
      </c>
      <c r="C479" t="s">
        <v>52</v>
      </c>
      <c r="D479" t="s">
        <v>50</v>
      </c>
      <c r="E479">
        <v>7.6</v>
      </c>
      <c r="F479" s="11">
        <v>46231</v>
      </c>
      <c r="G479" t="s">
        <v>103</v>
      </c>
    </row>
    <row r="480" spans="1:7" hidden="1" x14ac:dyDescent="0.25">
      <c r="A480" t="s">
        <v>66</v>
      </c>
      <c r="B480">
        <v>2</v>
      </c>
      <c r="C480" t="s">
        <v>53</v>
      </c>
      <c r="D480" t="s">
        <v>50</v>
      </c>
      <c r="E480">
        <v>7.6</v>
      </c>
      <c r="F480" s="11">
        <v>46232</v>
      </c>
      <c r="G480" t="s">
        <v>103</v>
      </c>
    </row>
    <row r="481" spans="1:7" hidden="1" x14ac:dyDescent="0.25">
      <c r="A481" t="s">
        <v>66</v>
      </c>
      <c r="B481">
        <v>2</v>
      </c>
      <c r="C481" t="s">
        <v>54</v>
      </c>
      <c r="D481" t="s">
        <v>50</v>
      </c>
      <c r="E481">
        <v>7.6</v>
      </c>
      <c r="F481" s="11">
        <v>46233</v>
      </c>
      <c r="G481" t="s">
        <v>103</v>
      </c>
    </row>
    <row r="482" spans="1:7" hidden="1" x14ac:dyDescent="0.25">
      <c r="A482" t="s">
        <v>66</v>
      </c>
      <c r="B482">
        <v>2</v>
      </c>
      <c r="C482" t="s">
        <v>55</v>
      </c>
      <c r="D482" t="s">
        <v>50</v>
      </c>
      <c r="E482">
        <v>7.6</v>
      </c>
      <c r="F482" s="11">
        <v>46234</v>
      </c>
      <c r="G482" t="s">
        <v>103</v>
      </c>
    </row>
    <row r="483" spans="1:7" hidden="1" x14ac:dyDescent="0.25">
      <c r="A483" t="s">
        <v>66</v>
      </c>
      <c r="B483">
        <v>2</v>
      </c>
      <c r="C483" t="s">
        <v>56</v>
      </c>
      <c r="D483" t="s">
        <v>50</v>
      </c>
      <c r="E483">
        <v>7.6</v>
      </c>
      <c r="F483" s="11">
        <v>46235</v>
      </c>
      <c r="G483" t="s">
        <v>103</v>
      </c>
    </row>
    <row r="484" spans="1:7" hidden="1" x14ac:dyDescent="0.25">
      <c r="A484" t="s">
        <v>66</v>
      </c>
      <c r="B484">
        <v>2</v>
      </c>
      <c r="C484" t="s">
        <v>57</v>
      </c>
      <c r="D484" t="s">
        <v>50</v>
      </c>
      <c r="E484">
        <v>7.6</v>
      </c>
      <c r="F484" s="11">
        <v>46236</v>
      </c>
      <c r="G484" t="s">
        <v>103</v>
      </c>
    </row>
    <row r="485" spans="1:7" hidden="1" x14ac:dyDescent="0.25">
      <c r="A485" t="s">
        <v>66</v>
      </c>
      <c r="B485">
        <v>1</v>
      </c>
      <c r="C485" t="s">
        <v>48</v>
      </c>
      <c r="D485" t="s">
        <v>51</v>
      </c>
      <c r="E485">
        <v>7.6</v>
      </c>
      <c r="F485" s="11">
        <v>46223</v>
      </c>
      <c r="G485" t="s">
        <v>104</v>
      </c>
    </row>
    <row r="486" spans="1:7" hidden="1" x14ac:dyDescent="0.25">
      <c r="A486" t="s">
        <v>66</v>
      </c>
      <c r="B486">
        <v>1</v>
      </c>
      <c r="C486" t="s">
        <v>54</v>
      </c>
      <c r="D486" t="s">
        <v>51</v>
      </c>
      <c r="E486">
        <v>7.6</v>
      </c>
      <c r="F486" s="11">
        <v>46226</v>
      </c>
      <c r="G486" t="s">
        <v>104</v>
      </c>
    </row>
    <row r="487" spans="1:7" hidden="1" x14ac:dyDescent="0.25">
      <c r="A487" t="s">
        <v>66</v>
      </c>
      <c r="B487">
        <v>1</v>
      </c>
      <c r="C487" t="s">
        <v>55</v>
      </c>
      <c r="D487" t="s">
        <v>51</v>
      </c>
      <c r="E487">
        <v>7.6</v>
      </c>
      <c r="F487" s="11">
        <v>46227</v>
      </c>
      <c r="G487" t="s">
        <v>104</v>
      </c>
    </row>
    <row r="488" spans="1:7" hidden="1" x14ac:dyDescent="0.25">
      <c r="A488" t="s">
        <v>66</v>
      </c>
      <c r="B488">
        <v>1</v>
      </c>
      <c r="C488" t="s">
        <v>56</v>
      </c>
      <c r="D488" t="s">
        <v>51</v>
      </c>
      <c r="E488">
        <v>7.6</v>
      </c>
      <c r="F488" s="11">
        <v>46228</v>
      </c>
      <c r="G488" t="s">
        <v>104</v>
      </c>
    </row>
    <row r="489" spans="1:7" hidden="1" x14ac:dyDescent="0.25">
      <c r="A489" t="s">
        <v>66</v>
      </c>
      <c r="B489">
        <v>1</v>
      </c>
      <c r="C489" t="s">
        <v>57</v>
      </c>
      <c r="D489" t="s">
        <v>51</v>
      </c>
      <c r="E489">
        <v>7.6</v>
      </c>
      <c r="F489" s="11">
        <v>46229</v>
      </c>
      <c r="G489" t="s">
        <v>104</v>
      </c>
    </row>
    <row r="490" spans="1:7" hidden="1" x14ac:dyDescent="0.25">
      <c r="A490" t="s">
        <v>66</v>
      </c>
      <c r="B490">
        <v>2</v>
      </c>
      <c r="C490" t="s">
        <v>48</v>
      </c>
      <c r="D490" t="s">
        <v>51</v>
      </c>
      <c r="E490">
        <v>7.6</v>
      </c>
      <c r="F490" s="11">
        <v>46230</v>
      </c>
      <c r="G490" t="s">
        <v>104</v>
      </c>
    </row>
    <row r="491" spans="1:7" hidden="1" x14ac:dyDescent="0.25">
      <c r="A491" t="s">
        <v>66</v>
      </c>
      <c r="B491">
        <v>2</v>
      </c>
      <c r="C491" t="s">
        <v>54</v>
      </c>
      <c r="D491" t="s">
        <v>51</v>
      </c>
      <c r="E491">
        <v>7.6</v>
      </c>
      <c r="F491" s="11">
        <v>46233</v>
      </c>
      <c r="G491" t="s">
        <v>104</v>
      </c>
    </row>
    <row r="492" spans="1:7" hidden="1" x14ac:dyDescent="0.25">
      <c r="A492" t="s">
        <v>66</v>
      </c>
      <c r="B492">
        <v>2</v>
      </c>
      <c r="C492" t="s">
        <v>55</v>
      </c>
      <c r="D492" t="s">
        <v>51</v>
      </c>
      <c r="E492">
        <v>7.6</v>
      </c>
      <c r="F492" s="11">
        <v>46234</v>
      </c>
      <c r="G492" t="s">
        <v>104</v>
      </c>
    </row>
    <row r="493" spans="1:7" hidden="1" x14ac:dyDescent="0.25">
      <c r="A493" t="s">
        <v>66</v>
      </c>
      <c r="B493">
        <v>2</v>
      </c>
      <c r="C493" t="s">
        <v>56</v>
      </c>
      <c r="D493" t="s">
        <v>51</v>
      </c>
      <c r="E493">
        <v>7.6</v>
      </c>
      <c r="F493" s="11">
        <v>46235</v>
      </c>
      <c r="G493" t="s">
        <v>104</v>
      </c>
    </row>
    <row r="494" spans="1:7" hidden="1" x14ac:dyDescent="0.25">
      <c r="A494" t="s">
        <v>66</v>
      </c>
      <c r="B494">
        <v>2</v>
      </c>
      <c r="C494" t="s">
        <v>57</v>
      </c>
      <c r="D494" t="s">
        <v>51</v>
      </c>
      <c r="E494">
        <v>7.6</v>
      </c>
      <c r="F494" s="11">
        <v>46236</v>
      </c>
      <c r="G494" t="s">
        <v>104</v>
      </c>
    </row>
    <row r="495" spans="1:7" hidden="1" x14ac:dyDescent="0.25">
      <c r="A495" t="s">
        <v>66</v>
      </c>
      <c r="B495">
        <v>1</v>
      </c>
      <c r="C495" t="s">
        <v>48</v>
      </c>
      <c r="D495" t="s">
        <v>49</v>
      </c>
      <c r="E495">
        <v>7.6</v>
      </c>
      <c r="F495" s="11">
        <v>46223</v>
      </c>
      <c r="G495" t="s">
        <v>177</v>
      </c>
    </row>
    <row r="496" spans="1:7" hidden="1" x14ac:dyDescent="0.25">
      <c r="A496" t="s">
        <v>66</v>
      </c>
      <c r="B496">
        <v>1</v>
      </c>
      <c r="C496" t="s">
        <v>48</v>
      </c>
      <c r="D496" t="s">
        <v>51</v>
      </c>
      <c r="E496">
        <v>7.6</v>
      </c>
      <c r="F496" s="11">
        <v>46223</v>
      </c>
      <c r="G496" t="s">
        <v>177</v>
      </c>
    </row>
    <row r="497" spans="1:7" hidden="1" x14ac:dyDescent="0.25">
      <c r="A497" t="s">
        <v>66</v>
      </c>
      <c r="B497">
        <v>1</v>
      </c>
      <c r="C497" t="s">
        <v>52</v>
      </c>
      <c r="D497" t="s">
        <v>49</v>
      </c>
      <c r="E497">
        <v>7.6</v>
      </c>
      <c r="F497" s="11">
        <v>46224</v>
      </c>
      <c r="G497" t="s">
        <v>177</v>
      </c>
    </row>
    <row r="498" spans="1:7" hidden="1" x14ac:dyDescent="0.25">
      <c r="A498" t="s">
        <v>66</v>
      </c>
      <c r="B498">
        <v>1</v>
      </c>
      <c r="C498" t="s">
        <v>52</v>
      </c>
      <c r="D498" t="s">
        <v>51</v>
      </c>
      <c r="E498">
        <v>7.6</v>
      </c>
      <c r="F498" s="11">
        <v>46224</v>
      </c>
      <c r="G498" t="s">
        <v>177</v>
      </c>
    </row>
    <row r="499" spans="1:7" hidden="1" x14ac:dyDescent="0.25">
      <c r="A499" t="s">
        <v>66</v>
      </c>
      <c r="B499">
        <v>1</v>
      </c>
      <c r="C499" t="s">
        <v>53</v>
      </c>
      <c r="D499" t="s">
        <v>49</v>
      </c>
      <c r="E499">
        <v>7.6</v>
      </c>
      <c r="F499" s="11">
        <v>46225</v>
      </c>
      <c r="G499" t="s">
        <v>177</v>
      </c>
    </row>
    <row r="500" spans="1:7" hidden="1" x14ac:dyDescent="0.25">
      <c r="A500" t="s">
        <v>66</v>
      </c>
      <c r="B500">
        <v>1</v>
      </c>
      <c r="C500" t="s">
        <v>53</v>
      </c>
      <c r="D500" t="s">
        <v>51</v>
      </c>
      <c r="E500">
        <v>7.6</v>
      </c>
      <c r="F500" s="11">
        <v>46225</v>
      </c>
      <c r="G500" t="s">
        <v>177</v>
      </c>
    </row>
    <row r="501" spans="1:7" hidden="1" x14ac:dyDescent="0.25">
      <c r="A501" t="s">
        <v>66</v>
      </c>
      <c r="B501">
        <v>1</v>
      </c>
      <c r="C501" t="s">
        <v>54</v>
      </c>
      <c r="D501" t="s">
        <v>49</v>
      </c>
      <c r="E501">
        <v>7.6</v>
      </c>
      <c r="F501" s="11">
        <v>46226</v>
      </c>
      <c r="G501" t="s">
        <v>177</v>
      </c>
    </row>
    <row r="502" spans="1:7" hidden="1" x14ac:dyDescent="0.25">
      <c r="A502" t="s">
        <v>66</v>
      </c>
      <c r="B502">
        <v>1</v>
      </c>
      <c r="C502" t="s">
        <v>54</v>
      </c>
      <c r="D502" t="s">
        <v>51</v>
      </c>
      <c r="E502">
        <v>7.6</v>
      </c>
      <c r="F502" s="11">
        <v>46226</v>
      </c>
      <c r="G502" t="s">
        <v>177</v>
      </c>
    </row>
    <row r="503" spans="1:7" hidden="1" x14ac:dyDescent="0.25">
      <c r="A503" t="s">
        <v>66</v>
      </c>
      <c r="B503">
        <v>1</v>
      </c>
      <c r="C503" t="s">
        <v>55</v>
      </c>
      <c r="D503" t="s">
        <v>49</v>
      </c>
      <c r="E503">
        <v>7.6</v>
      </c>
      <c r="F503" s="11">
        <v>46227</v>
      </c>
      <c r="G503" t="s">
        <v>177</v>
      </c>
    </row>
    <row r="504" spans="1:7" hidden="1" x14ac:dyDescent="0.25">
      <c r="A504" t="s">
        <v>66</v>
      </c>
      <c r="B504">
        <v>1</v>
      </c>
      <c r="C504" t="s">
        <v>55</v>
      </c>
      <c r="D504" t="s">
        <v>51</v>
      </c>
      <c r="E504">
        <v>7.6</v>
      </c>
      <c r="F504" s="11">
        <v>46227</v>
      </c>
      <c r="G504" t="s">
        <v>177</v>
      </c>
    </row>
    <row r="505" spans="1:7" hidden="1" x14ac:dyDescent="0.25">
      <c r="A505" t="s">
        <v>66</v>
      </c>
      <c r="B505">
        <v>1</v>
      </c>
      <c r="C505" t="s">
        <v>56</v>
      </c>
      <c r="D505" t="s">
        <v>49</v>
      </c>
      <c r="E505">
        <v>7.6</v>
      </c>
      <c r="F505" s="11">
        <v>46228</v>
      </c>
      <c r="G505" t="s">
        <v>177</v>
      </c>
    </row>
    <row r="506" spans="1:7" hidden="1" x14ac:dyDescent="0.25">
      <c r="A506" t="s">
        <v>66</v>
      </c>
      <c r="B506">
        <v>1</v>
      </c>
      <c r="C506" t="s">
        <v>56</v>
      </c>
      <c r="D506" t="s">
        <v>51</v>
      </c>
      <c r="E506">
        <v>7.6</v>
      </c>
      <c r="F506" s="11">
        <v>46228</v>
      </c>
      <c r="G506" t="s">
        <v>177</v>
      </c>
    </row>
    <row r="507" spans="1:7" hidden="1" x14ac:dyDescent="0.25">
      <c r="A507" t="s">
        <v>66</v>
      </c>
      <c r="B507">
        <v>1</v>
      </c>
      <c r="C507" t="s">
        <v>57</v>
      </c>
      <c r="D507" t="s">
        <v>49</v>
      </c>
      <c r="E507">
        <v>7.6</v>
      </c>
      <c r="F507" s="11">
        <v>46229</v>
      </c>
      <c r="G507" t="s">
        <v>177</v>
      </c>
    </row>
    <row r="508" spans="1:7" hidden="1" x14ac:dyDescent="0.25">
      <c r="A508" t="s">
        <v>66</v>
      </c>
      <c r="B508">
        <v>1</v>
      </c>
      <c r="C508" t="s">
        <v>57</v>
      </c>
      <c r="D508" t="s">
        <v>51</v>
      </c>
      <c r="E508">
        <v>7.6</v>
      </c>
      <c r="F508" s="11">
        <v>46229</v>
      </c>
      <c r="G508" t="s">
        <v>177</v>
      </c>
    </row>
    <row r="509" spans="1:7" hidden="1" x14ac:dyDescent="0.25">
      <c r="A509" t="s">
        <v>66</v>
      </c>
      <c r="B509">
        <v>2</v>
      </c>
      <c r="C509" t="s">
        <v>48</v>
      </c>
      <c r="D509" t="s">
        <v>49</v>
      </c>
      <c r="E509">
        <v>7.6</v>
      </c>
      <c r="F509" s="11">
        <v>46230</v>
      </c>
      <c r="G509" t="s">
        <v>177</v>
      </c>
    </row>
    <row r="510" spans="1:7" hidden="1" x14ac:dyDescent="0.25">
      <c r="A510" t="s">
        <v>66</v>
      </c>
      <c r="B510">
        <v>2</v>
      </c>
      <c r="C510" t="s">
        <v>48</v>
      </c>
      <c r="D510" t="s">
        <v>51</v>
      </c>
      <c r="E510">
        <v>7.6</v>
      </c>
      <c r="F510" s="11">
        <v>46230</v>
      </c>
      <c r="G510" t="s">
        <v>177</v>
      </c>
    </row>
    <row r="511" spans="1:7" hidden="1" x14ac:dyDescent="0.25">
      <c r="A511" t="s">
        <v>66</v>
      </c>
      <c r="B511">
        <v>2</v>
      </c>
      <c r="C511" t="s">
        <v>52</v>
      </c>
      <c r="D511" t="s">
        <v>49</v>
      </c>
      <c r="E511">
        <v>7.6</v>
      </c>
      <c r="F511" s="11">
        <v>46231</v>
      </c>
      <c r="G511" t="s">
        <v>177</v>
      </c>
    </row>
    <row r="512" spans="1:7" hidden="1" x14ac:dyDescent="0.25">
      <c r="A512" t="s">
        <v>66</v>
      </c>
      <c r="B512">
        <v>2</v>
      </c>
      <c r="C512" t="s">
        <v>52</v>
      </c>
      <c r="D512" t="s">
        <v>51</v>
      </c>
      <c r="E512">
        <v>7.6</v>
      </c>
      <c r="F512" s="11">
        <v>46231</v>
      </c>
      <c r="G512" t="s">
        <v>177</v>
      </c>
    </row>
    <row r="513" spans="1:7" hidden="1" x14ac:dyDescent="0.25">
      <c r="A513" t="s">
        <v>66</v>
      </c>
      <c r="B513">
        <v>2</v>
      </c>
      <c r="C513" t="s">
        <v>53</v>
      </c>
      <c r="D513" t="s">
        <v>49</v>
      </c>
      <c r="E513">
        <v>7.6</v>
      </c>
      <c r="F513" s="11">
        <v>46232</v>
      </c>
      <c r="G513" t="s">
        <v>177</v>
      </c>
    </row>
    <row r="514" spans="1:7" hidden="1" x14ac:dyDescent="0.25">
      <c r="A514" t="s">
        <v>66</v>
      </c>
      <c r="B514">
        <v>2</v>
      </c>
      <c r="C514" t="s">
        <v>53</v>
      </c>
      <c r="D514" t="s">
        <v>51</v>
      </c>
      <c r="E514">
        <v>7.6</v>
      </c>
      <c r="F514" s="11">
        <v>46232</v>
      </c>
      <c r="G514" t="s">
        <v>177</v>
      </c>
    </row>
    <row r="515" spans="1:7" hidden="1" x14ac:dyDescent="0.25">
      <c r="A515" t="s">
        <v>66</v>
      </c>
      <c r="B515">
        <v>2</v>
      </c>
      <c r="C515" t="s">
        <v>54</v>
      </c>
      <c r="D515" t="s">
        <v>49</v>
      </c>
      <c r="E515">
        <v>7.6</v>
      </c>
      <c r="F515" s="11">
        <v>46233</v>
      </c>
      <c r="G515" t="s">
        <v>177</v>
      </c>
    </row>
    <row r="516" spans="1:7" hidden="1" x14ac:dyDescent="0.25">
      <c r="A516" t="s">
        <v>66</v>
      </c>
      <c r="B516">
        <v>2</v>
      </c>
      <c r="C516" t="s">
        <v>54</v>
      </c>
      <c r="D516" t="s">
        <v>51</v>
      </c>
      <c r="E516">
        <v>7.6</v>
      </c>
      <c r="F516" s="11">
        <v>46233</v>
      </c>
      <c r="G516" t="s">
        <v>177</v>
      </c>
    </row>
    <row r="517" spans="1:7" hidden="1" x14ac:dyDescent="0.25">
      <c r="A517" t="s">
        <v>66</v>
      </c>
      <c r="B517">
        <v>2</v>
      </c>
      <c r="C517" t="s">
        <v>55</v>
      </c>
      <c r="D517" t="s">
        <v>49</v>
      </c>
      <c r="E517">
        <v>7.6</v>
      </c>
      <c r="F517" s="11">
        <v>46234</v>
      </c>
      <c r="G517" t="s">
        <v>177</v>
      </c>
    </row>
    <row r="518" spans="1:7" hidden="1" x14ac:dyDescent="0.25">
      <c r="A518" t="s">
        <v>66</v>
      </c>
      <c r="B518">
        <v>2</v>
      </c>
      <c r="C518" t="s">
        <v>55</v>
      </c>
      <c r="D518" t="s">
        <v>51</v>
      </c>
      <c r="E518">
        <v>7.6</v>
      </c>
      <c r="F518" s="11">
        <v>46234</v>
      </c>
      <c r="G518" t="s">
        <v>177</v>
      </c>
    </row>
    <row r="519" spans="1:7" hidden="1" x14ac:dyDescent="0.25">
      <c r="A519" t="s">
        <v>66</v>
      </c>
      <c r="B519">
        <v>2</v>
      </c>
      <c r="C519" t="s">
        <v>56</v>
      </c>
      <c r="D519" t="s">
        <v>49</v>
      </c>
      <c r="E519">
        <v>7.6</v>
      </c>
      <c r="F519" s="11">
        <v>46235</v>
      </c>
      <c r="G519" t="s">
        <v>177</v>
      </c>
    </row>
    <row r="520" spans="1:7" hidden="1" x14ac:dyDescent="0.25">
      <c r="A520" t="s">
        <v>66</v>
      </c>
      <c r="B520">
        <v>2</v>
      </c>
      <c r="C520" t="s">
        <v>56</v>
      </c>
      <c r="D520" t="s">
        <v>51</v>
      </c>
      <c r="E520">
        <v>7.6</v>
      </c>
      <c r="F520" s="11">
        <v>46235</v>
      </c>
      <c r="G520" t="s">
        <v>177</v>
      </c>
    </row>
    <row r="521" spans="1:7" hidden="1" x14ac:dyDescent="0.25">
      <c r="A521" t="s">
        <v>66</v>
      </c>
      <c r="B521">
        <v>2</v>
      </c>
      <c r="C521" t="s">
        <v>57</v>
      </c>
      <c r="D521" t="s">
        <v>49</v>
      </c>
      <c r="E521">
        <v>7.6</v>
      </c>
      <c r="F521" s="11">
        <v>46236</v>
      </c>
      <c r="G521" t="s">
        <v>177</v>
      </c>
    </row>
    <row r="522" spans="1:7" hidden="1" x14ac:dyDescent="0.25">
      <c r="A522" t="s">
        <v>66</v>
      </c>
      <c r="B522">
        <v>2</v>
      </c>
      <c r="C522" t="s">
        <v>57</v>
      </c>
      <c r="D522" t="s">
        <v>51</v>
      </c>
      <c r="E522">
        <v>7.6</v>
      </c>
      <c r="F522" s="11">
        <v>46236</v>
      </c>
      <c r="G522" t="s">
        <v>177</v>
      </c>
    </row>
    <row r="523" spans="1:7" hidden="1" x14ac:dyDescent="0.25">
      <c r="A523" t="s">
        <v>66</v>
      </c>
      <c r="B523">
        <v>1</v>
      </c>
      <c r="C523" t="s">
        <v>48</v>
      </c>
      <c r="D523" t="s">
        <v>51</v>
      </c>
      <c r="E523">
        <v>7.6</v>
      </c>
      <c r="F523" s="11">
        <v>46223</v>
      </c>
      <c r="G523" t="s">
        <v>105</v>
      </c>
    </row>
    <row r="524" spans="1:7" hidden="1" x14ac:dyDescent="0.25">
      <c r="A524" t="s">
        <v>66</v>
      </c>
      <c r="B524">
        <v>1</v>
      </c>
      <c r="C524" t="s">
        <v>55</v>
      </c>
      <c r="D524" t="s">
        <v>49</v>
      </c>
      <c r="E524">
        <v>7.6</v>
      </c>
      <c r="F524" s="11">
        <v>46227</v>
      </c>
      <c r="G524" t="s">
        <v>105</v>
      </c>
    </row>
    <row r="525" spans="1:7" hidden="1" x14ac:dyDescent="0.25">
      <c r="A525" t="s">
        <v>66</v>
      </c>
      <c r="B525">
        <v>1</v>
      </c>
      <c r="C525" t="s">
        <v>56</v>
      </c>
      <c r="D525" t="s">
        <v>49</v>
      </c>
      <c r="E525">
        <v>7.6</v>
      </c>
      <c r="F525" s="11">
        <v>46228</v>
      </c>
      <c r="G525" t="s">
        <v>105</v>
      </c>
    </row>
    <row r="526" spans="1:7" hidden="1" x14ac:dyDescent="0.25">
      <c r="A526" t="s">
        <v>66</v>
      </c>
      <c r="B526">
        <v>1</v>
      </c>
      <c r="C526" t="s">
        <v>57</v>
      </c>
      <c r="D526" t="s">
        <v>49</v>
      </c>
      <c r="E526">
        <v>7.6</v>
      </c>
      <c r="F526" s="11">
        <v>46229</v>
      </c>
      <c r="G526" t="s">
        <v>105</v>
      </c>
    </row>
    <row r="527" spans="1:7" hidden="1" x14ac:dyDescent="0.25">
      <c r="A527" t="s">
        <v>66</v>
      </c>
      <c r="B527">
        <v>2</v>
      </c>
      <c r="C527" t="s">
        <v>48</v>
      </c>
      <c r="D527" t="s">
        <v>51</v>
      </c>
      <c r="E527">
        <v>7.6</v>
      </c>
      <c r="F527" s="11">
        <v>46230</v>
      </c>
      <c r="G527" t="s">
        <v>105</v>
      </c>
    </row>
    <row r="528" spans="1:7" hidden="1" x14ac:dyDescent="0.25">
      <c r="A528" t="s">
        <v>66</v>
      </c>
      <c r="B528">
        <v>2</v>
      </c>
      <c r="C528" t="s">
        <v>55</v>
      </c>
      <c r="D528" t="s">
        <v>49</v>
      </c>
      <c r="E528">
        <v>7.6</v>
      </c>
      <c r="F528" s="11">
        <v>46234</v>
      </c>
      <c r="G528" t="s">
        <v>105</v>
      </c>
    </row>
    <row r="529" spans="1:7" hidden="1" x14ac:dyDescent="0.25">
      <c r="A529" t="s">
        <v>66</v>
      </c>
      <c r="B529">
        <v>2</v>
      </c>
      <c r="C529" t="s">
        <v>56</v>
      </c>
      <c r="D529" t="s">
        <v>49</v>
      </c>
      <c r="E529">
        <v>7.6</v>
      </c>
      <c r="F529" s="11">
        <v>46235</v>
      </c>
      <c r="G529" t="s">
        <v>105</v>
      </c>
    </row>
    <row r="530" spans="1:7" hidden="1" x14ac:dyDescent="0.25">
      <c r="A530" t="s">
        <v>66</v>
      </c>
      <c r="B530">
        <v>2</v>
      </c>
      <c r="C530" t="s">
        <v>57</v>
      </c>
      <c r="D530" t="s">
        <v>49</v>
      </c>
      <c r="E530">
        <v>7.6</v>
      </c>
      <c r="F530" s="11">
        <v>46236</v>
      </c>
      <c r="G530" t="s">
        <v>105</v>
      </c>
    </row>
    <row r="531" spans="1:7" hidden="1" x14ac:dyDescent="0.25">
      <c r="A531" t="s">
        <v>66</v>
      </c>
      <c r="B531">
        <v>1</v>
      </c>
      <c r="C531" t="s">
        <v>52</v>
      </c>
      <c r="D531" t="s">
        <v>50</v>
      </c>
      <c r="E531">
        <v>7.6</v>
      </c>
      <c r="F531" s="11">
        <v>46224</v>
      </c>
      <c r="G531" t="s">
        <v>106</v>
      </c>
    </row>
    <row r="532" spans="1:7" hidden="1" x14ac:dyDescent="0.25">
      <c r="A532" t="s">
        <v>66</v>
      </c>
      <c r="B532">
        <v>1</v>
      </c>
      <c r="C532" t="s">
        <v>53</v>
      </c>
      <c r="D532" t="s">
        <v>50</v>
      </c>
      <c r="E532">
        <v>7.6</v>
      </c>
      <c r="F532" s="11">
        <v>46225</v>
      </c>
      <c r="G532" t="s">
        <v>106</v>
      </c>
    </row>
    <row r="533" spans="1:7" hidden="1" x14ac:dyDescent="0.25">
      <c r="A533" t="s">
        <v>66</v>
      </c>
      <c r="B533">
        <v>1</v>
      </c>
      <c r="C533" t="s">
        <v>55</v>
      </c>
      <c r="D533" t="s">
        <v>50</v>
      </c>
      <c r="E533">
        <v>7.6</v>
      </c>
      <c r="F533" s="11">
        <v>46227</v>
      </c>
      <c r="G533" t="s">
        <v>106</v>
      </c>
    </row>
    <row r="534" spans="1:7" hidden="1" x14ac:dyDescent="0.25">
      <c r="A534" t="s">
        <v>66</v>
      </c>
      <c r="B534">
        <v>1</v>
      </c>
      <c r="C534" t="s">
        <v>56</v>
      </c>
      <c r="D534" t="s">
        <v>49</v>
      </c>
      <c r="E534">
        <v>7.6</v>
      </c>
      <c r="F534" s="11">
        <v>46228</v>
      </c>
      <c r="G534" t="s">
        <v>106</v>
      </c>
    </row>
    <row r="535" spans="1:7" hidden="1" x14ac:dyDescent="0.25">
      <c r="A535" t="s">
        <v>66</v>
      </c>
      <c r="B535">
        <v>1</v>
      </c>
      <c r="C535" t="s">
        <v>56</v>
      </c>
      <c r="D535" t="s">
        <v>51</v>
      </c>
      <c r="E535">
        <v>7.6</v>
      </c>
      <c r="F535" s="11">
        <v>46228</v>
      </c>
      <c r="G535" t="s">
        <v>106</v>
      </c>
    </row>
    <row r="536" spans="1:7" hidden="1" x14ac:dyDescent="0.25">
      <c r="A536" t="s">
        <v>66</v>
      </c>
      <c r="B536">
        <v>1</v>
      </c>
      <c r="C536" t="s">
        <v>56</v>
      </c>
      <c r="D536" t="s">
        <v>50</v>
      </c>
      <c r="E536">
        <v>7.6</v>
      </c>
      <c r="F536" s="11">
        <v>46228</v>
      </c>
      <c r="G536" t="s">
        <v>106</v>
      </c>
    </row>
    <row r="537" spans="1:7" hidden="1" x14ac:dyDescent="0.25">
      <c r="A537" t="s">
        <v>66</v>
      </c>
      <c r="B537">
        <v>1</v>
      </c>
      <c r="C537" t="s">
        <v>57</v>
      </c>
      <c r="D537" t="s">
        <v>49</v>
      </c>
      <c r="E537">
        <v>7.6</v>
      </c>
      <c r="F537" s="11">
        <v>46229</v>
      </c>
      <c r="G537" t="s">
        <v>106</v>
      </c>
    </row>
    <row r="538" spans="1:7" hidden="1" x14ac:dyDescent="0.25">
      <c r="A538" t="s">
        <v>66</v>
      </c>
      <c r="B538">
        <v>1</v>
      </c>
      <c r="C538" t="s">
        <v>57</v>
      </c>
      <c r="D538" t="s">
        <v>51</v>
      </c>
      <c r="E538">
        <v>7.6</v>
      </c>
      <c r="F538" s="11">
        <v>46229</v>
      </c>
      <c r="G538" t="s">
        <v>106</v>
      </c>
    </row>
    <row r="539" spans="1:7" hidden="1" x14ac:dyDescent="0.25">
      <c r="A539" t="s">
        <v>66</v>
      </c>
      <c r="B539">
        <v>1</v>
      </c>
      <c r="C539" t="s">
        <v>57</v>
      </c>
      <c r="D539" t="s">
        <v>50</v>
      </c>
      <c r="E539">
        <v>7.6</v>
      </c>
      <c r="F539" s="11">
        <v>46229</v>
      </c>
      <c r="G539" t="s">
        <v>106</v>
      </c>
    </row>
    <row r="540" spans="1:7" hidden="1" x14ac:dyDescent="0.25">
      <c r="A540" t="s">
        <v>66</v>
      </c>
      <c r="B540">
        <v>2</v>
      </c>
      <c r="C540" t="s">
        <v>52</v>
      </c>
      <c r="D540" t="s">
        <v>50</v>
      </c>
      <c r="E540">
        <v>7.6</v>
      </c>
      <c r="F540" s="11">
        <v>46231</v>
      </c>
      <c r="G540" t="s">
        <v>106</v>
      </c>
    </row>
    <row r="541" spans="1:7" hidden="1" x14ac:dyDescent="0.25">
      <c r="A541" t="s">
        <v>66</v>
      </c>
      <c r="B541">
        <v>2</v>
      </c>
      <c r="C541" t="s">
        <v>53</v>
      </c>
      <c r="D541" t="s">
        <v>50</v>
      </c>
      <c r="E541">
        <v>7.6</v>
      </c>
      <c r="F541" s="11">
        <v>46232</v>
      </c>
      <c r="G541" t="s">
        <v>106</v>
      </c>
    </row>
    <row r="542" spans="1:7" hidden="1" x14ac:dyDescent="0.25">
      <c r="A542" t="s">
        <v>66</v>
      </c>
      <c r="B542">
        <v>2</v>
      </c>
      <c r="C542" t="s">
        <v>55</v>
      </c>
      <c r="D542" t="s">
        <v>50</v>
      </c>
      <c r="E542">
        <v>7.6</v>
      </c>
      <c r="F542" s="11">
        <v>46234</v>
      </c>
      <c r="G542" t="s">
        <v>106</v>
      </c>
    </row>
    <row r="543" spans="1:7" hidden="1" x14ac:dyDescent="0.25">
      <c r="A543" t="s">
        <v>66</v>
      </c>
      <c r="B543">
        <v>2</v>
      </c>
      <c r="C543" t="s">
        <v>56</v>
      </c>
      <c r="D543" t="s">
        <v>49</v>
      </c>
      <c r="E543">
        <v>7.6</v>
      </c>
      <c r="F543" s="11">
        <v>46235</v>
      </c>
      <c r="G543" t="s">
        <v>106</v>
      </c>
    </row>
    <row r="544" spans="1:7" hidden="1" x14ac:dyDescent="0.25">
      <c r="A544" t="s">
        <v>66</v>
      </c>
      <c r="B544">
        <v>2</v>
      </c>
      <c r="C544" t="s">
        <v>56</v>
      </c>
      <c r="D544" t="s">
        <v>51</v>
      </c>
      <c r="E544">
        <v>7.6</v>
      </c>
      <c r="F544" s="11">
        <v>46235</v>
      </c>
      <c r="G544" t="s">
        <v>106</v>
      </c>
    </row>
    <row r="545" spans="1:7" hidden="1" x14ac:dyDescent="0.25">
      <c r="A545" t="s">
        <v>66</v>
      </c>
      <c r="B545">
        <v>2</v>
      </c>
      <c r="C545" t="s">
        <v>56</v>
      </c>
      <c r="D545" t="s">
        <v>50</v>
      </c>
      <c r="E545">
        <v>7.6</v>
      </c>
      <c r="F545" s="11">
        <v>46235</v>
      </c>
      <c r="G545" t="s">
        <v>106</v>
      </c>
    </row>
    <row r="546" spans="1:7" hidden="1" x14ac:dyDescent="0.25">
      <c r="A546" t="s">
        <v>66</v>
      </c>
      <c r="B546">
        <v>2</v>
      </c>
      <c r="C546" t="s">
        <v>57</v>
      </c>
      <c r="D546" t="s">
        <v>49</v>
      </c>
      <c r="E546">
        <v>7.6</v>
      </c>
      <c r="F546" s="11">
        <v>46236</v>
      </c>
      <c r="G546" t="s">
        <v>106</v>
      </c>
    </row>
    <row r="547" spans="1:7" hidden="1" x14ac:dyDescent="0.25">
      <c r="A547" t="s">
        <v>66</v>
      </c>
      <c r="B547">
        <v>2</v>
      </c>
      <c r="C547" t="s">
        <v>57</v>
      </c>
      <c r="D547" t="s">
        <v>51</v>
      </c>
      <c r="E547">
        <v>7.6</v>
      </c>
      <c r="F547" s="11">
        <v>46236</v>
      </c>
      <c r="G547" t="s">
        <v>106</v>
      </c>
    </row>
    <row r="548" spans="1:7" hidden="1" x14ac:dyDescent="0.25">
      <c r="A548" t="s">
        <v>66</v>
      </c>
      <c r="B548">
        <v>2</v>
      </c>
      <c r="C548" t="s">
        <v>57</v>
      </c>
      <c r="D548" t="s">
        <v>50</v>
      </c>
      <c r="E548">
        <v>7.6</v>
      </c>
      <c r="F548" s="11">
        <v>46236</v>
      </c>
      <c r="G548" t="s">
        <v>106</v>
      </c>
    </row>
    <row r="549" spans="1:7" hidden="1" x14ac:dyDescent="0.25">
      <c r="A549" t="s">
        <v>66</v>
      </c>
      <c r="B549">
        <v>1</v>
      </c>
      <c r="C549" t="s">
        <v>48</v>
      </c>
      <c r="D549" t="s">
        <v>49</v>
      </c>
      <c r="E549">
        <v>7.6</v>
      </c>
      <c r="F549" s="11">
        <v>46223</v>
      </c>
      <c r="G549" t="s">
        <v>180</v>
      </c>
    </row>
    <row r="550" spans="1:7" hidden="1" x14ac:dyDescent="0.25">
      <c r="A550" t="s">
        <v>66</v>
      </c>
      <c r="B550">
        <v>1</v>
      </c>
      <c r="C550" t="s">
        <v>52</v>
      </c>
      <c r="D550" t="s">
        <v>49</v>
      </c>
      <c r="E550">
        <v>7.6</v>
      </c>
      <c r="F550" s="11">
        <v>46224</v>
      </c>
      <c r="G550" t="s">
        <v>180</v>
      </c>
    </row>
    <row r="551" spans="1:7" hidden="1" x14ac:dyDescent="0.25">
      <c r="A551" t="s">
        <v>66</v>
      </c>
      <c r="B551">
        <v>1</v>
      </c>
      <c r="C551" t="s">
        <v>55</v>
      </c>
      <c r="D551" t="s">
        <v>49</v>
      </c>
      <c r="E551">
        <v>7.6</v>
      </c>
      <c r="F551" s="11">
        <v>46227</v>
      </c>
      <c r="G551" t="s">
        <v>180</v>
      </c>
    </row>
    <row r="552" spans="1:7" hidden="1" x14ac:dyDescent="0.25">
      <c r="A552" t="s">
        <v>66</v>
      </c>
      <c r="B552">
        <v>1</v>
      </c>
      <c r="C552" t="s">
        <v>56</v>
      </c>
      <c r="D552" t="s">
        <v>49</v>
      </c>
      <c r="E552">
        <v>7.6</v>
      </c>
      <c r="F552" s="11">
        <v>46228</v>
      </c>
      <c r="G552" t="s">
        <v>180</v>
      </c>
    </row>
    <row r="553" spans="1:7" hidden="1" x14ac:dyDescent="0.25">
      <c r="A553" t="s">
        <v>66</v>
      </c>
      <c r="B553">
        <v>1</v>
      </c>
      <c r="C553" t="s">
        <v>57</v>
      </c>
      <c r="D553" t="s">
        <v>49</v>
      </c>
      <c r="E553">
        <v>7.6</v>
      </c>
      <c r="F553" s="11">
        <v>46229</v>
      </c>
      <c r="G553" t="s">
        <v>180</v>
      </c>
    </row>
    <row r="554" spans="1:7" hidden="1" x14ac:dyDescent="0.25">
      <c r="A554" t="s">
        <v>66</v>
      </c>
      <c r="B554">
        <v>2</v>
      </c>
      <c r="C554" t="s">
        <v>48</v>
      </c>
      <c r="D554" t="s">
        <v>49</v>
      </c>
      <c r="E554">
        <v>7.6</v>
      </c>
      <c r="F554" s="11">
        <v>46230</v>
      </c>
      <c r="G554" t="s">
        <v>180</v>
      </c>
    </row>
    <row r="555" spans="1:7" hidden="1" x14ac:dyDescent="0.25">
      <c r="A555" t="s">
        <v>66</v>
      </c>
      <c r="B555">
        <v>2</v>
      </c>
      <c r="C555" t="s">
        <v>52</v>
      </c>
      <c r="D555" t="s">
        <v>49</v>
      </c>
      <c r="E555">
        <v>7.6</v>
      </c>
      <c r="F555" s="11">
        <v>46231</v>
      </c>
      <c r="G555" t="s">
        <v>180</v>
      </c>
    </row>
    <row r="556" spans="1:7" hidden="1" x14ac:dyDescent="0.25">
      <c r="A556" t="s">
        <v>66</v>
      </c>
      <c r="B556">
        <v>2</v>
      </c>
      <c r="C556" t="s">
        <v>55</v>
      </c>
      <c r="D556" t="s">
        <v>49</v>
      </c>
      <c r="E556">
        <v>7.6</v>
      </c>
      <c r="F556" s="11">
        <v>46234</v>
      </c>
      <c r="G556" t="s">
        <v>180</v>
      </c>
    </row>
    <row r="557" spans="1:7" hidden="1" x14ac:dyDescent="0.25">
      <c r="A557" t="s">
        <v>66</v>
      </c>
      <c r="B557">
        <v>2</v>
      </c>
      <c r="C557" t="s">
        <v>56</v>
      </c>
      <c r="D557" t="s">
        <v>49</v>
      </c>
      <c r="E557">
        <v>7.6</v>
      </c>
      <c r="F557" s="11">
        <v>46235</v>
      </c>
      <c r="G557" t="s">
        <v>180</v>
      </c>
    </row>
    <row r="558" spans="1:7" hidden="1" x14ac:dyDescent="0.25">
      <c r="A558" t="s">
        <v>66</v>
      </c>
      <c r="B558">
        <v>2</v>
      </c>
      <c r="C558" t="s">
        <v>57</v>
      </c>
      <c r="D558" t="s">
        <v>49</v>
      </c>
      <c r="E558">
        <v>7.6</v>
      </c>
      <c r="F558" s="11">
        <v>46236</v>
      </c>
      <c r="G558" t="s">
        <v>180</v>
      </c>
    </row>
    <row r="559" spans="1:7" hidden="1" x14ac:dyDescent="0.25">
      <c r="A559" t="s">
        <v>66</v>
      </c>
      <c r="B559">
        <v>1</v>
      </c>
      <c r="C559" t="s">
        <v>54</v>
      </c>
      <c r="D559" t="s">
        <v>51</v>
      </c>
      <c r="E559">
        <v>7.6</v>
      </c>
      <c r="F559" s="11">
        <v>46226</v>
      </c>
      <c r="G559" t="s">
        <v>107</v>
      </c>
    </row>
    <row r="560" spans="1:7" hidden="1" x14ac:dyDescent="0.25">
      <c r="A560" t="s">
        <v>66</v>
      </c>
      <c r="B560">
        <v>1</v>
      </c>
      <c r="C560" t="s">
        <v>55</v>
      </c>
      <c r="D560" t="s">
        <v>51</v>
      </c>
      <c r="E560">
        <v>7.6</v>
      </c>
      <c r="F560" s="11">
        <v>46227</v>
      </c>
      <c r="G560" t="s">
        <v>107</v>
      </c>
    </row>
    <row r="561" spans="1:7" hidden="1" x14ac:dyDescent="0.25">
      <c r="A561" t="s">
        <v>66</v>
      </c>
      <c r="B561">
        <v>2</v>
      </c>
      <c r="C561" t="s">
        <v>54</v>
      </c>
      <c r="D561" t="s">
        <v>51</v>
      </c>
      <c r="E561">
        <v>7.6</v>
      </c>
      <c r="F561" s="11">
        <v>46233</v>
      </c>
      <c r="G561" t="s">
        <v>107</v>
      </c>
    </row>
    <row r="562" spans="1:7" hidden="1" x14ac:dyDescent="0.25">
      <c r="A562" t="s">
        <v>66</v>
      </c>
      <c r="B562">
        <v>2</v>
      </c>
      <c r="C562" t="s">
        <v>55</v>
      </c>
      <c r="D562" t="s">
        <v>51</v>
      </c>
      <c r="E562">
        <v>7.6</v>
      </c>
      <c r="F562" s="11">
        <v>46234</v>
      </c>
      <c r="G562" t="s">
        <v>107</v>
      </c>
    </row>
    <row r="563" spans="1:7" hidden="1" x14ac:dyDescent="0.25">
      <c r="A563" t="s">
        <v>66</v>
      </c>
      <c r="B563">
        <v>1</v>
      </c>
      <c r="C563" t="s">
        <v>54</v>
      </c>
      <c r="D563" t="s">
        <v>51</v>
      </c>
      <c r="E563">
        <v>7.6</v>
      </c>
      <c r="F563" s="11">
        <v>46226</v>
      </c>
      <c r="G563" t="s">
        <v>108</v>
      </c>
    </row>
    <row r="564" spans="1:7" hidden="1" x14ac:dyDescent="0.25">
      <c r="A564" t="s">
        <v>66</v>
      </c>
      <c r="B564">
        <v>1</v>
      </c>
      <c r="C564" t="s">
        <v>55</v>
      </c>
      <c r="D564" t="s">
        <v>51</v>
      </c>
      <c r="E564">
        <v>7.6</v>
      </c>
      <c r="F564" s="11">
        <v>46227</v>
      </c>
      <c r="G564" t="s">
        <v>108</v>
      </c>
    </row>
    <row r="565" spans="1:7" hidden="1" x14ac:dyDescent="0.25">
      <c r="A565" t="s">
        <v>66</v>
      </c>
      <c r="B565">
        <v>2</v>
      </c>
      <c r="C565" t="s">
        <v>54</v>
      </c>
      <c r="D565" t="s">
        <v>51</v>
      </c>
      <c r="E565">
        <v>7.6</v>
      </c>
      <c r="F565" s="11">
        <v>46233</v>
      </c>
      <c r="G565" t="s">
        <v>108</v>
      </c>
    </row>
    <row r="566" spans="1:7" hidden="1" x14ac:dyDescent="0.25">
      <c r="A566" t="s">
        <v>66</v>
      </c>
      <c r="B566">
        <v>2</v>
      </c>
      <c r="C566" t="s">
        <v>55</v>
      </c>
      <c r="D566" t="s">
        <v>51</v>
      </c>
      <c r="E566">
        <v>7.6</v>
      </c>
      <c r="F566" s="11">
        <v>46234</v>
      </c>
      <c r="G566" t="s">
        <v>108</v>
      </c>
    </row>
    <row r="567" spans="1:7" hidden="1" x14ac:dyDescent="0.25">
      <c r="A567" t="s">
        <v>66</v>
      </c>
      <c r="B567">
        <v>1</v>
      </c>
      <c r="C567" t="s">
        <v>48</v>
      </c>
      <c r="D567" t="s">
        <v>51</v>
      </c>
      <c r="E567">
        <v>7.6</v>
      </c>
      <c r="F567" s="11">
        <v>46223</v>
      </c>
      <c r="G567" t="s">
        <v>110</v>
      </c>
    </row>
    <row r="568" spans="1:7" hidden="1" x14ac:dyDescent="0.25">
      <c r="A568" t="s">
        <v>66</v>
      </c>
      <c r="B568">
        <v>1</v>
      </c>
      <c r="C568" t="s">
        <v>55</v>
      </c>
      <c r="D568" t="s">
        <v>51</v>
      </c>
      <c r="E568">
        <v>7.6</v>
      </c>
      <c r="F568" s="11">
        <v>46227</v>
      </c>
      <c r="G568" t="s">
        <v>110</v>
      </c>
    </row>
    <row r="569" spans="1:7" hidden="1" x14ac:dyDescent="0.25">
      <c r="A569" t="s">
        <v>66</v>
      </c>
      <c r="B569">
        <v>1</v>
      </c>
      <c r="C569" t="s">
        <v>57</v>
      </c>
      <c r="D569" t="s">
        <v>51</v>
      </c>
      <c r="E569">
        <v>7.6</v>
      </c>
      <c r="F569" s="11">
        <v>46229</v>
      </c>
      <c r="G569" t="s">
        <v>110</v>
      </c>
    </row>
    <row r="570" spans="1:7" hidden="1" x14ac:dyDescent="0.25">
      <c r="A570" t="s">
        <v>66</v>
      </c>
      <c r="B570">
        <v>2</v>
      </c>
      <c r="C570" t="s">
        <v>48</v>
      </c>
      <c r="D570" t="s">
        <v>51</v>
      </c>
      <c r="E570">
        <v>7.6</v>
      </c>
      <c r="F570" s="11">
        <v>46230</v>
      </c>
      <c r="G570" t="s">
        <v>110</v>
      </c>
    </row>
    <row r="571" spans="1:7" hidden="1" x14ac:dyDescent="0.25">
      <c r="A571" t="s">
        <v>66</v>
      </c>
      <c r="B571">
        <v>2</v>
      </c>
      <c r="C571" t="s">
        <v>55</v>
      </c>
      <c r="D571" t="s">
        <v>51</v>
      </c>
      <c r="E571">
        <v>7.6</v>
      </c>
      <c r="F571" s="11">
        <v>46234</v>
      </c>
      <c r="G571" t="s">
        <v>110</v>
      </c>
    </row>
    <row r="572" spans="1:7" hidden="1" x14ac:dyDescent="0.25">
      <c r="A572" t="s">
        <v>66</v>
      </c>
      <c r="B572">
        <v>2</v>
      </c>
      <c r="C572" t="s">
        <v>57</v>
      </c>
      <c r="D572" t="s">
        <v>51</v>
      </c>
      <c r="E572">
        <v>7.6</v>
      </c>
      <c r="F572" s="11">
        <v>46236</v>
      </c>
      <c r="G572" t="s">
        <v>110</v>
      </c>
    </row>
    <row r="573" spans="1:7" hidden="1" x14ac:dyDescent="0.25">
      <c r="A573" t="s">
        <v>66</v>
      </c>
      <c r="B573">
        <v>1</v>
      </c>
      <c r="C573" t="s">
        <v>48</v>
      </c>
      <c r="D573" t="s">
        <v>49</v>
      </c>
      <c r="E573">
        <v>7.6</v>
      </c>
      <c r="F573" s="11">
        <v>46223</v>
      </c>
      <c r="G573" t="s">
        <v>111</v>
      </c>
    </row>
    <row r="574" spans="1:7" hidden="1" x14ac:dyDescent="0.25">
      <c r="A574" t="s">
        <v>66</v>
      </c>
      <c r="B574">
        <v>1</v>
      </c>
      <c r="C574" t="s">
        <v>52</v>
      </c>
      <c r="D574" t="s">
        <v>51</v>
      </c>
      <c r="E574">
        <v>7.6</v>
      </c>
      <c r="F574" s="11">
        <v>46224</v>
      </c>
      <c r="G574" t="s">
        <v>111</v>
      </c>
    </row>
    <row r="575" spans="1:7" hidden="1" x14ac:dyDescent="0.25">
      <c r="A575" t="s">
        <v>66</v>
      </c>
      <c r="B575">
        <v>1</v>
      </c>
      <c r="C575" t="s">
        <v>54</v>
      </c>
      <c r="D575" t="s">
        <v>51</v>
      </c>
      <c r="E575">
        <v>7.6</v>
      </c>
      <c r="F575" s="11">
        <v>46226</v>
      </c>
      <c r="G575" t="s">
        <v>111</v>
      </c>
    </row>
    <row r="576" spans="1:7" hidden="1" x14ac:dyDescent="0.25">
      <c r="A576" t="s">
        <v>66</v>
      </c>
      <c r="B576">
        <v>1</v>
      </c>
      <c r="C576" t="s">
        <v>56</v>
      </c>
      <c r="D576" t="s">
        <v>49</v>
      </c>
      <c r="E576">
        <v>7.6</v>
      </c>
      <c r="F576" s="11">
        <v>46228</v>
      </c>
      <c r="G576" t="s">
        <v>111</v>
      </c>
    </row>
    <row r="577" spans="1:7" hidden="1" x14ac:dyDescent="0.25">
      <c r="A577" t="s">
        <v>66</v>
      </c>
      <c r="B577">
        <v>1</v>
      </c>
      <c r="C577" t="s">
        <v>57</v>
      </c>
      <c r="D577" t="s">
        <v>49</v>
      </c>
      <c r="E577">
        <v>7.6</v>
      </c>
      <c r="F577" s="11">
        <v>46229</v>
      </c>
      <c r="G577" t="s">
        <v>111</v>
      </c>
    </row>
    <row r="578" spans="1:7" hidden="1" x14ac:dyDescent="0.25">
      <c r="A578" t="s">
        <v>66</v>
      </c>
      <c r="B578">
        <v>2</v>
      </c>
      <c r="C578" t="s">
        <v>48</v>
      </c>
      <c r="D578" t="s">
        <v>49</v>
      </c>
      <c r="E578">
        <v>7.6</v>
      </c>
      <c r="F578" s="11">
        <v>46230</v>
      </c>
      <c r="G578" t="s">
        <v>111</v>
      </c>
    </row>
    <row r="579" spans="1:7" hidden="1" x14ac:dyDescent="0.25">
      <c r="A579" t="s">
        <v>66</v>
      </c>
      <c r="B579">
        <v>2</v>
      </c>
      <c r="C579" t="s">
        <v>52</v>
      </c>
      <c r="D579" t="s">
        <v>51</v>
      </c>
      <c r="E579">
        <v>7.6</v>
      </c>
      <c r="F579" s="11">
        <v>46231</v>
      </c>
      <c r="G579" t="s">
        <v>111</v>
      </c>
    </row>
    <row r="580" spans="1:7" hidden="1" x14ac:dyDescent="0.25">
      <c r="A580" t="s">
        <v>66</v>
      </c>
      <c r="B580">
        <v>2</v>
      </c>
      <c r="C580" t="s">
        <v>54</v>
      </c>
      <c r="D580" t="s">
        <v>51</v>
      </c>
      <c r="E580">
        <v>7.6</v>
      </c>
      <c r="F580" s="11">
        <v>46233</v>
      </c>
      <c r="G580" t="s">
        <v>111</v>
      </c>
    </row>
    <row r="581" spans="1:7" hidden="1" x14ac:dyDescent="0.25">
      <c r="A581" t="s">
        <v>66</v>
      </c>
      <c r="B581">
        <v>2</v>
      </c>
      <c r="C581" t="s">
        <v>56</v>
      </c>
      <c r="D581" t="s">
        <v>49</v>
      </c>
      <c r="E581">
        <v>7.6</v>
      </c>
      <c r="F581" s="11">
        <v>46235</v>
      </c>
      <c r="G581" t="s">
        <v>111</v>
      </c>
    </row>
    <row r="582" spans="1:7" hidden="1" x14ac:dyDescent="0.25">
      <c r="A582" t="s">
        <v>66</v>
      </c>
      <c r="B582">
        <v>2</v>
      </c>
      <c r="C582" t="s">
        <v>57</v>
      </c>
      <c r="D582" t="s">
        <v>49</v>
      </c>
      <c r="E582">
        <v>7.6</v>
      </c>
      <c r="F582" s="11">
        <v>46236</v>
      </c>
      <c r="G582" t="s">
        <v>111</v>
      </c>
    </row>
    <row r="583" spans="1:7" hidden="1" x14ac:dyDescent="0.25">
      <c r="A583" t="s">
        <v>66</v>
      </c>
      <c r="B583">
        <v>1</v>
      </c>
      <c r="C583" t="s">
        <v>48</v>
      </c>
      <c r="D583" t="s">
        <v>51</v>
      </c>
      <c r="E583">
        <v>7.6</v>
      </c>
      <c r="F583" s="11">
        <v>46223</v>
      </c>
      <c r="G583" t="s">
        <v>112</v>
      </c>
    </row>
    <row r="584" spans="1:7" hidden="1" x14ac:dyDescent="0.25">
      <c r="A584" t="s">
        <v>66</v>
      </c>
      <c r="B584">
        <v>1</v>
      </c>
      <c r="C584" t="s">
        <v>53</v>
      </c>
      <c r="D584" t="s">
        <v>51</v>
      </c>
      <c r="E584">
        <v>7.6</v>
      </c>
      <c r="F584" s="11">
        <v>46225</v>
      </c>
      <c r="G584" t="s">
        <v>112</v>
      </c>
    </row>
    <row r="585" spans="1:7" hidden="1" x14ac:dyDescent="0.25">
      <c r="A585" t="s">
        <v>66</v>
      </c>
      <c r="B585">
        <v>1</v>
      </c>
      <c r="C585" t="s">
        <v>56</v>
      </c>
      <c r="D585" t="s">
        <v>51</v>
      </c>
      <c r="E585">
        <v>7.6</v>
      </c>
      <c r="F585" s="11">
        <v>46228</v>
      </c>
      <c r="G585" t="s">
        <v>112</v>
      </c>
    </row>
    <row r="586" spans="1:7" hidden="1" x14ac:dyDescent="0.25">
      <c r="A586" t="s">
        <v>66</v>
      </c>
      <c r="B586">
        <v>1</v>
      </c>
      <c r="C586" t="s">
        <v>57</v>
      </c>
      <c r="D586" t="s">
        <v>51</v>
      </c>
      <c r="E586">
        <v>7.6</v>
      </c>
      <c r="F586" s="11">
        <v>46229</v>
      </c>
      <c r="G586" t="s">
        <v>112</v>
      </c>
    </row>
    <row r="587" spans="1:7" hidden="1" x14ac:dyDescent="0.25">
      <c r="A587" t="s">
        <v>66</v>
      </c>
      <c r="B587">
        <v>2</v>
      </c>
      <c r="C587" t="s">
        <v>48</v>
      </c>
      <c r="D587" t="s">
        <v>51</v>
      </c>
      <c r="E587">
        <v>7.6</v>
      </c>
      <c r="F587" s="11">
        <v>46230</v>
      </c>
      <c r="G587" t="s">
        <v>112</v>
      </c>
    </row>
    <row r="588" spans="1:7" hidden="1" x14ac:dyDescent="0.25">
      <c r="A588" t="s">
        <v>66</v>
      </c>
      <c r="B588">
        <v>2</v>
      </c>
      <c r="C588" t="s">
        <v>53</v>
      </c>
      <c r="D588" t="s">
        <v>51</v>
      </c>
      <c r="E588">
        <v>7.6</v>
      </c>
      <c r="F588" s="11">
        <v>46232</v>
      </c>
      <c r="G588" t="s">
        <v>112</v>
      </c>
    </row>
    <row r="589" spans="1:7" hidden="1" x14ac:dyDescent="0.25">
      <c r="A589" t="s">
        <v>66</v>
      </c>
      <c r="B589">
        <v>2</v>
      </c>
      <c r="C589" t="s">
        <v>56</v>
      </c>
      <c r="D589" t="s">
        <v>51</v>
      </c>
      <c r="E589">
        <v>7.6</v>
      </c>
      <c r="F589" s="11">
        <v>46235</v>
      </c>
      <c r="G589" t="s">
        <v>112</v>
      </c>
    </row>
    <row r="590" spans="1:7" hidden="1" x14ac:dyDescent="0.25">
      <c r="A590" t="s">
        <v>66</v>
      </c>
      <c r="B590">
        <v>2</v>
      </c>
      <c r="C590" t="s">
        <v>57</v>
      </c>
      <c r="D590" t="s">
        <v>51</v>
      </c>
      <c r="E590">
        <v>7.6</v>
      </c>
      <c r="F590" s="11">
        <v>46236</v>
      </c>
      <c r="G590" t="s">
        <v>112</v>
      </c>
    </row>
    <row r="591" spans="1:7" hidden="1" x14ac:dyDescent="0.25">
      <c r="A591" t="s">
        <v>66</v>
      </c>
      <c r="B591">
        <v>1</v>
      </c>
      <c r="C591" t="s">
        <v>53</v>
      </c>
      <c r="D591" t="s">
        <v>51</v>
      </c>
      <c r="E591">
        <v>7.6</v>
      </c>
      <c r="F591" s="11">
        <v>46225</v>
      </c>
      <c r="G591" t="s">
        <v>113</v>
      </c>
    </row>
    <row r="592" spans="1:7" hidden="1" x14ac:dyDescent="0.25">
      <c r="A592" t="s">
        <v>66</v>
      </c>
      <c r="B592">
        <v>1</v>
      </c>
      <c r="C592" t="s">
        <v>54</v>
      </c>
      <c r="D592" t="s">
        <v>51</v>
      </c>
      <c r="E592">
        <v>7.6</v>
      </c>
      <c r="F592" s="11">
        <v>46226</v>
      </c>
      <c r="G592" t="s">
        <v>113</v>
      </c>
    </row>
    <row r="593" spans="1:7" hidden="1" x14ac:dyDescent="0.25">
      <c r="A593" t="s">
        <v>66</v>
      </c>
      <c r="B593">
        <v>1</v>
      </c>
      <c r="C593" t="s">
        <v>55</v>
      </c>
      <c r="D593" t="s">
        <v>51</v>
      </c>
      <c r="E593">
        <v>7.6</v>
      </c>
      <c r="F593" s="11">
        <v>46227</v>
      </c>
      <c r="G593" t="s">
        <v>113</v>
      </c>
    </row>
    <row r="594" spans="1:7" hidden="1" x14ac:dyDescent="0.25">
      <c r="A594" t="s">
        <v>66</v>
      </c>
      <c r="B594">
        <v>1</v>
      </c>
      <c r="C594" t="s">
        <v>56</v>
      </c>
      <c r="D594" t="s">
        <v>51</v>
      </c>
      <c r="E594">
        <v>7.6</v>
      </c>
      <c r="F594" s="11">
        <v>46228</v>
      </c>
      <c r="G594" t="s">
        <v>113</v>
      </c>
    </row>
    <row r="595" spans="1:7" hidden="1" x14ac:dyDescent="0.25">
      <c r="A595" t="s">
        <v>66</v>
      </c>
      <c r="B595">
        <v>2</v>
      </c>
      <c r="C595" t="s">
        <v>53</v>
      </c>
      <c r="D595" t="s">
        <v>51</v>
      </c>
      <c r="E595">
        <v>7.6</v>
      </c>
      <c r="F595" s="11">
        <v>46232</v>
      </c>
      <c r="G595" t="s">
        <v>113</v>
      </c>
    </row>
    <row r="596" spans="1:7" hidden="1" x14ac:dyDescent="0.25">
      <c r="A596" t="s">
        <v>66</v>
      </c>
      <c r="B596">
        <v>2</v>
      </c>
      <c r="C596" t="s">
        <v>54</v>
      </c>
      <c r="D596" t="s">
        <v>51</v>
      </c>
      <c r="E596">
        <v>7.6</v>
      </c>
      <c r="F596" s="11">
        <v>46233</v>
      </c>
      <c r="G596" t="s">
        <v>113</v>
      </c>
    </row>
    <row r="597" spans="1:7" hidden="1" x14ac:dyDescent="0.25">
      <c r="A597" t="s">
        <v>66</v>
      </c>
      <c r="B597">
        <v>2</v>
      </c>
      <c r="C597" t="s">
        <v>55</v>
      </c>
      <c r="D597" t="s">
        <v>51</v>
      </c>
      <c r="E597">
        <v>7.6</v>
      </c>
      <c r="F597" s="11">
        <v>46234</v>
      </c>
      <c r="G597" t="s">
        <v>113</v>
      </c>
    </row>
    <row r="598" spans="1:7" hidden="1" x14ac:dyDescent="0.25">
      <c r="A598" t="s">
        <v>66</v>
      </c>
      <c r="B598">
        <v>2</v>
      </c>
      <c r="C598" t="s">
        <v>56</v>
      </c>
      <c r="D598" t="s">
        <v>51</v>
      </c>
      <c r="E598">
        <v>7.6</v>
      </c>
      <c r="F598" s="11">
        <v>46235</v>
      </c>
      <c r="G598" t="s">
        <v>113</v>
      </c>
    </row>
    <row r="599" spans="1:7" hidden="1" x14ac:dyDescent="0.25">
      <c r="A599" t="s">
        <v>66</v>
      </c>
      <c r="B599">
        <v>1</v>
      </c>
      <c r="C599" t="s">
        <v>48</v>
      </c>
      <c r="D599" t="s">
        <v>49</v>
      </c>
      <c r="E599">
        <v>7.6</v>
      </c>
      <c r="F599" s="11">
        <v>46223</v>
      </c>
      <c r="G599" t="s">
        <v>114</v>
      </c>
    </row>
    <row r="600" spans="1:7" hidden="1" x14ac:dyDescent="0.25">
      <c r="A600" t="s">
        <v>66</v>
      </c>
      <c r="B600">
        <v>1</v>
      </c>
      <c r="C600" t="s">
        <v>52</v>
      </c>
      <c r="D600" t="s">
        <v>49</v>
      </c>
      <c r="E600">
        <v>7.6</v>
      </c>
      <c r="F600" s="11">
        <v>46224</v>
      </c>
      <c r="G600" t="s">
        <v>114</v>
      </c>
    </row>
    <row r="601" spans="1:7" hidden="1" x14ac:dyDescent="0.25">
      <c r="A601" t="s">
        <v>66</v>
      </c>
      <c r="B601">
        <v>1</v>
      </c>
      <c r="C601" t="s">
        <v>56</v>
      </c>
      <c r="D601" t="s">
        <v>49</v>
      </c>
      <c r="E601">
        <v>7.6</v>
      </c>
      <c r="F601" s="11">
        <v>46228</v>
      </c>
      <c r="G601" t="s">
        <v>114</v>
      </c>
    </row>
    <row r="602" spans="1:7" hidden="1" x14ac:dyDescent="0.25">
      <c r="A602" t="s">
        <v>66</v>
      </c>
      <c r="B602">
        <v>1</v>
      </c>
      <c r="C602" t="s">
        <v>57</v>
      </c>
      <c r="D602" t="s">
        <v>49</v>
      </c>
      <c r="E602">
        <v>7.6</v>
      </c>
      <c r="F602" s="11">
        <v>46229</v>
      </c>
      <c r="G602" t="s">
        <v>114</v>
      </c>
    </row>
    <row r="603" spans="1:7" hidden="1" x14ac:dyDescent="0.25">
      <c r="A603" t="s">
        <v>66</v>
      </c>
      <c r="B603">
        <v>2</v>
      </c>
      <c r="C603" t="s">
        <v>48</v>
      </c>
      <c r="D603" t="s">
        <v>49</v>
      </c>
      <c r="E603">
        <v>7.6</v>
      </c>
      <c r="F603" s="11">
        <v>46230</v>
      </c>
      <c r="G603" t="s">
        <v>114</v>
      </c>
    </row>
    <row r="604" spans="1:7" hidden="1" x14ac:dyDescent="0.25">
      <c r="A604" t="s">
        <v>66</v>
      </c>
      <c r="B604">
        <v>2</v>
      </c>
      <c r="C604" t="s">
        <v>52</v>
      </c>
      <c r="D604" t="s">
        <v>49</v>
      </c>
      <c r="E604">
        <v>7.6</v>
      </c>
      <c r="F604" s="11">
        <v>46231</v>
      </c>
      <c r="G604" t="s">
        <v>114</v>
      </c>
    </row>
    <row r="605" spans="1:7" hidden="1" x14ac:dyDescent="0.25">
      <c r="A605" t="s">
        <v>66</v>
      </c>
      <c r="B605">
        <v>2</v>
      </c>
      <c r="C605" t="s">
        <v>56</v>
      </c>
      <c r="D605" t="s">
        <v>49</v>
      </c>
      <c r="E605">
        <v>7.6</v>
      </c>
      <c r="F605" s="11">
        <v>46235</v>
      </c>
      <c r="G605" t="s">
        <v>114</v>
      </c>
    </row>
    <row r="606" spans="1:7" hidden="1" x14ac:dyDescent="0.25">
      <c r="A606" t="s">
        <v>66</v>
      </c>
      <c r="B606">
        <v>2</v>
      </c>
      <c r="C606" t="s">
        <v>57</v>
      </c>
      <c r="D606" t="s">
        <v>49</v>
      </c>
      <c r="E606">
        <v>7.6</v>
      </c>
      <c r="F606" s="11">
        <v>46236</v>
      </c>
      <c r="G606" t="s">
        <v>114</v>
      </c>
    </row>
    <row r="607" spans="1:7" hidden="1" x14ac:dyDescent="0.25">
      <c r="A607" t="s">
        <v>66</v>
      </c>
      <c r="B607">
        <v>1</v>
      </c>
      <c r="C607" t="s">
        <v>48</v>
      </c>
      <c r="D607" t="s">
        <v>49</v>
      </c>
      <c r="E607">
        <v>7.6</v>
      </c>
      <c r="F607" s="11">
        <v>46223</v>
      </c>
      <c r="G607" t="s">
        <v>115</v>
      </c>
    </row>
    <row r="608" spans="1:7" hidden="1" x14ac:dyDescent="0.25">
      <c r="A608" t="s">
        <v>66</v>
      </c>
      <c r="B608">
        <v>1</v>
      </c>
      <c r="C608" t="s">
        <v>52</v>
      </c>
      <c r="D608" t="s">
        <v>49</v>
      </c>
      <c r="E608">
        <v>7.6</v>
      </c>
      <c r="F608" s="11">
        <v>46224</v>
      </c>
      <c r="G608" t="s">
        <v>115</v>
      </c>
    </row>
    <row r="609" spans="1:7" hidden="1" x14ac:dyDescent="0.25">
      <c r="A609" t="s">
        <v>66</v>
      </c>
      <c r="B609">
        <v>1</v>
      </c>
      <c r="C609" t="s">
        <v>53</v>
      </c>
      <c r="D609" t="s">
        <v>49</v>
      </c>
      <c r="E609">
        <v>7.6</v>
      </c>
      <c r="F609" s="11">
        <v>46225</v>
      </c>
      <c r="G609" t="s">
        <v>115</v>
      </c>
    </row>
    <row r="610" spans="1:7" hidden="1" x14ac:dyDescent="0.25">
      <c r="A610" t="s">
        <v>66</v>
      </c>
      <c r="B610">
        <v>1</v>
      </c>
      <c r="C610" t="s">
        <v>54</v>
      </c>
      <c r="D610" t="s">
        <v>49</v>
      </c>
      <c r="E610">
        <v>7.6</v>
      </c>
      <c r="F610" s="11">
        <v>46226</v>
      </c>
      <c r="G610" t="s">
        <v>115</v>
      </c>
    </row>
    <row r="611" spans="1:7" hidden="1" x14ac:dyDescent="0.25">
      <c r="A611" t="s">
        <v>66</v>
      </c>
      <c r="B611">
        <v>1</v>
      </c>
      <c r="C611" t="s">
        <v>55</v>
      </c>
      <c r="D611" t="s">
        <v>49</v>
      </c>
      <c r="E611">
        <v>7.6</v>
      </c>
      <c r="F611" s="11">
        <v>46227</v>
      </c>
      <c r="G611" t="s">
        <v>115</v>
      </c>
    </row>
    <row r="612" spans="1:7" hidden="1" x14ac:dyDescent="0.25">
      <c r="A612" t="s">
        <v>66</v>
      </c>
      <c r="B612">
        <v>2</v>
      </c>
      <c r="C612" t="s">
        <v>48</v>
      </c>
      <c r="D612" t="s">
        <v>49</v>
      </c>
      <c r="E612">
        <v>7.6</v>
      </c>
      <c r="F612" s="11">
        <v>46230</v>
      </c>
      <c r="G612" t="s">
        <v>115</v>
      </c>
    </row>
    <row r="613" spans="1:7" hidden="1" x14ac:dyDescent="0.25">
      <c r="A613" t="s">
        <v>66</v>
      </c>
      <c r="B613">
        <v>2</v>
      </c>
      <c r="C613" t="s">
        <v>52</v>
      </c>
      <c r="D613" t="s">
        <v>49</v>
      </c>
      <c r="E613">
        <v>7.6</v>
      </c>
      <c r="F613" s="11">
        <v>46231</v>
      </c>
      <c r="G613" t="s">
        <v>115</v>
      </c>
    </row>
    <row r="614" spans="1:7" hidden="1" x14ac:dyDescent="0.25">
      <c r="A614" t="s">
        <v>66</v>
      </c>
      <c r="B614">
        <v>2</v>
      </c>
      <c r="C614" t="s">
        <v>53</v>
      </c>
      <c r="D614" t="s">
        <v>49</v>
      </c>
      <c r="E614">
        <v>7.6</v>
      </c>
      <c r="F614" s="11">
        <v>46232</v>
      </c>
      <c r="G614" t="s">
        <v>115</v>
      </c>
    </row>
    <row r="615" spans="1:7" hidden="1" x14ac:dyDescent="0.25">
      <c r="A615" t="s">
        <v>66</v>
      </c>
      <c r="B615">
        <v>2</v>
      </c>
      <c r="C615" t="s">
        <v>54</v>
      </c>
      <c r="D615" t="s">
        <v>49</v>
      </c>
      <c r="E615">
        <v>7.6</v>
      </c>
      <c r="F615" s="11">
        <v>46233</v>
      </c>
      <c r="G615" t="s">
        <v>115</v>
      </c>
    </row>
    <row r="616" spans="1:7" hidden="1" x14ac:dyDescent="0.25">
      <c r="A616" t="s">
        <v>66</v>
      </c>
      <c r="B616">
        <v>2</v>
      </c>
      <c r="C616" t="s">
        <v>55</v>
      </c>
      <c r="D616" t="s">
        <v>49</v>
      </c>
      <c r="E616">
        <v>7.6</v>
      </c>
      <c r="F616" s="11">
        <v>46234</v>
      </c>
      <c r="G616" t="s">
        <v>115</v>
      </c>
    </row>
    <row r="617" spans="1:7" hidden="1" x14ac:dyDescent="0.25">
      <c r="A617" t="s">
        <v>66</v>
      </c>
      <c r="B617">
        <v>1</v>
      </c>
      <c r="C617" t="s">
        <v>48</v>
      </c>
      <c r="D617" t="s">
        <v>51</v>
      </c>
      <c r="E617">
        <v>7.6</v>
      </c>
      <c r="F617" s="11">
        <v>46223</v>
      </c>
      <c r="G617" t="s">
        <v>116</v>
      </c>
    </row>
    <row r="618" spans="1:7" hidden="1" x14ac:dyDescent="0.25">
      <c r="A618" t="s">
        <v>66</v>
      </c>
      <c r="B618">
        <v>1</v>
      </c>
      <c r="C618" t="s">
        <v>52</v>
      </c>
      <c r="D618" t="s">
        <v>51</v>
      </c>
      <c r="E618">
        <v>7.6</v>
      </c>
      <c r="F618" s="11">
        <v>46224</v>
      </c>
      <c r="G618" t="s">
        <v>116</v>
      </c>
    </row>
    <row r="619" spans="1:7" hidden="1" x14ac:dyDescent="0.25">
      <c r="A619" t="s">
        <v>66</v>
      </c>
      <c r="B619">
        <v>1</v>
      </c>
      <c r="C619" t="s">
        <v>53</v>
      </c>
      <c r="D619" t="s">
        <v>51</v>
      </c>
      <c r="E619">
        <v>7.6</v>
      </c>
      <c r="F619" s="11">
        <v>46225</v>
      </c>
      <c r="G619" t="s">
        <v>116</v>
      </c>
    </row>
    <row r="620" spans="1:7" hidden="1" x14ac:dyDescent="0.25">
      <c r="A620" t="s">
        <v>66</v>
      </c>
      <c r="B620">
        <v>2</v>
      </c>
      <c r="C620" t="s">
        <v>48</v>
      </c>
      <c r="D620" t="s">
        <v>51</v>
      </c>
      <c r="E620">
        <v>7.6</v>
      </c>
      <c r="F620" s="11">
        <v>46230</v>
      </c>
      <c r="G620" t="s">
        <v>116</v>
      </c>
    </row>
    <row r="621" spans="1:7" hidden="1" x14ac:dyDescent="0.25">
      <c r="A621" t="s">
        <v>66</v>
      </c>
      <c r="B621">
        <v>2</v>
      </c>
      <c r="C621" t="s">
        <v>52</v>
      </c>
      <c r="D621" t="s">
        <v>51</v>
      </c>
      <c r="E621">
        <v>7.6</v>
      </c>
      <c r="F621" s="11">
        <v>46231</v>
      </c>
      <c r="G621" t="s">
        <v>116</v>
      </c>
    </row>
    <row r="622" spans="1:7" hidden="1" x14ac:dyDescent="0.25">
      <c r="A622" t="s">
        <v>66</v>
      </c>
      <c r="B622">
        <v>2</v>
      </c>
      <c r="C622" t="s">
        <v>53</v>
      </c>
      <c r="D622" t="s">
        <v>51</v>
      </c>
      <c r="E622">
        <v>7.6</v>
      </c>
      <c r="F622" s="11">
        <v>46232</v>
      </c>
      <c r="G622" t="s">
        <v>116</v>
      </c>
    </row>
    <row r="623" spans="1:7" hidden="1" x14ac:dyDescent="0.25">
      <c r="A623" t="s">
        <v>66</v>
      </c>
      <c r="B623">
        <v>1</v>
      </c>
      <c r="C623" t="s">
        <v>48</v>
      </c>
      <c r="D623" t="s">
        <v>50</v>
      </c>
      <c r="E623">
        <v>7.6</v>
      </c>
      <c r="F623" s="11">
        <v>46223</v>
      </c>
      <c r="G623" t="s">
        <v>117</v>
      </c>
    </row>
    <row r="624" spans="1:7" hidden="1" x14ac:dyDescent="0.25">
      <c r="A624" t="s">
        <v>66</v>
      </c>
      <c r="B624">
        <v>1</v>
      </c>
      <c r="C624" t="s">
        <v>52</v>
      </c>
      <c r="D624" t="s">
        <v>50</v>
      </c>
      <c r="E624">
        <v>7.6</v>
      </c>
      <c r="F624" s="11">
        <v>46224</v>
      </c>
      <c r="G624" t="s">
        <v>117</v>
      </c>
    </row>
    <row r="625" spans="1:7" hidden="1" x14ac:dyDescent="0.25">
      <c r="A625" t="s">
        <v>66</v>
      </c>
      <c r="B625">
        <v>1</v>
      </c>
      <c r="C625" t="s">
        <v>48</v>
      </c>
      <c r="D625" t="s">
        <v>51</v>
      </c>
      <c r="E625">
        <v>7.6</v>
      </c>
      <c r="F625" s="11">
        <v>46223</v>
      </c>
      <c r="G625" t="s">
        <v>118</v>
      </c>
    </row>
    <row r="626" spans="1:7" hidden="1" x14ac:dyDescent="0.25">
      <c r="A626" t="s">
        <v>66</v>
      </c>
      <c r="B626">
        <v>1</v>
      </c>
      <c r="C626" t="s">
        <v>52</v>
      </c>
      <c r="D626" t="s">
        <v>49</v>
      </c>
      <c r="E626">
        <v>7.6</v>
      </c>
      <c r="F626" s="11">
        <v>46224</v>
      </c>
      <c r="G626" t="s">
        <v>118</v>
      </c>
    </row>
    <row r="627" spans="1:7" hidden="1" x14ac:dyDescent="0.25">
      <c r="A627" t="s">
        <v>66</v>
      </c>
      <c r="B627">
        <v>1</v>
      </c>
      <c r="C627" t="s">
        <v>52</v>
      </c>
      <c r="D627" t="s">
        <v>50</v>
      </c>
      <c r="E627">
        <v>7.6</v>
      </c>
      <c r="F627" s="11">
        <v>46224</v>
      </c>
      <c r="G627" t="s">
        <v>118</v>
      </c>
    </row>
    <row r="628" spans="1:7" hidden="1" x14ac:dyDescent="0.25">
      <c r="A628" t="s">
        <v>66</v>
      </c>
      <c r="B628">
        <v>1</v>
      </c>
      <c r="C628" t="s">
        <v>53</v>
      </c>
      <c r="D628" t="s">
        <v>49</v>
      </c>
      <c r="E628">
        <v>7.6</v>
      </c>
      <c r="F628" s="11">
        <v>46225</v>
      </c>
      <c r="G628" t="s">
        <v>118</v>
      </c>
    </row>
    <row r="629" spans="1:7" hidden="1" x14ac:dyDescent="0.25">
      <c r="A629" t="s">
        <v>66</v>
      </c>
      <c r="B629">
        <v>1</v>
      </c>
      <c r="C629" t="s">
        <v>53</v>
      </c>
      <c r="D629" t="s">
        <v>50</v>
      </c>
      <c r="E629">
        <v>7.6</v>
      </c>
      <c r="F629" s="11">
        <v>46225</v>
      </c>
      <c r="G629" t="s">
        <v>118</v>
      </c>
    </row>
    <row r="630" spans="1:7" hidden="1" x14ac:dyDescent="0.25">
      <c r="A630" t="s">
        <v>66</v>
      </c>
      <c r="B630">
        <v>1</v>
      </c>
      <c r="C630" t="s">
        <v>55</v>
      </c>
      <c r="D630" t="s">
        <v>51</v>
      </c>
      <c r="E630">
        <v>7.6</v>
      </c>
      <c r="F630" s="11">
        <v>46227</v>
      </c>
      <c r="G630" t="s">
        <v>118</v>
      </c>
    </row>
    <row r="631" spans="1:7" hidden="1" x14ac:dyDescent="0.25">
      <c r="A631" t="s">
        <v>66</v>
      </c>
      <c r="B631">
        <v>1</v>
      </c>
      <c r="C631" t="s">
        <v>56</v>
      </c>
      <c r="D631" t="s">
        <v>51</v>
      </c>
      <c r="E631">
        <v>7.6</v>
      </c>
      <c r="F631" s="11">
        <v>46228</v>
      </c>
      <c r="G631" t="s">
        <v>118</v>
      </c>
    </row>
    <row r="632" spans="1:7" hidden="1" x14ac:dyDescent="0.25">
      <c r="A632" t="s">
        <v>66</v>
      </c>
      <c r="B632">
        <v>1</v>
      </c>
      <c r="C632" t="s">
        <v>57</v>
      </c>
      <c r="D632" t="s">
        <v>50</v>
      </c>
      <c r="E632">
        <v>7.6</v>
      </c>
      <c r="F632" s="11">
        <v>46229</v>
      </c>
      <c r="G632" t="s">
        <v>118</v>
      </c>
    </row>
    <row r="633" spans="1:7" hidden="1" x14ac:dyDescent="0.25">
      <c r="A633" t="s">
        <v>66</v>
      </c>
      <c r="B633">
        <v>2</v>
      </c>
      <c r="C633" t="s">
        <v>48</v>
      </c>
      <c r="D633" t="s">
        <v>51</v>
      </c>
      <c r="E633">
        <v>7.6</v>
      </c>
      <c r="F633" s="11">
        <v>46230</v>
      </c>
      <c r="G633" t="s">
        <v>118</v>
      </c>
    </row>
    <row r="634" spans="1:7" hidden="1" x14ac:dyDescent="0.25">
      <c r="A634" t="s">
        <v>66</v>
      </c>
      <c r="B634">
        <v>2</v>
      </c>
      <c r="C634" t="s">
        <v>52</v>
      </c>
      <c r="D634" t="s">
        <v>49</v>
      </c>
      <c r="E634">
        <v>7.6</v>
      </c>
      <c r="F634" s="11">
        <v>46231</v>
      </c>
      <c r="G634" t="s">
        <v>118</v>
      </c>
    </row>
    <row r="635" spans="1:7" hidden="1" x14ac:dyDescent="0.25">
      <c r="A635" t="s">
        <v>66</v>
      </c>
      <c r="B635">
        <v>2</v>
      </c>
      <c r="C635" t="s">
        <v>52</v>
      </c>
      <c r="D635" t="s">
        <v>50</v>
      </c>
      <c r="E635">
        <v>7.6</v>
      </c>
      <c r="F635" s="11">
        <v>46231</v>
      </c>
      <c r="G635" t="s">
        <v>118</v>
      </c>
    </row>
    <row r="636" spans="1:7" hidden="1" x14ac:dyDescent="0.25">
      <c r="A636" t="s">
        <v>66</v>
      </c>
      <c r="B636">
        <v>2</v>
      </c>
      <c r="C636" t="s">
        <v>53</v>
      </c>
      <c r="D636" t="s">
        <v>49</v>
      </c>
      <c r="E636">
        <v>7.6</v>
      </c>
      <c r="F636" s="11">
        <v>46232</v>
      </c>
      <c r="G636" t="s">
        <v>118</v>
      </c>
    </row>
    <row r="637" spans="1:7" hidden="1" x14ac:dyDescent="0.25">
      <c r="A637" t="s">
        <v>66</v>
      </c>
      <c r="B637">
        <v>2</v>
      </c>
      <c r="C637" t="s">
        <v>53</v>
      </c>
      <c r="D637" t="s">
        <v>50</v>
      </c>
      <c r="E637">
        <v>7.6</v>
      </c>
      <c r="F637" s="11">
        <v>46232</v>
      </c>
      <c r="G637" t="s">
        <v>118</v>
      </c>
    </row>
    <row r="638" spans="1:7" hidden="1" x14ac:dyDescent="0.25">
      <c r="A638" t="s">
        <v>66</v>
      </c>
      <c r="B638">
        <v>2</v>
      </c>
      <c r="C638" t="s">
        <v>55</v>
      </c>
      <c r="D638" t="s">
        <v>51</v>
      </c>
      <c r="E638">
        <v>7.6</v>
      </c>
      <c r="F638" s="11">
        <v>46234</v>
      </c>
      <c r="G638" t="s">
        <v>118</v>
      </c>
    </row>
    <row r="639" spans="1:7" hidden="1" x14ac:dyDescent="0.25">
      <c r="A639" t="s">
        <v>66</v>
      </c>
      <c r="B639">
        <v>2</v>
      </c>
      <c r="C639" t="s">
        <v>56</v>
      </c>
      <c r="D639" t="s">
        <v>51</v>
      </c>
      <c r="E639">
        <v>7.6</v>
      </c>
      <c r="F639" s="11">
        <v>46235</v>
      </c>
      <c r="G639" t="s">
        <v>118</v>
      </c>
    </row>
    <row r="640" spans="1:7" hidden="1" x14ac:dyDescent="0.25">
      <c r="A640" t="s">
        <v>66</v>
      </c>
      <c r="B640">
        <v>2</v>
      </c>
      <c r="C640" t="s">
        <v>57</v>
      </c>
      <c r="D640" t="s">
        <v>50</v>
      </c>
      <c r="E640">
        <v>7.6</v>
      </c>
      <c r="F640" s="11">
        <v>46236</v>
      </c>
      <c r="G640" t="s">
        <v>118</v>
      </c>
    </row>
    <row r="641" spans="1:7" hidden="1" x14ac:dyDescent="0.25">
      <c r="A641" t="s">
        <v>66</v>
      </c>
      <c r="B641">
        <v>1</v>
      </c>
      <c r="C641" t="s">
        <v>48</v>
      </c>
      <c r="D641" t="s">
        <v>51</v>
      </c>
      <c r="E641">
        <v>7.6</v>
      </c>
      <c r="F641" s="11">
        <v>46223</v>
      </c>
      <c r="G641" t="s">
        <v>120</v>
      </c>
    </row>
    <row r="642" spans="1:7" hidden="1" x14ac:dyDescent="0.25">
      <c r="A642" t="s">
        <v>66</v>
      </c>
      <c r="B642">
        <v>1</v>
      </c>
      <c r="C642" t="s">
        <v>52</v>
      </c>
      <c r="D642" t="s">
        <v>51</v>
      </c>
      <c r="E642">
        <v>7.6</v>
      </c>
      <c r="F642" s="11">
        <v>46224</v>
      </c>
      <c r="G642" t="s">
        <v>120</v>
      </c>
    </row>
    <row r="643" spans="1:7" hidden="1" x14ac:dyDescent="0.25">
      <c r="A643" t="s">
        <v>66</v>
      </c>
      <c r="B643">
        <v>1</v>
      </c>
      <c r="C643" t="s">
        <v>53</v>
      </c>
      <c r="D643" t="s">
        <v>49</v>
      </c>
      <c r="E643">
        <v>7.6</v>
      </c>
      <c r="F643" s="11">
        <v>46225</v>
      </c>
      <c r="G643" t="s">
        <v>120</v>
      </c>
    </row>
    <row r="644" spans="1:7" hidden="1" x14ac:dyDescent="0.25">
      <c r="A644" t="s">
        <v>66</v>
      </c>
      <c r="B644">
        <v>1</v>
      </c>
      <c r="C644" t="s">
        <v>53</v>
      </c>
      <c r="D644" t="s">
        <v>51</v>
      </c>
      <c r="E644">
        <v>7.6</v>
      </c>
      <c r="F644" s="11">
        <v>46225</v>
      </c>
      <c r="G644" t="s">
        <v>120</v>
      </c>
    </row>
    <row r="645" spans="1:7" hidden="1" x14ac:dyDescent="0.25">
      <c r="A645" t="s">
        <v>66</v>
      </c>
      <c r="B645">
        <v>1</v>
      </c>
      <c r="C645" t="s">
        <v>54</v>
      </c>
      <c r="D645" t="s">
        <v>51</v>
      </c>
      <c r="E645">
        <v>7.6</v>
      </c>
      <c r="F645" s="11">
        <v>46226</v>
      </c>
      <c r="G645" t="s">
        <v>120</v>
      </c>
    </row>
    <row r="646" spans="1:7" hidden="1" x14ac:dyDescent="0.25">
      <c r="A646" t="s">
        <v>66</v>
      </c>
      <c r="B646">
        <v>1</v>
      </c>
      <c r="C646" t="s">
        <v>56</v>
      </c>
      <c r="D646" t="s">
        <v>49</v>
      </c>
      <c r="E646">
        <v>7.6</v>
      </c>
      <c r="F646" s="11">
        <v>46228</v>
      </c>
      <c r="G646" t="s">
        <v>120</v>
      </c>
    </row>
    <row r="647" spans="1:7" hidden="1" x14ac:dyDescent="0.25">
      <c r="A647" t="s">
        <v>66</v>
      </c>
      <c r="B647">
        <v>1</v>
      </c>
      <c r="C647" t="s">
        <v>57</v>
      </c>
      <c r="D647" t="s">
        <v>49</v>
      </c>
      <c r="E647">
        <v>7.6</v>
      </c>
      <c r="F647" s="11">
        <v>46229</v>
      </c>
      <c r="G647" t="s">
        <v>120</v>
      </c>
    </row>
    <row r="648" spans="1:7" hidden="1" x14ac:dyDescent="0.25">
      <c r="A648" t="s">
        <v>66</v>
      </c>
      <c r="B648">
        <v>2</v>
      </c>
      <c r="C648" t="s">
        <v>48</v>
      </c>
      <c r="D648" t="s">
        <v>51</v>
      </c>
      <c r="E648">
        <v>7.6</v>
      </c>
      <c r="F648" s="11">
        <v>46230</v>
      </c>
      <c r="G648" t="s">
        <v>120</v>
      </c>
    </row>
    <row r="649" spans="1:7" hidden="1" x14ac:dyDescent="0.25">
      <c r="A649" t="s">
        <v>66</v>
      </c>
      <c r="B649">
        <v>2</v>
      </c>
      <c r="C649" t="s">
        <v>52</v>
      </c>
      <c r="D649" t="s">
        <v>51</v>
      </c>
      <c r="E649">
        <v>7.6</v>
      </c>
      <c r="F649" s="11">
        <v>46231</v>
      </c>
      <c r="G649" t="s">
        <v>120</v>
      </c>
    </row>
    <row r="650" spans="1:7" hidden="1" x14ac:dyDescent="0.25">
      <c r="A650" t="s">
        <v>66</v>
      </c>
      <c r="B650">
        <v>2</v>
      </c>
      <c r="C650" t="s">
        <v>53</v>
      </c>
      <c r="D650" t="s">
        <v>49</v>
      </c>
      <c r="E650">
        <v>7.6</v>
      </c>
      <c r="F650" s="11">
        <v>46232</v>
      </c>
      <c r="G650" t="s">
        <v>120</v>
      </c>
    </row>
    <row r="651" spans="1:7" hidden="1" x14ac:dyDescent="0.25">
      <c r="A651" t="s">
        <v>66</v>
      </c>
      <c r="B651">
        <v>2</v>
      </c>
      <c r="C651" t="s">
        <v>53</v>
      </c>
      <c r="D651" t="s">
        <v>51</v>
      </c>
      <c r="E651">
        <v>7.6</v>
      </c>
      <c r="F651" s="11">
        <v>46232</v>
      </c>
      <c r="G651" t="s">
        <v>120</v>
      </c>
    </row>
    <row r="652" spans="1:7" hidden="1" x14ac:dyDescent="0.25">
      <c r="A652" t="s">
        <v>66</v>
      </c>
      <c r="B652">
        <v>2</v>
      </c>
      <c r="C652" t="s">
        <v>54</v>
      </c>
      <c r="D652" t="s">
        <v>51</v>
      </c>
      <c r="E652">
        <v>7.6</v>
      </c>
      <c r="F652" s="11">
        <v>46233</v>
      </c>
      <c r="G652" t="s">
        <v>120</v>
      </c>
    </row>
    <row r="653" spans="1:7" hidden="1" x14ac:dyDescent="0.25">
      <c r="A653" t="s">
        <v>66</v>
      </c>
      <c r="B653">
        <v>2</v>
      </c>
      <c r="C653" t="s">
        <v>56</v>
      </c>
      <c r="D653" t="s">
        <v>49</v>
      </c>
      <c r="E653">
        <v>7.6</v>
      </c>
      <c r="F653" s="11">
        <v>46235</v>
      </c>
      <c r="G653" t="s">
        <v>120</v>
      </c>
    </row>
    <row r="654" spans="1:7" hidden="1" x14ac:dyDescent="0.25">
      <c r="A654" t="s">
        <v>66</v>
      </c>
      <c r="B654">
        <v>2</v>
      </c>
      <c r="C654" t="s">
        <v>57</v>
      </c>
      <c r="D654" t="s">
        <v>49</v>
      </c>
      <c r="E654">
        <v>7.6</v>
      </c>
      <c r="F654" s="11">
        <v>46236</v>
      </c>
      <c r="G654" t="s">
        <v>120</v>
      </c>
    </row>
    <row r="655" spans="1:7" hidden="1" x14ac:dyDescent="0.25">
      <c r="A655" t="s">
        <v>66</v>
      </c>
      <c r="B655">
        <v>1</v>
      </c>
      <c r="C655" t="s">
        <v>48</v>
      </c>
      <c r="D655" t="s">
        <v>50</v>
      </c>
      <c r="E655">
        <v>7.6</v>
      </c>
      <c r="F655" s="11">
        <v>46223</v>
      </c>
      <c r="G655" t="s">
        <v>121</v>
      </c>
    </row>
    <row r="656" spans="1:7" hidden="1" x14ac:dyDescent="0.25">
      <c r="A656" t="s">
        <v>66</v>
      </c>
      <c r="B656">
        <v>1</v>
      </c>
      <c r="C656" t="s">
        <v>52</v>
      </c>
      <c r="D656" t="s">
        <v>50</v>
      </c>
      <c r="E656">
        <v>7.6</v>
      </c>
      <c r="F656" s="11">
        <v>46224</v>
      </c>
      <c r="G656" t="s">
        <v>121</v>
      </c>
    </row>
    <row r="657" spans="1:7" hidden="1" x14ac:dyDescent="0.25">
      <c r="A657" t="s">
        <v>66</v>
      </c>
      <c r="B657">
        <v>1</v>
      </c>
      <c r="C657" t="s">
        <v>53</v>
      </c>
      <c r="D657" t="s">
        <v>50</v>
      </c>
      <c r="E657">
        <v>7.6</v>
      </c>
      <c r="F657" s="11">
        <v>46225</v>
      </c>
      <c r="G657" t="s">
        <v>121</v>
      </c>
    </row>
    <row r="658" spans="1:7" hidden="1" x14ac:dyDescent="0.25">
      <c r="A658" t="s">
        <v>66</v>
      </c>
      <c r="B658">
        <v>1</v>
      </c>
      <c r="C658" t="s">
        <v>54</v>
      </c>
      <c r="D658" t="s">
        <v>50</v>
      </c>
      <c r="E658">
        <v>7.6</v>
      </c>
      <c r="F658" s="11">
        <v>46226</v>
      </c>
      <c r="G658" t="s">
        <v>121</v>
      </c>
    </row>
    <row r="659" spans="1:7" hidden="1" x14ac:dyDescent="0.25">
      <c r="A659" t="s">
        <v>66</v>
      </c>
      <c r="B659">
        <v>1</v>
      </c>
      <c r="C659" t="s">
        <v>55</v>
      </c>
      <c r="D659" t="s">
        <v>50</v>
      </c>
      <c r="E659">
        <v>7.6</v>
      </c>
      <c r="F659" s="11">
        <v>46227</v>
      </c>
      <c r="G659" t="s">
        <v>121</v>
      </c>
    </row>
    <row r="660" spans="1:7" hidden="1" x14ac:dyDescent="0.25">
      <c r="A660" t="s">
        <v>66</v>
      </c>
      <c r="B660">
        <v>1</v>
      </c>
      <c r="C660" t="s">
        <v>56</v>
      </c>
      <c r="D660" t="s">
        <v>50</v>
      </c>
      <c r="E660">
        <v>7.6</v>
      </c>
      <c r="F660" s="11">
        <v>46228</v>
      </c>
      <c r="G660" t="s">
        <v>121</v>
      </c>
    </row>
    <row r="661" spans="1:7" hidden="1" x14ac:dyDescent="0.25">
      <c r="A661" t="s">
        <v>66</v>
      </c>
      <c r="B661">
        <v>2</v>
      </c>
      <c r="C661" t="s">
        <v>48</v>
      </c>
      <c r="D661" t="s">
        <v>50</v>
      </c>
      <c r="E661">
        <v>7.6</v>
      </c>
      <c r="F661" s="11">
        <v>46230</v>
      </c>
      <c r="G661" t="s">
        <v>121</v>
      </c>
    </row>
    <row r="662" spans="1:7" hidden="1" x14ac:dyDescent="0.25">
      <c r="A662" t="s">
        <v>66</v>
      </c>
      <c r="B662">
        <v>2</v>
      </c>
      <c r="C662" t="s">
        <v>52</v>
      </c>
      <c r="D662" t="s">
        <v>50</v>
      </c>
      <c r="E662">
        <v>7.6</v>
      </c>
      <c r="F662" s="11">
        <v>46231</v>
      </c>
      <c r="G662" t="s">
        <v>121</v>
      </c>
    </row>
    <row r="663" spans="1:7" hidden="1" x14ac:dyDescent="0.25">
      <c r="A663" t="s">
        <v>66</v>
      </c>
      <c r="B663">
        <v>2</v>
      </c>
      <c r="C663" t="s">
        <v>53</v>
      </c>
      <c r="D663" t="s">
        <v>50</v>
      </c>
      <c r="E663">
        <v>7.6</v>
      </c>
      <c r="F663" s="11">
        <v>46232</v>
      </c>
      <c r="G663" t="s">
        <v>121</v>
      </c>
    </row>
    <row r="664" spans="1:7" hidden="1" x14ac:dyDescent="0.25">
      <c r="A664" t="s">
        <v>66</v>
      </c>
      <c r="B664">
        <v>2</v>
      </c>
      <c r="C664" t="s">
        <v>54</v>
      </c>
      <c r="D664" t="s">
        <v>50</v>
      </c>
      <c r="E664">
        <v>7.6</v>
      </c>
      <c r="F664" s="11">
        <v>46233</v>
      </c>
      <c r="G664" t="s">
        <v>121</v>
      </c>
    </row>
    <row r="665" spans="1:7" hidden="1" x14ac:dyDescent="0.25">
      <c r="A665" t="s">
        <v>66</v>
      </c>
      <c r="B665">
        <v>2</v>
      </c>
      <c r="C665" t="s">
        <v>55</v>
      </c>
      <c r="D665" t="s">
        <v>50</v>
      </c>
      <c r="E665">
        <v>7.6</v>
      </c>
      <c r="F665" s="11">
        <v>46234</v>
      </c>
      <c r="G665" t="s">
        <v>121</v>
      </c>
    </row>
    <row r="666" spans="1:7" hidden="1" x14ac:dyDescent="0.25">
      <c r="A666" t="s">
        <v>66</v>
      </c>
      <c r="B666">
        <v>2</v>
      </c>
      <c r="C666" t="s">
        <v>56</v>
      </c>
      <c r="D666" t="s">
        <v>50</v>
      </c>
      <c r="E666">
        <v>7.6</v>
      </c>
      <c r="F666" s="11">
        <v>46235</v>
      </c>
      <c r="G666" t="s">
        <v>121</v>
      </c>
    </row>
    <row r="667" spans="1:7" hidden="1" x14ac:dyDescent="0.25">
      <c r="A667" t="s">
        <v>66</v>
      </c>
      <c r="B667">
        <v>1</v>
      </c>
      <c r="C667" t="s">
        <v>48</v>
      </c>
      <c r="D667" t="s">
        <v>49</v>
      </c>
      <c r="E667">
        <v>7.6</v>
      </c>
      <c r="F667" s="11">
        <v>46223</v>
      </c>
      <c r="G667" t="s">
        <v>122</v>
      </c>
    </row>
    <row r="668" spans="1:7" hidden="1" x14ac:dyDescent="0.25">
      <c r="A668" t="s">
        <v>66</v>
      </c>
      <c r="B668">
        <v>1</v>
      </c>
      <c r="C668" t="s">
        <v>53</v>
      </c>
      <c r="D668" t="s">
        <v>51</v>
      </c>
      <c r="E668">
        <v>7.6</v>
      </c>
      <c r="F668" s="11">
        <v>46225</v>
      </c>
      <c r="G668" t="s">
        <v>122</v>
      </c>
    </row>
    <row r="669" spans="1:7" hidden="1" x14ac:dyDescent="0.25">
      <c r="A669" t="s">
        <v>66</v>
      </c>
      <c r="B669">
        <v>1</v>
      </c>
      <c r="C669" t="s">
        <v>54</v>
      </c>
      <c r="D669" t="s">
        <v>51</v>
      </c>
      <c r="E669">
        <v>7.6</v>
      </c>
      <c r="F669" s="11">
        <v>46226</v>
      </c>
      <c r="G669" t="s">
        <v>122</v>
      </c>
    </row>
    <row r="670" spans="1:7" hidden="1" x14ac:dyDescent="0.25">
      <c r="A670" t="s">
        <v>66</v>
      </c>
      <c r="B670">
        <v>1</v>
      </c>
      <c r="C670" t="s">
        <v>55</v>
      </c>
      <c r="D670" t="s">
        <v>51</v>
      </c>
      <c r="E670">
        <v>7.6</v>
      </c>
      <c r="F670" s="11">
        <v>46227</v>
      </c>
      <c r="G670" t="s">
        <v>122</v>
      </c>
    </row>
    <row r="671" spans="1:7" hidden="1" x14ac:dyDescent="0.25">
      <c r="A671" t="s">
        <v>66</v>
      </c>
      <c r="B671">
        <v>1</v>
      </c>
      <c r="C671" t="s">
        <v>56</v>
      </c>
      <c r="D671" t="s">
        <v>49</v>
      </c>
      <c r="E671">
        <v>7.6</v>
      </c>
      <c r="F671" s="11">
        <v>46228</v>
      </c>
      <c r="G671" t="s">
        <v>122</v>
      </c>
    </row>
    <row r="672" spans="1:7" hidden="1" x14ac:dyDescent="0.25">
      <c r="A672" t="s">
        <v>66</v>
      </c>
      <c r="B672">
        <v>1</v>
      </c>
      <c r="C672" t="s">
        <v>57</v>
      </c>
      <c r="D672" t="s">
        <v>51</v>
      </c>
      <c r="E672">
        <v>7.6</v>
      </c>
      <c r="F672" s="11">
        <v>46229</v>
      </c>
      <c r="G672" t="s">
        <v>122</v>
      </c>
    </row>
    <row r="673" spans="1:7" hidden="1" x14ac:dyDescent="0.25">
      <c r="A673" t="s">
        <v>66</v>
      </c>
      <c r="B673">
        <v>2</v>
      </c>
      <c r="C673" t="s">
        <v>48</v>
      </c>
      <c r="D673" t="s">
        <v>49</v>
      </c>
      <c r="E673">
        <v>7.6</v>
      </c>
      <c r="F673" s="11">
        <v>46230</v>
      </c>
      <c r="G673" t="s">
        <v>122</v>
      </c>
    </row>
    <row r="674" spans="1:7" hidden="1" x14ac:dyDescent="0.25">
      <c r="A674" t="s">
        <v>66</v>
      </c>
      <c r="B674">
        <v>2</v>
      </c>
      <c r="C674" t="s">
        <v>53</v>
      </c>
      <c r="D674" t="s">
        <v>51</v>
      </c>
      <c r="E674">
        <v>7.6</v>
      </c>
      <c r="F674" s="11">
        <v>46232</v>
      </c>
      <c r="G674" t="s">
        <v>122</v>
      </c>
    </row>
    <row r="675" spans="1:7" hidden="1" x14ac:dyDescent="0.25">
      <c r="A675" t="s">
        <v>66</v>
      </c>
      <c r="B675">
        <v>2</v>
      </c>
      <c r="C675" t="s">
        <v>54</v>
      </c>
      <c r="D675" t="s">
        <v>51</v>
      </c>
      <c r="E675">
        <v>7.6</v>
      </c>
      <c r="F675" s="11">
        <v>46233</v>
      </c>
      <c r="G675" t="s">
        <v>122</v>
      </c>
    </row>
    <row r="676" spans="1:7" hidden="1" x14ac:dyDescent="0.25">
      <c r="A676" t="s">
        <v>66</v>
      </c>
      <c r="B676">
        <v>2</v>
      </c>
      <c r="C676" t="s">
        <v>55</v>
      </c>
      <c r="D676" t="s">
        <v>51</v>
      </c>
      <c r="E676">
        <v>7.6</v>
      </c>
      <c r="F676" s="11">
        <v>46234</v>
      </c>
      <c r="G676" t="s">
        <v>122</v>
      </c>
    </row>
    <row r="677" spans="1:7" hidden="1" x14ac:dyDescent="0.25">
      <c r="A677" t="s">
        <v>66</v>
      </c>
      <c r="B677">
        <v>2</v>
      </c>
      <c r="C677" t="s">
        <v>56</v>
      </c>
      <c r="D677" t="s">
        <v>49</v>
      </c>
      <c r="E677">
        <v>7.6</v>
      </c>
      <c r="F677" s="11">
        <v>46235</v>
      </c>
      <c r="G677" t="s">
        <v>122</v>
      </c>
    </row>
    <row r="678" spans="1:7" hidden="1" x14ac:dyDescent="0.25">
      <c r="A678" t="s">
        <v>66</v>
      </c>
      <c r="B678">
        <v>2</v>
      </c>
      <c r="C678" t="s">
        <v>57</v>
      </c>
      <c r="D678" t="s">
        <v>51</v>
      </c>
      <c r="E678">
        <v>7.6</v>
      </c>
      <c r="F678" s="11">
        <v>46236</v>
      </c>
      <c r="G678" t="s">
        <v>122</v>
      </c>
    </row>
    <row r="679" spans="1:7" hidden="1" x14ac:dyDescent="0.25">
      <c r="A679" t="s">
        <v>66</v>
      </c>
      <c r="B679">
        <v>1</v>
      </c>
      <c r="C679" t="s">
        <v>48</v>
      </c>
      <c r="D679" t="s">
        <v>51</v>
      </c>
      <c r="E679">
        <v>7.6</v>
      </c>
      <c r="F679" s="11">
        <v>46223</v>
      </c>
      <c r="G679" t="s">
        <v>123</v>
      </c>
    </row>
    <row r="680" spans="1:7" hidden="1" x14ac:dyDescent="0.25">
      <c r="A680" t="s">
        <v>66</v>
      </c>
      <c r="B680">
        <v>1</v>
      </c>
      <c r="C680" t="s">
        <v>52</v>
      </c>
      <c r="D680" t="s">
        <v>49</v>
      </c>
      <c r="E680">
        <v>7.6</v>
      </c>
      <c r="F680" s="11">
        <v>46224</v>
      </c>
      <c r="G680" t="s">
        <v>123</v>
      </c>
    </row>
    <row r="681" spans="1:7" hidden="1" x14ac:dyDescent="0.25">
      <c r="A681" t="s">
        <v>66</v>
      </c>
      <c r="B681">
        <v>1</v>
      </c>
      <c r="C681" t="s">
        <v>53</v>
      </c>
      <c r="D681" t="s">
        <v>51</v>
      </c>
      <c r="E681">
        <v>7.6</v>
      </c>
      <c r="F681" s="11">
        <v>46225</v>
      </c>
      <c r="G681" t="s">
        <v>123</v>
      </c>
    </row>
    <row r="682" spans="1:7" hidden="1" x14ac:dyDescent="0.25">
      <c r="A682" t="s">
        <v>66</v>
      </c>
      <c r="B682">
        <v>1</v>
      </c>
      <c r="C682" t="s">
        <v>54</v>
      </c>
      <c r="D682" t="s">
        <v>50</v>
      </c>
      <c r="E682">
        <v>7.6</v>
      </c>
      <c r="F682" s="11">
        <v>46226</v>
      </c>
      <c r="G682" t="s">
        <v>123</v>
      </c>
    </row>
    <row r="683" spans="1:7" hidden="1" x14ac:dyDescent="0.25">
      <c r="A683" t="s">
        <v>66</v>
      </c>
      <c r="B683">
        <v>1</v>
      </c>
      <c r="C683" t="s">
        <v>56</v>
      </c>
      <c r="D683" t="s">
        <v>49</v>
      </c>
      <c r="E683">
        <v>7.6</v>
      </c>
      <c r="F683" s="11">
        <v>46228</v>
      </c>
      <c r="G683" t="s">
        <v>123</v>
      </c>
    </row>
    <row r="684" spans="1:7" hidden="1" x14ac:dyDescent="0.25">
      <c r="A684" t="s">
        <v>66</v>
      </c>
      <c r="B684">
        <v>1</v>
      </c>
      <c r="C684" t="s">
        <v>57</v>
      </c>
      <c r="D684" t="s">
        <v>49</v>
      </c>
      <c r="E684">
        <v>7.6</v>
      </c>
      <c r="F684" s="11">
        <v>46229</v>
      </c>
      <c r="G684" t="s">
        <v>123</v>
      </c>
    </row>
    <row r="685" spans="1:7" hidden="1" x14ac:dyDescent="0.25">
      <c r="A685" t="s">
        <v>66</v>
      </c>
      <c r="B685">
        <v>2</v>
      </c>
      <c r="C685" t="s">
        <v>48</v>
      </c>
      <c r="D685" t="s">
        <v>51</v>
      </c>
      <c r="E685">
        <v>7.6</v>
      </c>
      <c r="F685" s="11">
        <v>46230</v>
      </c>
      <c r="G685" t="s">
        <v>123</v>
      </c>
    </row>
    <row r="686" spans="1:7" hidden="1" x14ac:dyDescent="0.25">
      <c r="A686" t="s">
        <v>66</v>
      </c>
      <c r="B686">
        <v>2</v>
      </c>
      <c r="C686" t="s">
        <v>52</v>
      </c>
      <c r="D686" t="s">
        <v>49</v>
      </c>
      <c r="E686">
        <v>7.6</v>
      </c>
      <c r="F686" s="11">
        <v>46231</v>
      </c>
      <c r="G686" t="s">
        <v>123</v>
      </c>
    </row>
    <row r="687" spans="1:7" hidden="1" x14ac:dyDescent="0.25">
      <c r="A687" t="s">
        <v>66</v>
      </c>
      <c r="B687">
        <v>2</v>
      </c>
      <c r="C687" t="s">
        <v>53</v>
      </c>
      <c r="D687" t="s">
        <v>51</v>
      </c>
      <c r="E687">
        <v>7.6</v>
      </c>
      <c r="F687" s="11">
        <v>46232</v>
      </c>
      <c r="G687" t="s">
        <v>123</v>
      </c>
    </row>
    <row r="688" spans="1:7" hidden="1" x14ac:dyDescent="0.25">
      <c r="A688" t="s">
        <v>66</v>
      </c>
      <c r="B688">
        <v>2</v>
      </c>
      <c r="C688" t="s">
        <v>54</v>
      </c>
      <c r="D688" t="s">
        <v>50</v>
      </c>
      <c r="E688">
        <v>7.6</v>
      </c>
      <c r="F688" s="11">
        <v>46233</v>
      </c>
      <c r="G688" t="s">
        <v>123</v>
      </c>
    </row>
    <row r="689" spans="1:7" hidden="1" x14ac:dyDescent="0.25">
      <c r="A689" t="s">
        <v>66</v>
      </c>
      <c r="B689">
        <v>2</v>
      </c>
      <c r="C689" t="s">
        <v>56</v>
      </c>
      <c r="D689" t="s">
        <v>49</v>
      </c>
      <c r="E689">
        <v>7.6</v>
      </c>
      <c r="F689" s="11">
        <v>46235</v>
      </c>
      <c r="G689" t="s">
        <v>123</v>
      </c>
    </row>
    <row r="690" spans="1:7" hidden="1" x14ac:dyDescent="0.25">
      <c r="A690" t="s">
        <v>66</v>
      </c>
      <c r="B690">
        <v>2</v>
      </c>
      <c r="C690" t="s">
        <v>57</v>
      </c>
      <c r="D690" t="s">
        <v>49</v>
      </c>
      <c r="E690">
        <v>7.6</v>
      </c>
      <c r="F690" s="11">
        <v>46236</v>
      </c>
      <c r="G690" t="s">
        <v>123</v>
      </c>
    </row>
    <row r="691" spans="1:7" hidden="1" x14ac:dyDescent="0.25">
      <c r="A691" t="s">
        <v>66</v>
      </c>
      <c r="B691">
        <v>1</v>
      </c>
      <c r="C691" t="s">
        <v>52</v>
      </c>
      <c r="D691" t="s">
        <v>50</v>
      </c>
      <c r="E691">
        <v>7.6</v>
      </c>
      <c r="F691" s="11">
        <v>46224</v>
      </c>
      <c r="G691" t="s">
        <v>124</v>
      </c>
    </row>
    <row r="692" spans="1:7" hidden="1" x14ac:dyDescent="0.25">
      <c r="A692" t="s">
        <v>66</v>
      </c>
      <c r="B692">
        <v>1</v>
      </c>
      <c r="C692" t="s">
        <v>54</v>
      </c>
      <c r="D692" t="s">
        <v>50</v>
      </c>
      <c r="E692">
        <v>7.6</v>
      </c>
      <c r="F692" s="11">
        <v>46226</v>
      </c>
      <c r="G692" t="s">
        <v>124</v>
      </c>
    </row>
    <row r="693" spans="1:7" hidden="1" x14ac:dyDescent="0.25">
      <c r="A693" t="s">
        <v>66</v>
      </c>
      <c r="B693">
        <v>1</v>
      </c>
      <c r="C693" t="s">
        <v>55</v>
      </c>
      <c r="D693" t="s">
        <v>50</v>
      </c>
      <c r="E693">
        <v>7.6</v>
      </c>
      <c r="F693" s="11">
        <v>46227</v>
      </c>
      <c r="G693" t="s">
        <v>124</v>
      </c>
    </row>
    <row r="694" spans="1:7" hidden="1" x14ac:dyDescent="0.25">
      <c r="A694" t="s">
        <v>66</v>
      </c>
      <c r="B694">
        <v>1</v>
      </c>
      <c r="C694" t="s">
        <v>56</v>
      </c>
      <c r="D694" t="s">
        <v>50</v>
      </c>
      <c r="E694">
        <v>7.6</v>
      </c>
      <c r="F694" s="11">
        <v>46228</v>
      </c>
      <c r="G694" t="s">
        <v>124</v>
      </c>
    </row>
    <row r="695" spans="1:7" hidden="1" x14ac:dyDescent="0.25">
      <c r="A695" t="s">
        <v>66</v>
      </c>
      <c r="B695">
        <v>1</v>
      </c>
      <c r="C695" t="s">
        <v>57</v>
      </c>
      <c r="D695" t="s">
        <v>50</v>
      </c>
      <c r="E695">
        <v>7.6</v>
      </c>
      <c r="F695" s="11">
        <v>46229</v>
      </c>
      <c r="G695" t="s">
        <v>124</v>
      </c>
    </row>
    <row r="696" spans="1:7" hidden="1" x14ac:dyDescent="0.25">
      <c r="A696" t="s">
        <v>66</v>
      </c>
      <c r="B696">
        <v>2</v>
      </c>
      <c r="C696" t="s">
        <v>52</v>
      </c>
      <c r="D696" t="s">
        <v>50</v>
      </c>
      <c r="E696">
        <v>7.6</v>
      </c>
      <c r="F696" s="11">
        <v>46231</v>
      </c>
      <c r="G696" t="s">
        <v>124</v>
      </c>
    </row>
    <row r="697" spans="1:7" hidden="1" x14ac:dyDescent="0.25">
      <c r="A697" t="s">
        <v>66</v>
      </c>
      <c r="B697">
        <v>2</v>
      </c>
      <c r="C697" t="s">
        <v>54</v>
      </c>
      <c r="D697" t="s">
        <v>50</v>
      </c>
      <c r="E697">
        <v>7.6</v>
      </c>
      <c r="F697" s="11">
        <v>46233</v>
      </c>
      <c r="G697" t="s">
        <v>124</v>
      </c>
    </row>
    <row r="698" spans="1:7" hidden="1" x14ac:dyDescent="0.25">
      <c r="A698" t="s">
        <v>66</v>
      </c>
      <c r="B698">
        <v>2</v>
      </c>
      <c r="C698" t="s">
        <v>55</v>
      </c>
      <c r="D698" t="s">
        <v>50</v>
      </c>
      <c r="E698">
        <v>7.6</v>
      </c>
      <c r="F698" s="11">
        <v>46234</v>
      </c>
      <c r="G698" t="s">
        <v>124</v>
      </c>
    </row>
    <row r="699" spans="1:7" hidden="1" x14ac:dyDescent="0.25">
      <c r="A699" t="s">
        <v>66</v>
      </c>
      <c r="B699">
        <v>2</v>
      </c>
      <c r="C699" t="s">
        <v>56</v>
      </c>
      <c r="D699" t="s">
        <v>50</v>
      </c>
      <c r="E699">
        <v>7.6</v>
      </c>
      <c r="F699" s="11">
        <v>46235</v>
      </c>
      <c r="G699" t="s">
        <v>124</v>
      </c>
    </row>
    <row r="700" spans="1:7" hidden="1" x14ac:dyDescent="0.25">
      <c r="A700" t="s">
        <v>66</v>
      </c>
      <c r="B700">
        <v>2</v>
      </c>
      <c r="C700" t="s">
        <v>57</v>
      </c>
      <c r="D700" t="s">
        <v>50</v>
      </c>
      <c r="E700">
        <v>7.6</v>
      </c>
      <c r="F700" s="11">
        <v>46236</v>
      </c>
      <c r="G700" t="s">
        <v>124</v>
      </c>
    </row>
    <row r="701" spans="1:7" hidden="1" x14ac:dyDescent="0.25">
      <c r="A701" t="s">
        <v>66</v>
      </c>
      <c r="B701">
        <v>1</v>
      </c>
      <c r="C701" t="s">
        <v>55</v>
      </c>
      <c r="D701" t="s">
        <v>49</v>
      </c>
      <c r="E701">
        <v>7.6</v>
      </c>
      <c r="F701" s="11">
        <v>46227</v>
      </c>
      <c r="G701" t="s">
        <v>125</v>
      </c>
    </row>
    <row r="702" spans="1:7" hidden="1" x14ac:dyDescent="0.25">
      <c r="A702" t="s">
        <v>66</v>
      </c>
      <c r="B702">
        <v>1</v>
      </c>
      <c r="C702" t="s">
        <v>56</v>
      </c>
      <c r="D702" t="s">
        <v>49</v>
      </c>
      <c r="E702">
        <v>7.6</v>
      </c>
      <c r="F702" s="11">
        <v>46228</v>
      </c>
      <c r="G702" t="s">
        <v>125</v>
      </c>
    </row>
    <row r="703" spans="1:7" hidden="1" x14ac:dyDescent="0.25">
      <c r="A703" t="s">
        <v>66</v>
      </c>
      <c r="B703">
        <v>1</v>
      </c>
      <c r="C703" t="s">
        <v>57</v>
      </c>
      <c r="D703" t="s">
        <v>49</v>
      </c>
      <c r="E703">
        <v>7.6</v>
      </c>
      <c r="F703" s="11">
        <v>46229</v>
      </c>
      <c r="G703" t="s">
        <v>125</v>
      </c>
    </row>
    <row r="704" spans="1:7" hidden="1" x14ac:dyDescent="0.25">
      <c r="A704" t="s">
        <v>66</v>
      </c>
      <c r="B704">
        <v>2</v>
      </c>
      <c r="C704" t="s">
        <v>55</v>
      </c>
      <c r="D704" t="s">
        <v>49</v>
      </c>
      <c r="E704">
        <v>7.6</v>
      </c>
      <c r="F704" s="11">
        <v>46234</v>
      </c>
      <c r="G704" t="s">
        <v>125</v>
      </c>
    </row>
    <row r="705" spans="1:7" hidden="1" x14ac:dyDescent="0.25">
      <c r="A705" t="s">
        <v>66</v>
      </c>
      <c r="B705">
        <v>2</v>
      </c>
      <c r="C705" t="s">
        <v>56</v>
      </c>
      <c r="D705" t="s">
        <v>49</v>
      </c>
      <c r="E705">
        <v>7.6</v>
      </c>
      <c r="F705" s="11">
        <v>46235</v>
      </c>
      <c r="G705" t="s">
        <v>125</v>
      </c>
    </row>
    <row r="706" spans="1:7" hidden="1" x14ac:dyDescent="0.25">
      <c r="A706" t="s">
        <v>66</v>
      </c>
      <c r="B706">
        <v>2</v>
      </c>
      <c r="C706" t="s">
        <v>57</v>
      </c>
      <c r="D706" t="s">
        <v>49</v>
      </c>
      <c r="E706">
        <v>7.6</v>
      </c>
      <c r="F706" s="11">
        <v>46236</v>
      </c>
      <c r="G706" t="s">
        <v>125</v>
      </c>
    </row>
    <row r="707" spans="1:7" hidden="1" x14ac:dyDescent="0.25">
      <c r="A707" t="s">
        <v>66</v>
      </c>
      <c r="B707">
        <v>1</v>
      </c>
      <c r="C707" t="s">
        <v>48</v>
      </c>
      <c r="D707" t="s">
        <v>49</v>
      </c>
      <c r="E707">
        <v>7.6</v>
      </c>
      <c r="F707" s="11">
        <v>46223</v>
      </c>
      <c r="G707" t="s">
        <v>126</v>
      </c>
    </row>
    <row r="708" spans="1:7" hidden="1" x14ac:dyDescent="0.25">
      <c r="A708" t="s">
        <v>66</v>
      </c>
      <c r="B708">
        <v>1</v>
      </c>
      <c r="C708" t="s">
        <v>54</v>
      </c>
      <c r="D708" t="s">
        <v>49</v>
      </c>
      <c r="E708">
        <v>7.6</v>
      </c>
      <c r="F708" s="11">
        <v>46226</v>
      </c>
      <c r="G708" t="s">
        <v>126</v>
      </c>
    </row>
    <row r="709" spans="1:7" hidden="1" x14ac:dyDescent="0.25">
      <c r="A709" t="s">
        <v>66</v>
      </c>
      <c r="B709">
        <v>1</v>
      </c>
      <c r="C709" t="s">
        <v>55</v>
      </c>
      <c r="D709" t="s">
        <v>49</v>
      </c>
      <c r="E709">
        <v>7.6</v>
      </c>
      <c r="F709" s="11">
        <v>46227</v>
      </c>
      <c r="G709" t="s">
        <v>126</v>
      </c>
    </row>
    <row r="710" spans="1:7" hidden="1" x14ac:dyDescent="0.25">
      <c r="A710" t="s">
        <v>66</v>
      </c>
      <c r="B710">
        <v>2</v>
      </c>
      <c r="C710" t="s">
        <v>48</v>
      </c>
      <c r="D710" t="s">
        <v>49</v>
      </c>
      <c r="E710">
        <v>7.6</v>
      </c>
      <c r="F710" s="11">
        <v>46230</v>
      </c>
      <c r="G710" t="s">
        <v>126</v>
      </c>
    </row>
    <row r="711" spans="1:7" hidden="1" x14ac:dyDescent="0.25">
      <c r="A711" t="s">
        <v>66</v>
      </c>
      <c r="B711">
        <v>2</v>
      </c>
      <c r="C711" t="s">
        <v>54</v>
      </c>
      <c r="D711" t="s">
        <v>49</v>
      </c>
      <c r="E711">
        <v>7.6</v>
      </c>
      <c r="F711" s="11">
        <v>46233</v>
      </c>
      <c r="G711" t="s">
        <v>126</v>
      </c>
    </row>
    <row r="712" spans="1:7" hidden="1" x14ac:dyDescent="0.25">
      <c r="A712" t="s">
        <v>66</v>
      </c>
      <c r="B712">
        <v>2</v>
      </c>
      <c r="C712" t="s">
        <v>55</v>
      </c>
      <c r="D712" t="s">
        <v>49</v>
      </c>
      <c r="E712">
        <v>7.6</v>
      </c>
      <c r="F712" s="11">
        <v>46234</v>
      </c>
      <c r="G712" t="s">
        <v>126</v>
      </c>
    </row>
    <row r="713" spans="1:7" hidden="1" x14ac:dyDescent="0.25">
      <c r="A713" t="s">
        <v>66</v>
      </c>
      <c r="B713">
        <v>1</v>
      </c>
      <c r="C713" t="s">
        <v>53</v>
      </c>
      <c r="D713" t="s">
        <v>49</v>
      </c>
      <c r="E713">
        <v>7.6</v>
      </c>
      <c r="F713" s="11">
        <v>46225</v>
      </c>
      <c r="G713" t="s">
        <v>127</v>
      </c>
    </row>
    <row r="714" spans="1:7" hidden="1" x14ac:dyDescent="0.25">
      <c r="A714" t="s">
        <v>66</v>
      </c>
      <c r="B714">
        <v>1</v>
      </c>
      <c r="C714" t="s">
        <v>53</v>
      </c>
      <c r="D714" t="s">
        <v>51</v>
      </c>
      <c r="E714">
        <v>7.6</v>
      </c>
      <c r="F714" s="11">
        <v>46225</v>
      </c>
      <c r="G714" t="s">
        <v>127</v>
      </c>
    </row>
    <row r="715" spans="1:7" hidden="1" x14ac:dyDescent="0.25">
      <c r="A715" t="s">
        <v>66</v>
      </c>
      <c r="B715">
        <v>1</v>
      </c>
      <c r="C715" t="s">
        <v>54</v>
      </c>
      <c r="D715" t="s">
        <v>49</v>
      </c>
      <c r="E715">
        <v>7.6</v>
      </c>
      <c r="F715" s="11">
        <v>46226</v>
      </c>
      <c r="G715" t="s">
        <v>127</v>
      </c>
    </row>
    <row r="716" spans="1:7" hidden="1" x14ac:dyDescent="0.25">
      <c r="A716" t="s">
        <v>66</v>
      </c>
      <c r="B716">
        <v>1</v>
      </c>
      <c r="C716" t="s">
        <v>54</v>
      </c>
      <c r="D716" t="s">
        <v>51</v>
      </c>
      <c r="E716">
        <v>7.6</v>
      </c>
      <c r="F716" s="11">
        <v>46226</v>
      </c>
      <c r="G716" t="s">
        <v>127</v>
      </c>
    </row>
    <row r="717" spans="1:7" hidden="1" x14ac:dyDescent="0.25">
      <c r="A717" t="s">
        <v>66</v>
      </c>
      <c r="B717">
        <v>1</v>
      </c>
      <c r="C717" t="s">
        <v>55</v>
      </c>
      <c r="D717" t="s">
        <v>49</v>
      </c>
      <c r="E717">
        <v>7.6</v>
      </c>
      <c r="F717" s="11">
        <v>46227</v>
      </c>
      <c r="G717" t="s">
        <v>127</v>
      </c>
    </row>
    <row r="718" spans="1:7" hidden="1" x14ac:dyDescent="0.25">
      <c r="A718" t="s">
        <v>66</v>
      </c>
      <c r="B718">
        <v>1</v>
      </c>
      <c r="C718" t="s">
        <v>55</v>
      </c>
      <c r="D718" t="s">
        <v>51</v>
      </c>
      <c r="E718">
        <v>7.6</v>
      </c>
      <c r="F718" s="11">
        <v>46227</v>
      </c>
      <c r="G718" t="s">
        <v>127</v>
      </c>
    </row>
    <row r="719" spans="1:7" hidden="1" x14ac:dyDescent="0.25">
      <c r="A719" t="s">
        <v>66</v>
      </c>
      <c r="B719">
        <v>1</v>
      </c>
      <c r="C719" t="s">
        <v>55</v>
      </c>
      <c r="D719" t="s">
        <v>50</v>
      </c>
      <c r="E719">
        <v>7.6</v>
      </c>
      <c r="F719" s="11">
        <v>46227</v>
      </c>
      <c r="G719" t="s">
        <v>127</v>
      </c>
    </row>
    <row r="720" spans="1:7" hidden="1" x14ac:dyDescent="0.25">
      <c r="A720" t="s">
        <v>66</v>
      </c>
      <c r="B720">
        <v>1</v>
      </c>
      <c r="C720" t="s">
        <v>56</v>
      </c>
      <c r="D720" t="s">
        <v>49</v>
      </c>
      <c r="E720">
        <v>7.6</v>
      </c>
      <c r="F720" s="11">
        <v>46228</v>
      </c>
      <c r="G720" t="s">
        <v>127</v>
      </c>
    </row>
    <row r="721" spans="1:7" hidden="1" x14ac:dyDescent="0.25">
      <c r="A721" t="s">
        <v>66</v>
      </c>
      <c r="B721">
        <v>1</v>
      </c>
      <c r="C721" t="s">
        <v>56</v>
      </c>
      <c r="D721" t="s">
        <v>51</v>
      </c>
      <c r="E721">
        <v>7.6</v>
      </c>
      <c r="F721" s="11">
        <v>46228</v>
      </c>
      <c r="G721" t="s">
        <v>127</v>
      </c>
    </row>
    <row r="722" spans="1:7" hidden="1" x14ac:dyDescent="0.25">
      <c r="A722" t="s">
        <v>66</v>
      </c>
      <c r="B722">
        <v>1</v>
      </c>
      <c r="C722" t="s">
        <v>56</v>
      </c>
      <c r="D722" t="s">
        <v>50</v>
      </c>
      <c r="E722">
        <v>7.6</v>
      </c>
      <c r="F722" s="11">
        <v>46228</v>
      </c>
      <c r="G722" t="s">
        <v>127</v>
      </c>
    </row>
    <row r="723" spans="1:7" hidden="1" x14ac:dyDescent="0.25">
      <c r="A723" t="s">
        <v>66</v>
      </c>
      <c r="B723">
        <v>1</v>
      </c>
      <c r="C723" t="s">
        <v>57</v>
      </c>
      <c r="D723" t="s">
        <v>49</v>
      </c>
      <c r="E723">
        <v>7.6</v>
      </c>
      <c r="F723" s="11">
        <v>46229</v>
      </c>
      <c r="G723" t="s">
        <v>127</v>
      </c>
    </row>
    <row r="724" spans="1:7" hidden="1" x14ac:dyDescent="0.25">
      <c r="A724" t="s">
        <v>66</v>
      </c>
      <c r="B724">
        <v>1</v>
      </c>
      <c r="C724" t="s">
        <v>57</v>
      </c>
      <c r="D724" t="s">
        <v>51</v>
      </c>
      <c r="E724">
        <v>7.6</v>
      </c>
      <c r="F724" s="11">
        <v>46229</v>
      </c>
      <c r="G724" t="s">
        <v>127</v>
      </c>
    </row>
    <row r="725" spans="1:7" hidden="1" x14ac:dyDescent="0.25">
      <c r="A725" t="s">
        <v>66</v>
      </c>
      <c r="B725">
        <v>2</v>
      </c>
      <c r="C725" t="s">
        <v>53</v>
      </c>
      <c r="D725" t="s">
        <v>49</v>
      </c>
      <c r="E725">
        <v>7.6</v>
      </c>
      <c r="F725" s="11">
        <v>46232</v>
      </c>
      <c r="G725" t="s">
        <v>127</v>
      </c>
    </row>
    <row r="726" spans="1:7" hidden="1" x14ac:dyDescent="0.25">
      <c r="A726" t="s">
        <v>66</v>
      </c>
      <c r="B726">
        <v>2</v>
      </c>
      <c r="C726" t="s">
        <v>53</v>
      </c>
      <c r="D726" t="s">
        <v>51</v>
      </c>
      <c r="E726">
        <v>7.6</v>
      </c>
      <c r="F726" s="11">
        <v>46232</v>
      </c>
      <c r="G726" t="s">
        <v>127</v>
      </c>
    </row>
    <row r="727" spans="1:7" hidden="1" x14ac:dyDescent="0.25">
      <c r="A727" t="s">
        <v>66</v>
      </c>
      <c r="B727">
        <v>2</v>
      </c>
      <c r="C727" t="s">
        <v>54</v>
      </c>
      <c r="D727" t="s">
        <v>49</v>
      </c>
      <c r="E727">
        <v>7.6</v>
      </c>
      <c r="F727" s="11">
        <v>46233</v>
      </c>
      <c r="G727" t="s">
        <v>127</v>
      </c>
    </row>
    <row r="728" spans="1:7" hidden="1" x14ac:dyDescent="0.25">
      <c r="A728" t="s">
        <v>66</v>
      </c>
      <c r="B728">
        <v>2</v>
      </c>
      <c r="C728" t="s">
        <v>54</v>
      </c>
      <c r="D728" t="s">
        <v>51</v>
      </c>
      <c r="E728">
        <v>7.6</v>
      </c>
      <c r="F728" s="11">
        <v>46233</v>
      </c>
      <c r="G728" t="s">
        <v>127</v>
      </c>
    </row>
    <row r="729" spans="1:7" hidden="1" x14ac:dyDescent="0.25">
      <c r="A729" t="s">
        <v>66</v>
      </c>
      <c r="B729">
        <v>2</v>
      </c>
      <c r="C729" t="s">
        <v>55</v>
      </c>
      <c r="D729" t="s">
        <v>49</v>
      </c>
      <c r="E729">
        <v>7.6</v>
      </c>
      <c r="F729" s="11">
        <v>46234</v>
      </c>
      <c r="G729" t="s">
        <v>127</v>
      </c>
    </row>
    <row r="730" spans="1:7" hidden="1" x14ac:dyDescent="0.25">
      <c r="A730" t="s">
        <v>66</v>
      </c>
      <c r="B730">
        <v>2</v>
      </c>
      <c r="C730" t="s">
        <v>55</v>
      </c>
      <c r="D730" t="s">
        <v>51</v>
      </c>
      <c r="E730">
        <v>7.6</v>
      </c>
      <c r="F730" s="11">
        <v>46234</v>
      </c>
      <c r="G730" t="s">
        <v>127</v>
      </c>
    </row>
    <row r="731" spans="1:7" hidden="1" x14ac:dyDescent="0.25">
      <c r="A731" t="s">
        <v>66</v>
      </c>
      <c r="B731">
        <v>2</v>
      </c>
      <c r="C731" t="s">
        <v>55</v>
      </c>
      <c r="D731" t="s">
        <v>50</v>
      </c>
      <c r="E731">
        <v>7.6</v>
      </c>
      <c r="F731" s="11">
        <v>46234</v>
      </c>
      <c r="G731" t="s">
        <v>127</v>
      </c>
    </row>
    <row r="732" spans="1:7" hidden="1" x14ac:dyDescent="0.25">
      <c r="A732" t="s">
        <v>66</v>
      </c>
      <c r="B732">
        <v>2</v>
      </c>
      <c r="C732" t="s">
        <v>56</v>
      </c>
      <c r="D732" t="s">
        <v>49</v>
      </c>
      <c r="E732">
        <v>7.6</v>
      </c>
      <c r="F732" s="11">
        <v>46235</v>
      </c>
      <c r="G732" t="s">
        <v>127</v>
      </c>
    </row>
    <row r="733" spans="1:7" hidden="1" x14ac:dyDescent="0.25">
      <c r="A733" t="s">
        <v>66</v>
      </c>
      <c r="B733">
        <v>2</v>
      </c>
      <c r="C733" t="s">
        <v>56</v>
      </c>
      <c r="D733" t="s">
        <v>51</v>
      </c>
      <c r="E733">
        <v>7.6</v>
      </c>
      <c r="F733" s="11">
        <v>46235</v>
      </c>
      <c r="G733" t="s">
        <v>127</v>
      </c>
    </row>
    <row r="734" spans="1:7" hidden="1" x14ac:dyDescent="0.25">
      <c r="A734" t="s">
        <v>66</v>
      </c>
      <c r="B734">
        <v>2</v>
      </c>
      <c r="C734" t="s">
        <v>56</v>
      </c>
      <c r="D734" t="s">
        <v>50</v>
      </c>
      <c r="E734">
        <v>7.6</v>
      </c>
      <c r="F734" s="11">
        <v>46235</v>
      </c>
      <c r="G734" t="s">
        <v>127</v>
      </c>
    </row>
    <row r="735" spans="1:7" hidden="1" x14ac:dyDescent="0.25">
      <c r="A735" t="s">
        <v>66</v>
      </c>
      <c r="B735">
        <v>2</v>
      </c>
      <c r="C735" t="s">
        <v>57</v>
      </c>
      <c r="D735" t="s">
        <v>49</v>
      </c>
      <c r="E735">
        <v>7.6</v>
      </c>
      <c r="F735" s="11">
        <v>46236</v>
      </c>
      <c r="G735" t="s">
        <v>127</v>
      </c>
    </row>
    <row r="736" spans="1:7" hidden="1" x14ac:dyDescent="0.25">
      <c r="A736" t="s">
        <v>66</v>
      </c>
      <c r="B736">
        <v>2</v>
      </c>
      <c r="C736" t="s">
        <v>57</v>
      </c>
      <c r="D736" t="s">
        <v>51</v>
      </c>
      <c r="E736">
        <v>7.6</v>
      </c>
      <c r="F736" s="11">
        <v>46236</v>
      </c>
      <c r="G736" t="s">
        <v>127</v>
      </c>
    </row>
    <row r="737" spans="1:7" hidden="1" x14ac:dyDescent="0.25">
      <c r="A737" t="s">
        <v>66</v>
      </c>
      <c r="B737">
        <v>1</v>
      </c>
      <c r="C737" t="s">
        <v>48</v>
      </c>
      <c r="D737" t="s">
        <v>51</v>
      </c>
      <c r="E737">
        <v>7.6</v>
      </c>
      <c r="F737" s="11">
        <v>46223</v>
      </c>
      <c r="G737" t="s">
        <v>128</v>
      </c>
    </row>
    <row r="738" spans="1:7" hidden="1" x14ac:dyDescent="0.25">
      <c r="A738" t="s">
        <v>66</v>
      </c>
      <c r="B738">
        <v>1</v>
      </c>
      <c r="C738" t="s">
        <v>52</v>
      </c>
      <c r="D738" t="s">
        <v>51</v>
      </c>
      <c r="E738">
        <v>7.6</v>
      </c>
      <c r="F738" s="11">
        <v>46224</v>
      </c>
      <c r="G738" t="s">
        <v>128</v>
      </c>
    </row>
    <row r="739" spans="1:7" hidden="1" x14ac:dyDescent="0.25">
      <c r="A739" t="s">
        <v>66</v>
      </c>
      <c r="B739">
        <v>1</v>
      </c>
      <c r="C739" t="s">
        <v>53</v>
      </c>
      <c r="D739" t="s">
        <v>51</v>
      </c>
      <c r="E739">
        <v>7.6</v>
      </c>
      <c r="F739" s="11">
        <v>46225</v>
      </c>
      <c r="G739" t="s">
        <v>128</v>
      </c>
    </row>
    <row r="740" spans="1:7" hidden="1" x14ac:dyDescent="0.25">
      <c r="A740" t="s">
        <v>66</v>
      </c>
      <c r="B740">
        <v>2</v>
      </c>
      <c r="C740" t="s">
        <v>48</v>
      </c>
      <c r="D740" t="s">
        <v>51</v>
      </c>
      <c r="E740">
        <v>7.6</v>
      </c>
      <c r="F740" s="11">
        <v>46230</v>
      </c>
      <c r="G740" t="s">
        <v>128</v>
      </c>
    </row>
    <row r="741" spans="1:7" hidden="1" x14ac:dyDescent="0.25">
      <c r="A741" t="s">
        <v>66</v>
      </c>
      <c r="B741">
        <v>2</v>
      </c>
      <c r="C741" t="s">
        <v>52</v>
      </c>
      <c r="D741" t="s">
        <v>51</v>
      </c>
      <c r="E741">
        <v>7.6</v>
      </c>
      <c r="F741" s="11">
        <v>46231</v>
      </c>
      <c r="G741" t="s">
        <v>128</v>
      </c>
    </row>
    <row r="742" spans="1:7" hidden="1" x14ac:dyDescent="0.25">
      <c r="A742" t="s">
        <v>66</v>
      </c>
      <c r="B742">
        <v>2</v>
      </c>
      <c r="C742" t="s">
        <v>53</v>
      </c>
      <c r="D742" t="s">
        <v>51</v>
      </c>
      <c r="E742">
        <v>7.6</v>
      </c>
      <c r="F742" s="11">
        <v>46232</v>
      </c>
      <c r="G742" t="s">
        <v>128</v>
      </c>
    </row>
    <row r="743" spans="1:7" hidden="1" x14ac:dyDescent="0.25">
      <c r="A743" t="s">
        <v>66</v>
      </c>
      <c r="B743">
        <v>1</v>
      </c>
      <c r="C743" t="s">
        <v>48</v>
      </c>
      <c r="D743" t="s">
        <v>49</v>
      </c>
      <c r="E743">
        <v>7.6</v>
      </c>
      <c r="F743" s="11">
        <v>46223</v>
      </c>
      <c r="G743" t="s">
        <v>129</v>
      </c>
    </row>
    <row r="744" spans="1:7" hidden="1" x14ac:dyDescent="0.25">
      <c r="A744" t="s">
        <v>66</v>
      </c>
      <c r="B744">
        <v>1</v>
      </c>
      <c r="C744" t="s">
        <v>52</v>
      </c>
      <c r="D744" t="s">
        <v>49</v>
      </c>
      <c r="E744">
        <v>7.6</v>
      </c>
      <c r="F744" s="11">
        <v>46224</v>
      </c>
      <c r="G744" t="s">
        <v>129</v>
      </c>
    </row>
    <row r="745" spans="1:7" hidden="1" x14ac:dyDescent="0.25">
      <c r="A745" t="s">
        <v>66</v>
      </c>
      <c r="B745">
        <v>1</v>
      </c>
      <c r="C745" t="s">
        <v>53</v>
      </c>
      <c r="D745" t="s">
        <v>49</v>
      </c>
      <c r="E745">
        <v>7.6</v>
      </c>
      <c r="F745" s="11">
        <v>46225</v>
      </c>
      <c r="G745" t="s">
        <v>129</v>
      </c>
    </row>
    <row r="746" spans="1:7" hidden="1" x14ac:dyDescent="0.25">
      <c r="A746" t="s">
        <v>66</v>
      </c>
      <c r="B746">
        <v>1</v>
      </c>
      <c r="C746" t="s">
        <v>55</v>
      </c>
      <c r="D746" t="s">
        <v>49</v>
      </c>
      <c r="E746">
        <v>7.6</v>
      </c>
      <c r="F746" s="11">
        <v>46227</v>
      </c>
      <c r="G746" t="s">
        <v>129</v>
      </c>
    </row>
    <row r="747" spans="1:7" hidden="1" x14ac:dyDescent="0.25">
      <c r="A747" t="s">
        <v>66</v>
      </c>
      <c r="B747">
        <v>1</v>
      </c>
      <c r="C747" t="s">
        <v>56</v>
      </c>
      <c r="D747" t="s">
        <v>49</v>
      </c>
      <c r="E747">
        <v>7.6</v>
      </c>
      <c r="F747" s="11">
        <v>46228</v>
      </c>
      <c r="G747" t="s">
        <v>129</v>
      </c>
    </row>
    <row r="748" spans="1:7" hidden="1" x14ac:dyDescent="0.25">
      <c r="A748" t="s">
        <v>66</v>
      </c>
      <c r="B748">
        <v>2</v>
      </c>
      <c r="C748" t="s">
        <v>48</v>
      </c>
      <c r="D748" t="s">
        <v>49</v>
      </c>
      <c r="E748">
        <v>7.6</v>
      </c>
      <c r="F748" s="11">
        <v>46230</v>
      </c>
      <c r="G748" t="s">
        <v>129</v>
      </c>
    </row>
    <row r="749" spans="1:7" hidden="1" x14ac:dyDescent="0.25">
      <c r="A749" t="s">
        <v>66</v>
      </c>
      <c r="B749">
        <v>2</v>
      </c>
      <c r="C749" t="s">
        <v>52</v>
      </c>
      <c r="D749" t="s">
        <v>49</v>
      </c>
      <c r="E749">
        <v>7.6</v>
      </c>
      <c r="F749" s="11">
        <v>46231</v>
      </c>
      <c r="G749" t="s">
        <v>129</v>
      </c>
    </row>
    <row r="750" spans="1:7" hidden="1" x14ac:dyDescent="0.25">
      <c r="A750" t="s">
        <v>66</v>
      </c>
      <c r="B750">
        <v>2</v>
      </c>
      <c r="C750" t="s">
        <v>53</v>
      </c>
      <c r="D750" t="s">
        <v>49</v>
      </c>
      <c r="E750">
        <v>7.6</v>
      </c>
      <c r="F750" s="11">
        <v>46232</v>
      </c>
      <c r="G750" t="s">
        <v>129</v>
      </c>
    </row>
    <row r="751" spans="1:7" hidden="1" x14ac:dyDescent="0.25">
      <c r="A751" t="s">
        <v>66</v>
      </c>
      <c r="B751">
        <v>2</v>
      </c>
      <c r="C751" t="s">
        <v>55</v>
      </c>
      <c r="D751" t="s">
        <v>49</v>
      </c>
      <c r="E751">
        <v>7.6</v>
      </c>
      <c r="F751" s="11">
        <v>46234</v>
      </c>
      <c r="G751" t="s">
        <v>129</v>
      </c>
    </row>
    <row r="752" spans="1:7" hidden="1" x14ac:dyDescent="0.25">
      <c r="A752" t="s">
        <v>66</v>
      </c>
      <c r="B752">
        <v>2</v>
      </c>
      <c r="C752" t="s">
        <v>56</v>
      </c>
      <c r="D752" t="s">
        <v>49</v>
      </c>
      <c r="E752">
        <v>7.6</v>
      </c>
      <c r="F752" s="11">
        <v>46235</v>
      </c>
      <c r="G752" t="s">
        <v>129</v>
      </c>
    </row>
    <row r="753" spans="1:7" hidden="1" x14ac:dyDescent="0.25">
      <c r="A753" t="s">
        <v>66</v>
      </c>
      <c r="B753">
        <v>1</v>
      </c>
      <c r="C753" t="s">
        <v>48</v>
      </c>
      <c r="D753" t="s">
        <v>51</v>
      </c>
      <c r="E753">
        <v>7.6</v>
      </c>
      <c r="F753" s="11">
        <v>46223</v>
      </c>
      <c r="G753" t="s">
        <v>130</v>
      </c>
    </row>
    <row r="754" spans="1:7" hidden="1" x14ac:dyDescent="0.25">
      <c r="A754" t="s">
        <v>66</v>
      </c>
      <c r="B754">
        <v>1</v>
      </c>
      <c r="C754" t="s">
        <v>52</v>
      </c>
      <c r="D754" t="s">
        <v>51</v>
      </c>
      <c r="E754">
        <v>7.6</v>
      </c>
      <c r="F754" s="11">
        <v>46224</v>
      </c>
      <c r="G754" t="s">
        <v>130</v>
      </c>
    </row>
    <row r="755" spans="1:7" hidden="1" x14ac:dyDescent="0.25">
      <c r="A755" t="s">
        <v>66</v>
      </c>
      <c r="B755">
        <v>1</v>
      </c>
      <c r="C755" t="s">
        <v>54</v>
      </c>
      <c r="D755" t="s">
        <v>51</v>
      </c>
      <c r="E755">
        <v>7.6</v>
      </c>
      <c r="F755" s="11">
        <v>46226</v>
      </c>
      <c r="G755" t="s">
        <v>130</v>
      </c>
    </row>
    <row r="756" spans="1:7" hidden="1" x14ac:dyDescent="0.25">
      <c r="A756" t="s">
        <v>66</v>
      </c>
      <c r="B756">
        <v>1</v>
      </c>
      <c r="C756" t="s">
        <v>56</v>
      </c>
      <c r="D756" t="s">
        <v>49</v>
      </c>
      <c r="E756">
        <v>7.6</v>
      </c>
      <c r="F756" s="11">
        <v>46228</v>
      </c>
      <c r="G756" t="s">
        <v>130</v>
      </c>
    </row>
    <row r="757" spans="1:7" hidden="1" x14ac:dyDescent="0.25">
      <c r="A757" t="s">
        <v>66</v>
      </c>
      <c r="B757">
        <v>1</v>
      </c>
      <c r="C757" t="s">
        <v>57</v>
      </c>
      <c r="D757" t="s">
        <v>49</v>
      </c>
      <c r="E757">
        <v>7.6</v>
      </c>
      <c r="F757" s="11">
        <v>46229</v>
      </c>
      <c r="G757" t="s">
        <v>130</v>
      </c>
    </row>
    <row r="758" spans="1:7" hidden="1" x14ac:dyDescent="0.25">
      <c r="A758" t="s">
        <v>66</v>
      </c>
      <c r="B758">
        <v>2</v>
      </c>
      <c r="C758" t="s">
        <v>48</v>
      </c>
      <c r="D758" t="s">
        <v>51</v>
      </c>
      <c r="E758">
        <v>7.6</v>
      </c>
      <c r="F758" s="11">
        <v>46230</v>
      </c>
      <c r="G758" t="s">
        <v>130</v>
      </c>
    </row>
    <row r="759" spans="1:7" hidden="1" x14ac:dyDescent="0.25">
      <c r="A759" t="s">
        <v>66</v>
      </c>
      <c r="B759">
        <v>2</v>
      </c>
      <c r="C759" t="s">
        <v>52</v>
      </c>
      <c r="D759" t="s">
        <v>51</v>
      </c>
      <c r="E759">
        <v>7.6</v>
      </c>
      <c r="F759" s="11">
        <v>46231</v>
      </c>
      <c r="G759" t="s">
        <v>130</v>
      </c>
    </row>
    <row r="760" spans="1:7" hidden="1" x14ac:dyDescent="0.25">
      <c r="A760" t="s">
        <v>66</v>
      </c>
      <c r="B760">
        <v>2</v>
      </c>
      <c r="C760" t="s">
        <v>54</v>
      </c>
      <c r="D760" t="s">
        <v>51</v>
      </c>
      <c r="E760">
        <v>7.6</v>
      </c>
      <c r="F760" s="11">
        <v>46233</v>
      </c>
      <c r="G760" t="s">
        <v>130</v>
      </c>
    </row>
    <row r="761" spans="1:7" hidden="1" x14ac:dyDescent="0.25">
      <c r="A761" t="s">
        <v>66</v>
      </c>
      <c r="B761">
        <v>2</v>
      </c>
      <c r="C761" t="s">
        <v>56</v>
      </c>
      <c r="D761" t="s">
        <v>49</v>
      </c>
      <c r="E761">
        <v>7.6</v>
      </c>
      <c r="F761" s="11">
        <v>46235</v>
      </c>
      <c r="G761" t="s">
        <v>130</v>
      </c>
    </row>
    <row r="762" spans="1:7" hidden="1" x14ac:dyDescent="0.25">
      <c r="A762" t="s">
        <v>66</v>
      </c>
      <c r="B762">
        <v>2</v>
      </c>
      <c r="C762" t="s">
        <v>57</v>
      </c>
      <c r="D762" t="s">
        <v>49</v>
      </c>
      <c r="E762">
        <v>7.6</v>
      </c>
      <c r="F762" s="11">
        <v>46236</v>
      </c>
      <c r="G762" t="s">
        <v>130</v>
      </c>
    </row>
    <row r="763" spans="1:7" hidden="1" x14ac:dyDescent="0.25">
      <c r="A763" t="s">
        <v>66</v>
      </c>
      <c r="B763">
        <v>1</v>
      </c>
      <c r="C763" t="s">
        <v>53</v>
      </c>
      <c r="D763" t="s">
        <v>50</v>
      </c>
      <c r="E763">
        <v>7.6</v>
      </c>
      <c r="F763" s="11">
        <v>46225</v>
      </c>
      <c r="G763" t="s">
        <v>131</v>
      </c>
    </row>
    <row r="764" spans="1:7" hidden="1" x14ac:dyDescent="0.25">
      <c r="A764" t="s">
        <v>66</v>
      </c>
      <c r="B764">
        <v>1</v>
      </c>
      <c r="C764" t="s">
        <v>54</v>
      </c>
      <c r="D764" t="s">
        <v>50</v>
      </c>
      <c r="E764">
        <v>7.6</v>
      </c>
      <c r="F764" s="11">
        <v>46226</v>
      </c>
      <c r="G764" t="s">
        <v>131</v>
      </c>
    </row>
    <row r="765" spans="1:7" hidden="1" x14ac:dyDescent="0.25">
      <c r="A765" t="s">
        <v>66</v>
      </c>
      <c r="B765">
        <v>1</v>
      </c>
      <c r="C765" t="s">
        <v>57</v>
      </c>
      <c r="D765" t="s">
        <v>51</v>
      </c>
      <c r="E765">
        <v>7.6</v>
      </c>
      <c r="F765" s="11">
        <v>46229</v>
      </c>
      <c r="G765" t="s">
        <v>131</v>
      </c>
    </row>
    <row r="766" spans="1:7" hidden="1" x14ac:dyDescent="0.25">
      <c r="A766" t="s">
        <v>66</v>
      </c>
      <c r="B766">
        <v>2</v>
      </c>
      <c r="C766" t="s">
        <v>53</v>
      </c>
      <c r="D766" t="s">
        <v>50</v>
      </c>
      <c r="E766">
        <v>7.6</v>
      </c>
      <c r="F766" s="11">
        <v>46232</v>
      </c>
      <c r="G766" t="s">
        <v>131</v>
      </c>
    </row>
    <row r="767" spans="1:7" hidden="1" x14ac:dyDescent="0.25">
      <c r="A767" t="s">
        <v>66</v>
      </c>
      <c r="B767">
        <v>2</v>
      </c>
      <c r="C767" t="s">
        <v>54</v>
      </c>
      <c r="D767" t="s">
        <v>50</v>
      </c>
      <c r="E767">
        <v>7.6</v>
      </c>
      <c r="F767" s="11">
        <v>46233</v>
      </c>
      <c r="G767" t="s">
        <v>131</v>
      </c>
    </row>
    <row r="768" spans="1:7" hidden="1" x14ac:dyDescent="0.25">
      <c r="A768" t="s">
        <v>66</v>
      </c>
      <c r="B768">
        <v>2</v>
      </c>
      <c r="C768" t="s">
        <v>57</v>
      </c>
      <c r="D768" t="s">
        <v>51</v>
      </c>
      <c r="E768">
        <v>7.6</v>
      </c>
      <c r="F768" s="11">
        <v>46236</v>
      </c>
      <c r="G768" t="s">
        <v>131</v>
      </c>
    </row>
    <row r="769" spans="1:7" hidden="1" x14ac:dyDescent="0.25">
      <c r="A769" t="s">
        <v>133</v>
      </c>
      <c r="B769">
        <v>1</v>
      </c>
      <c r="C769" t="s">
        <v>55</v>
      </c>
      <c r="D769" t="s">
        <v>49</v>
      </c>
      <c r="E769">
        <v>7.6</v>
      </c>
      <c r="F769" s="11">
        <v>46227</v>
      </c>
      <c r="G769" t="s">
        <v>65</v>
      </c>
    </row>
    <row r="770" spans="1:7" hidden="1" x14ac:dyDescent="0.25">
      <c r="A770" t="s">
        <v>133</v>
      </c>
      <c r="B770">
        <v>1</v>
      </c>
      <c r="C770" t="s">
        <v>56</v>
      </c>
      <c r="D770" t="s">
        <v>49</v>
      </c>
      <c r="E770">
        <v>7.6</v>
      </c>
      <c r="F770" s="11">
        <v>46228</v>
      </c>
      <c r="G770" t="s">
        <v>65</v>
      </c>
    </row>
    <row r="771" spans="1:7" hidden="1" x14ac:dyDescent="0.25">
      <c r="A771" t="s">
        <v>133</v>
      </c>
      <c r="B771">
        <v>2</v>
      </c>
      <c r="C771" t="s">
        <v>57</v>
      </c>
      <c r="D771" t="s">
        <v>49</v>
      </c>
      <c r="E771">
        <v>7.6</v>
      </c>
      <c r="F771" s="11">
        <v>46236</v>
      </c>
      <c r="G771" t="s">
        <v>65</v>
      </c>
    </row>
    <row r="772" spans="1:7" hidden="1" x14ac:dyDescent="0.25">
      <c r="A772" t="s">
        <v>133</v>
      </c>
      <c r="B772">
        <v>1</v>
      </c>
      <c r="C772" t="s">
        <v>48</v>
      </c>
      <c r="D772" t="s">
        <v>51</v>
      </c>
      <c r="E772">
        <v>7.6</v>
      </c>
      <c r="F772" s="11">
        <v>46223</v>
      </c>
      <c r="G772" t="s">
        <v>76</v>
      </c>
    </row>
    <row r="773" spans="1:7" hidden="1" x14ac:dyDescent="0.25">
      <c r="A773" t="s">
        <v>133</v>
      </c>
      <c r="B773">
        <v>1</v>
      </c>
      <c r="C773" t="s">
        <v>55</v>
      </c>
      <c r="D773" t="s">
        <v>49</v>
      </c>
      <c r="E773">
        <v>7.6</v>
      </c>
      <c r="F773" s="11">
        <v>46227</v>
      </c>
      <c r="G773" t="s">
        <v>76</v>
      </c>
    </row>
    <row r="774" spans="1:7" hidden="1" x14ac:dyDescent="0.25">
      <c r="A774" t="s">
        <v>133</v>
      </c>
      <c r="B774">
        <v>1</v>
      </c>
      <c r="C774" t="s">
        <v>57</v>
      </c>
      <c r="D774" t="s">
        <v>49</v>
      </c>
      <c r="E774">
        <v>7.6</v>
      </c>
      <c r="F774" s="11">
        <v>46229</v>
      </c>
      <c r="G774" t="s">
        <v>76</v>
      </c>
    </row>
    <row r="775" spans="1:7" hidden="1" x14ac:dyDescent="0.25">
      <c r="A775" t="s">
        <v>133</v>
      </c>
      <c r="B775">
        <v>2</v>
      </c>
      <c r="C775" t="s">
        <v>48</v>
      </c>
      <c r="D775" t="s">
        <v>51</v>
      </c>
      <c r="E775">
        <v>7.6</v>
      </c>
      <c r="F775" s="11">
        <v>46230</v>
      </c>
      <c r="G775" t="s">
        <v>76</v>
      </c>
    </row>
    <row r="776" spans="1:7" hidden="1" x14ac:dyDescent="0.25">
      <c r="A776" t="s">
        <v>133</v>
      </c>
      <c r="B776">
        <v>2</v>
      </c>
      <c r="C776" t="s">
        <v>55</v>
      </c>
      <c r="D776" t="s">
        <v>49</v>
      </c>
      <c r="E776">
        <v>7.6</v>
      </c>
      <c r="F776" s="11">
        <v>46234</v>
      </c>
      <c r="G776" t="s">
        <v>76</v>
      </c>
    </row>
    <row r="777" spans="1:7" hidden="1" x14ac:dyDescent="0.25">
      <c r="A777" t="s">
        <v>133</v>
      </c>
      <c r="B777">
        <v>2</v>
      </c>
      <c r="C777" t="s">
        <v>57</v>
      </c>
      <c r="D777" t="s">
        <v>49</v>
      </c>
      <c r="E777">
        <v>7.6</v>
      </c>
      <c r="F777" s="11">
        <v>46236</v>
      </c>
      <c r="G777" t="s">
        <v>76</v>
      </c>
    </row>
    <row r="778" spans="1:7" hidden="1" x14ac:dyDescent="0.25">
      <c r="A778" t="s">
        <v>133</v>
      </c>
      <c r="B778">
        <v>1</v>
      </c>
      <c r="C778" t="s">
        <v>52</v>
      </c>
      <c r="D778" t="s">
        <v>49</v>
      </c>
      <c r="E778">
        <v>7.6</v>
      </c>
      <c r="F778" s="11">
        <v>46224</v>
      </c>
      <c r="G778" t="s">
        <v>80</v>
      </c>
    </row>
    <row r="779" spans="1:7" hidden="1" x14ac:dyDescent="0.25">
      <c r="A779" t="s">
        <v>133</v>
      </c>
      <c r="B779">
        <v>1</v>
      </c>
      <c r="C779" t="s">
        <v>53</v>
      </c>
      <c r="D779" t="s">
        <v>49</v>
      </c>
      <c r="E779">
        <v>7.6</v>
      </c>
      <c r="F779" s="11">
        <v>46225</v>
      </c>
      <c r="G779" t="s">
        <v>80</v>
      </c>
    </row>
    <row r="780" spans="1:7" hidden="1" x14ac:dyDescent="0.25">
      <c r="A780" t="s">
        <v>133</v>
      </c>
      <c r="B780">
        <v>1</v>
      </c>
      <c r="C780" t="s">
        <v>56</v>
      </c>
      <c r="D780" t="s">
        <v>49</v>
      </c>
      <c r="E780">
        <v>7.6</v>
      </c>
      <c r="F780" s="11">
        <v>46228</v>
      </c>
      <c r="G780" t="s">
        <v>80</v>
      </c>
    </row>
    <row r="781" spans="1:7" hidden="1" x14ac:dyDescent="0.25">
      <c r="A781" t="s">
        <v>133</v>
      </c>
      <c r="B781">
        <v>2</v>
      </c>
      <c r="C781" t="s">
        <v>52</v>
      </c>
      <c r="D781" t="s">
        <v>49</v>
      </c>
      <c r="E781">
        <v>7.6</v>
      </c>
      <c r="F781" s="11">
        <v>46231</v>
      </c>
      <c r="G781" t="s">
        <v>80</v>
      </c>
    </row>
    <row r="782" spans="1:7" hidden="1" x14ac:dyDescent="0.25">
      <c r="A782" t="s">
        <v>133</v>
      </c>
      <c r="B782">
        <v>2</v>
      </c>
      <c r="C782" t="s">
        <v>53</v>
      </c>
      <c r="D782" t="s">
        <v>49</v>
      </c>
      <c r="E782">
        <v>7.6</v>
      </c>
      <c r="F782" s="11">
        <v>46232</v>
      </c>
      <c r="G782" t="s">
        <v>80</v>
      </c>
    </row>
    <row r="783" spans="1:7" hidden="1" x14ac:dyDescent="0.25">
      <c r="A783" t="s">
        <v>133</v>
      </c>
      <c r="B783">
        <v>2</v>
      </c>
      <c r="C783" t="s">
        <v>56</v>
      </c>
      <c r="D783" t="s">
        <v>49</v>
      </c>
      <c r="E783">
        <v>7.6</v>
      </c>
      <c r="F783" s="11">
        <v>46235</v>
      </c>
      <c r="G783" t="s">
        <v>80</v>
      </c>
    </row>
    <row r="784" spans="1:7" hidden="1" x14ac:dyDescent="0.25">
      <c r="A784" t="s">
        <v>66</v>
      </c>
      <c r="B784">
        <v>1</v>
      </c>
      <c r="C784" t="s">
        <v>48</v>
      </c>
      <c r="D784" t="s">
        <v>51</v>
      </c>
      <c r="E784">
        <v>7.6</v>
      </c>
      <c r="F784" s="11">
        <v>46223</v>
      </c>
      <c r="G784" t="s">
        <v>132</v>
      </c>
    </row>
    <row r="785" spans="1:7" hidden="1" x14ac:dyDescent="0.25">
      <c r="A785" t="s">
        <v>66</v>
      </c>
      <c r="B785">
        <v>1</v>
      </c>
      <c r="C785" t="s">
        <v>52</v>
      </c>
      <c r="D785" t="s">
        <v>51</v>
      </c>
      <c r="E785">
        <v>7.6</v>
      </c>
      <c r="F785" s="11">
        <v>46224</v>
      </c>
      <c r="G785" t="s">
        <v>132</v>
      </c>
    </row>
    <row r="786" spans="1:7" hidden="1" x14ac:dyDescent="0.25">
      <c r="A786" t="s">
        <v>66</v>
      </c>
      <c r="B786">
        <v>1</v>
      </c>
      <c r="C786" t="s">
        <v>57</v>
      </c>
      <c r="D786" t="s">
        <v>51</v>
      </c>
      <c r="E786">
        <v>7.6</v>
      </c>
      <c r="F786" s="11">
        <v>46229</v>
      </c>
      <c r="G786" t="s">
        <v>132</v>
      </c>
    </row>
    <row r="787" spans="1:7" hidden="1" x14ac:dyDescent="0.25">
      <c r="A787" t="s">
        <v>66</v>
      </c>
      <c r="B787">
        <v>2</v>
      </c>
      <c r="C787" t="s">
        <v>57</v>
      </c>
      <c r="D787" t="s">
        <v>51</v>
      </c>
      <c r="E787">
        <v>7.6</v>
      </c>
      <c r="F787" s="11">
        <v>46236</v>
      </c>
      <c r="G787" t="s">
        <v>132</v>
      </c>
    </row>
    <row r="788" spans="1:7" hidden="1" x14ac:dyDescent="0.25">
      <c r="A788" t="s">
        <v>133</v>
      </c>
      <c r="B788">
        <v>2</v>
      </c>
      <c r="C788" t="s">
        <v>56</v>
      </c>
      <c r="D788" t="s">
        <v>51</v>
      </c>
      <c r="E788">
        <v>7.6</v>
      </c>
      <c r="F788" s="11">
        <v>46235</v>
      </c>
      <c r="G788" t="s">
        <v>101</v>
      </c>
    </row>
    <row r="789" spans="1:7" hidden="1" x14ac:dyDescent="0.25">
      <c r="A789" t="s">
        <v>133</v>
      </c>
      <c r="B789">
        <v>2</v>
      </c>
      <c r="C789" t="s">
        <v>57</v>
      </c>
      <c r="D789" t="s">
        <v>49</v>
      </c>
      <c r="E789">
        <v>7.6</v>
      </c>
      <c r="F789" s="11">
        <v>46236</v>
      </c>
      <c r="G789" t="s">
        <v>101</v>
      </c>
    </row>
    <row r="790" spans="1:7" hidden="1" x14ac:dyDescent="0.25">
      <c r="A790" t="s">
        <v>133</v>
      </c>
      <c r="B790">
        <v>2</v>
      </c>
      <c r="C790" t="s">
        <v>57</v>
      </c>
      <c r="D790" t="s">
        <v>51</v>
      </c>
      <c r="E790">
        <v>7.6</v>
      </c>
      <c r="F790" s="11">
        <v>46236</v>
      </c>
      <c r="G790" t="s">
        <v>101</v>
      </c>
    </row>
    <row r="791" spans="1:7" hidden="1" x14ac:dyDescent="0.25">
      <c r="A791" t="s">
        <v>133</v>
      </c>
      <c r="B791">
        <v>1</v>
      </c>
      <c r="C791" t="s">
        <v>54</v>
      </c>
      <c r="D791" t="s">
        <v>51</v>
      </c>
      <c r="E791">
        <v>7.6</v>
      </c>
      <c r="F791" s="11">
        <v>46226</v>
      </c>
      <c r="G791" t="s">
        <v>132</v>
      </c>
    </row>
    <row r="792" spans="1:7" hidden="1" x14ac:dyDescent="0.25">
      <c r="A792" t="s">
        <v>133</v>
      </c>
      <c r="B792">
        <v>1</v>
      </c>
      <c r="C792" t="s">
        <v>55</v>
      </c>
      <c r="D792" t="s">
        <v>51</v>
      </c>
      <c r="E792">
        <v>7.6</v>
      </c>
      <c r="F792" s="11">
        <v>46227</v>
      </c>
      <c r="G792" t="s">
        <v>132</v>
      </c>
    </row>
    <row r="793" spans="1:7" hidden="1" x14ac:dyDescent="0.25">
      <c r="A793" t="s">
        <v>133</v>
      </c>
      <c r="B793">
        <v>1</v>
      </c>
      <c r="C793" t="s">
        <v>56</v>
      </c>
      <c r="D793" t="s">
        <v>49</v>
      </c>
      <c r="E793">
        <v>7.6</v>
      </c>
      <c r="F793" s="11">
        <v>46228</v>
      </c>
      <c r="G793" t="s">
        <v>132</v>
      </c>
    </row>
    <row r="794" spans="1:7" hidden="1" x14ac:dyDescent="0.25">
      <c r="A794" t="s">
        <v>133</v>
      </c>
      <c r="B794">
        <v>2</v>
      </c>
      <c r="C794" t="s">
        <v>48</v>
      </c>
      <c r="D794" t="s">
        <v>51</v>
      </c>
      <c r="E794">
        <v>7.6</v>
      </c>
      <c r="F794" s="11">
        <v>46230</v>
      </c>
      <c r="G794" t="s">
        <v>132</v>
      </c>
    </row>
    <row r="795" spans="1:7" hidden="1" x14ac:dyDescent="0.25">
      <c r="A795" t="s">
        <v>133</v>
      </c>
      <c r="B795">
        <v>2</v>
      </c>
      <c r="C795" t="s">
        <v>54</v>
      </c>
      <c r="D795" t="s">
        <v>51</v>
      </c>
      <c r="E795">
        <v>7.6</v>
      </c>
      <c r="F795" s="11">
        <v>46233</v>
      </c>
      <c r="G795" t="s">
        <v>132</v>
      </c>
    </row>
    <row r="796" spans="1:7" hidden="1" x14ac:dyDescent="0.25">
      <c r="A796" t="s">
        <v>133</v>
      </c>
      <c r="B796">
        <v>1</v>
      </c>
      <c r="C796" t="s">
        <v>48</v>
      </c>
      <c r="D796" t="s">
        <v>51</v>
      </c>
      <c r="E796">
        <v>7.6</v>
      </c>
      <c r="F796" s="11">
        <v>46223</v>
      </c>
      <c r="G796" t="s">
        <v>71</v>
      </c>
    </row>
    <row r="797" spans="1:7" hidden="1" x14ac:dyDescent="0.25">
      <c r="A797" t="s">
        <v>133</v>
      </c>
      <c r="B797">
        <v>1</v>
      </c>
      <c r="C797" t="s">
        <v>54</v>
      </c>
      <c r="D797" t="s">
        <v>49</v>
      </c>
      <c r="E797">
        <v>7.6</v>
      </c>
      <c r="F797" s="11">
        <v>46226</v>
      </c>
      <c r="G797" t="s">
        <v>71</v>
      </c>
    </row>
    <row r="798" spans="1:7" hidden="1" x14ac:dyDescent="0.25">
      <c r="A798" t="s">
        <v>133</v>
      </c>
      <c r="B798">
        <v>1</v>
      </c>
      <c r="C798" t="s">
        <v>55</v>
      </c>
      <c r="D798" t="s">
        <v>49</v>
      </c>
      <c r="E798">
        <v>7.6</v>
      </c>
      <c r="F798" s="11">
        <v>46227</v>
      </c>
      <c r="G798" t="s">
        <v>71</v>
      </c>
    </row>
    <row r="799" spans="1:7" hidden="1" x14ac:dyDescent="0.25">
      <c r="A799" t="s">
        <v>133</v>
      </c>
      <c r="B799">
        <v>1</v>
      </c>
      <c r="C799" t="s">
        <v>56</v>
      </c>
      <c r="D799" t="s">
        <v>49</v>
      </c>
      <c r="E799">
        <v>7.6</v>
      </c>
      <c r="F799" s="11">
        <v>46228</v>
      </c>
      <c r="G799" t="s">
        <v>71</v>
      </c>
    </row>
    <row r="800" spans="1:7" hidden="1" x14ac:dyDescent="0.25">
      <c r="A800" t="s">
        <v>133</v>
      </c>
      <c r="B800">
        <v>1</v>
      </c>
      <c r="C800" t="s">
        <v>57</v>
      </c>
      <c r="D800" t="s">
        <v>51</v>
      </c>
      <c r="E800">
        <v>7.6</v>
      </c>
      <c r="F800" s="11">
        <v>46229</v>
      </c>
      <c r="G800" t="s">
        <v>71</v>
      </c>
    </row>
    <row r="801" spans="1:7" hidden="1" x14ac:dyDescent="0.25">
      <c r="A801" t="s">
        <v>133</v>
      </c>
      <c r="B801">
        <v>2</v>
      </c>
      <c r="C801" t="s">
        <v>48</v>
      </c>
      <c r="D801" t="s">
        <v>51</v>
      </c>
      <c r="E801">
        <v>7.6</v>
      </c>
      <c r="F801" s="11">
        <v>46230</v>
      </c>
      <c r="G801" t="s">
        <v>71</v>
      </c>
    </row>
    <row r="802" spans="1:7" hidden="1" x14ac:dyDescent="0.25">
      <c r="A802" t="s">
        <v>133</v>
      </c>
      <c r="B802">
        <v>2</v>
      </c>
      <c r="C802" t="s">
        <v>54</v>
      </c>
      <c r="D802" t="s">
        <v>49</v>
      </c>
      <c r="E802">
        <v>7.6</v>
      </c>
      <c r="F802" s="11">
        <v>46233</v>
      </c>
      <c r="G802" t="s">
        <v>71</v>
      </c>
    </row>
    <row r="803" spans="1:7" hidden="1" x14ac:dyDescent="0.25">
      <c r="A803" t="s">
        <v>133</v>
      </c>
      <c r="B803">
        <v>2</v>
      </c>
      <c r="C803" t="s">
        <v>55</v>
      </c>
      <c r="D803" t="s">
        <v>49</v>
      </c>
      <c r="E803">
        <v>7.6</v>
      </c>
      <c r="F803" s="11">
        <v>46234</v>
      </c>
      <c r="G803" t="s">
        <v>71</v>
      </c>
    </row>
    <row r="804" spans="1:7" hidden="1" x14ac:dyDescent="0.25">
      <c r="A804" t="s">
        <v>133</v>
      </c>
      <c r="B804">
        <v>2</v>
      </c>
      <c r="C804" t="s">
        <v>56</v>
      </c>
      <c r="D804" t="s">
        <v>49</v>
      </c>
      <c r="E804">
        <v>7.6</v>
      </c>
      <c r="F804" s="11">
        <v>46235</v>
      </c>
      <c r="G804" t="s">
        <v>71</v>
      </c>
    </row>
    <row r="805" spans="1:7" hidden="1" x14ac:dyDescent="0.25">
      <c r="A805" t="s">
        <v>133</v>
      </c>
      <c r="B805">
        <v>2</v>
      </c>
      <c r="C805" t="s">
        <v>57</v>
      </c>
      <c r="D805" t="s">
        <v>51</v>
      </c>
      <c r="E805">
        <v>7.6</v>
      </c>
      <c r="F805" s="11">
        <v>46236</v>
      </c>
      <c r="G805" t="s">
        <v>71</v>
      </c>
    </row>
    <row r="806" spans="1:7" hidden="1" x14ac:dyDescent="0.25">
      <c r="A806" t="s">
        <v>133</v>
      </c>
      <c r="B806">
        <v>1</v>
      </c>
      <c r="C806" t="s">
        <v>48</v>
      </c>
      <c r="D806" t="s">
        <v>49</v>
      </c>
      <c r="E806">
        <v>7.6</v>
      </c>
      <c r="F806" s="11">
        <v>46223</v>
      </c>
      <c r="G806" t="s">
        <v>134</v>
      </c>
    </row>
    <row r="807" spans="1:7" hidden="1" x14ac:dyDescent="0.25">
      <c r="A807" t="s">
        <v>133</v>
      </c>
      <c r="B807">
        <v>1</v>
      </c>
      <c r="C807" t="s">
        <v>54</v>
      </c>
      <c r="D807" t="s">
        <v>49</v>
      </c>
      <c r="E807">
        <v>7.6</v>
      </c>
      <c r="F807" s="11">
        <v>46226</v>
      </c>
      <c r="G807" t="s">
        <v>134</v>
      </c>
    </row>
    <row r="808" spans="1:7" hidden="1" x14ac:dyDescent="0.25">
      <c r="A808" t="s">
        <v>133</v>
      </c>
      <c r="B808">
        <v>1</v>
      </c>
      <c r="C808" t="s">
        <v>55</v>
      </c>
      <c r="D808" t="s">
        <v>51</v>
      </c>
      <c r="E808">
        <v>7.6</v>
      </c>
      <c r="F808" s="11">
        <v>46227</v>
      </c>
      <c r="G808" t="s">
        <v>134</v>
      </c>
    </row>
    <row r="809" spans="1:7" hidden="1" x14ac:dyDescent="0.25">
      <c r="A809" t="s">
        <v>133</v>
      </c>
      <c r="B809">
        <v>1</v>
      </c>
      <c r="C809" t="s">
        <v>56</v>
      </c>
      <c r="D809" t="s">
        <v>49</v>
      </c>
      <c r="E809">
        <v>7.6</v>
      </c>
      <c r="F809" s="11">
        <v>46228</v>
      </c>
      <c r="G809" t="s">
        <v>134</v>
      </c>
    </row>
    <row r="810" spans="1:7" hidden="1" x14ac:dyDescent="0.25">
      <c r="A810" t="s">
        <v>133</v>
      </c>
      <c r="B810">
        <v>1</v>
      </c>
      <c r="C810" t="s">
        <v>57</v>
      </c>
      <c r="D810" t="s">
        <v>49</v>
      </c>
      <c r="E810">
        <v>7.6</v>
      </c>
      <c r="F810" s="11">
        <v>46229</v>
      </c>
      <c r="G810" t="s">
        <v>134</v>
      </c>
    </row>
    <row r="811" spans="1:7" hidden="1" x14ac:dyDescent="0.25">
      <c r="A811" t="s">
        <v>133</v>
      </c>
      <c r="B811">
        <v>1</v>
      </c>
      <c r="C811" t="s">
        <v>57</v>
      </c>
      <c r="D811" t="s">
        <v>51</v>
      </c>
      <c r="E811">
        <v>7.6</v>
      </c>
      <c r="F811" s="11">
        <v>46229</v>
      </c>
      <c r="G811" t="s">
        <v>134</v>
      </c>
    </row>
    <row r="812" spans="1:7" hidden="1" x14ac:dyDescent="0.25">
      <c r="A812" t="s">
        <v>133</v>
      </c>
      <c r="B812">
        <v>2</v>
      </c>
      <c r="C812" t="s">
        <v>48</v>
      </c>
      <c r="D812" t="s">
        <v>49</v>
      </c>
      <c r="E812">
        <v>7.6</v>
      </c>
      <c r="F812" s="11">
        <v>46230</v>
      </c>
      <c r="G812" t="s">
        <v>134</v>
      </c>
    </row>
    <row r="813" spans="1:7" hidden="1" x14ac:dyDescent="0.25">
      <c r="A813" t="s">
        <v>133</v>
      </c>
      <c r="B813">
        <v>2</v>
      </c>
      <c r="C813" t="s">
        <v>54</v>
      </c>
      <c r="D813" t="s">
        <v>49</v>
      </c>
      <c r="E813">
        <v>7.6</v>
      </c>
      <c r="F813" s="11">
        <v>46233</v>
      </c>
      <c r="G813" t="s">
        <v>134</v>
      </c>
    </row>
    <row r="814" spans="1:7" hidden="1" x14ac:dyDescent="0.25">
      <c r="A814" t="s">
        <v>133</v>
      </c>
      <c r="B814">
        <v>2</v>
      </c>
      <c r="C814" t="s">
        <v>55</v>
      </c>
      <c r="D814" t="s">
        <v>51</v>
      </c>
      <c r="E814">
        <v>7.6</v>
      </c>
      <c r="F814" s="11">
        <v>46234</v>
      </c>
      <c r="G814" t="s">
        <v>134</v>
      </c>
    </row>
    <row r="815" spans="1:7" hidden="1" x14ac:dyDescent="0.25">
      <c r="A815" t="s">
        <v>133</v>
      </c>
      <c r="B815">
        <v>2</v>
      </c>
      <c r="C815" t="s">
        <v>56</v>
      </c>
      <c r="D815" t="s">
        <v>49</v>
      </c>
      <c r="E815">
        <v>7.6</v>
      </c>
      <c r="F815" s="11">
        <v>46235</v>
      </c>
      <c r="G815" t="s">
        <v>134</v>
      </c>
    </row>
    <row r="816" spans="1:7" hidden="1" x14ac:dyDescent="0.25">
      <c r="A816" t="s">
        <v>133</v>
      </c>
      <c r="B816">
        <v>2</v>
      </c>
      <c r="C816" t="s">
        <v>57</v>
      </c>
      <c r="D816" t="s">
        <v>49</v>
      </c>
      <c r="E816">
        <v>7.6</v>
      </c>
      <c r="F816" s="11">
        <v>46236</v>
      </c>
      <c r="G816" t="s">
        <v>134</v>
      </c>
    </row>
    <row r="817" spans="1:7" hidden="1" x14ac:dyDescent="0.25">
      <c r="A817" t="s">
        <v>133</v>
      </c>
      <c r="B817">
        <v>2</v>
      </c>
      <c r="C817" t="s">
        <v>57</v>
      </c>
      <c r="D817" t="s">
        <v>51</v>
      </c>
      <c r="E817">
        <v>7.6</v>
      </c>
      <c r="F817" s="11">
        <v>46236</v>
      </c>
      <c r="G817" t="s">
        <v>134</v>
      </c>
    </row>
    <row r="818" spans="1:7" hidden="1" x14ac:dyDescent="0.25">
      <c r="A818" t="s">
        <v>133</v>
      </c>
      <c r="B818">
        <v>1</v>
      </c>
      <c r="C818" t="s">
        <v>48</v>
      </c>
      <c r="D818" t="s">
        <v>49</v>
      </c>
      <c r="E818">
        <v>7.6</v>
      </c>
      <c r="F818" s="11">
        <v>46223</v>
      </c>
      <c r="G818" t="s">
        <v>136</v>
      </c>
    </row>
    <row r="819" spans="1:7" hidden="1" x14ac:dyDescent="0.25">
      <c r="A819" t="s">
        <v>133</v>
      </c>
      <c r="B819">
        <v>1</v>
      </c>
      <c r="C819" t="s">
        <v>52</v>
      </c>
      <c r="D819" t="s">
        <v>51</v>
      </c>
      <c r="E819">
        <v>7.6</v>
      </c>
      <c r="F819" s="11">
        <v>46224</v>
      </c>
      <c r="G819" t="s">
        <v>136</v>
      </c>
    </row>
    <row r="820" spans="1:7" hidden="1" x14ac:dyDescent="0.25">
      <c r="A820" t="s">
        <v>133</v>
      </c>
      <c r="B820">
        <v>1</v>
      </c>
      <c r="C820" t="s">
        <v>53</v>
      </c>
      <c r="D820" t="s">
        <v>51</v>
      </c>
      <c r="E820">
        <v>7.6</v>
      </c>
      <c r="F820" s="11">
        <v>46225</v>
      </c>
      <c r="G820" t="s">
        <v>136</v>
      </c>
    </row>
    <row r="821" spans="1:7" hidden="1" x14ac:dyDescent="0.25">
      <c r="A821" t="s">
        <v>133</v>
      </c>
      <c r="B821">
        <v>1</v>
      </c>
      <c r="C821" t="s">
        <v>56</v>
      </c>
      <c r="D821" t="s">
        <v>49</v>
      </c>
      <c r="E821">
        <v>7.6</v>
      </c>
      <c r="F821" s="11">
        <v>46228</v>
      </c>
      <c r="G821" t="s">
        <v>136</v>
      </c>
    </row>
    <row r="822" spans="1:7" hidden="1" x14ac:dyDescent="0.25">
      <c r="A822" t="s">
        <v>133</v>
      </c>
      <c r="B822">
        <v>1</v>
      </c>
      <c r="C822" t="s">
        <v>57</v>
      </c>
      <c r="D822" t="s">
        <v>49</v>
      </c>
      <c r="E822">
        <v>7.6</v>
      </c>
      <c r="F822" s="11">
        <v>46229</v>
      </c>
      <c r="G822" t="s">
        <v>136</v>
      </c>
    </row>
    <row r="823" spans="1:7" hidden="1" x14ac:dyDescent="0.25">
      <c r="A823" t="s">
        <v>133</v>
      </c>
      <c r="B823">
        <v>2</v>
      </c>
      <c r="C823" t="s">
        <v>48</v>
      </c>
      <c r="D823" t="s">
        <v>49</v>
      </c>
      <c r="E823">
        <v>7.6</v>
      </c>
      <c r="F823" s="11">
        <v>46230</v>
      </c>
      <c r="G823" t="s">
        <v>136</v>
      </c>
    </row>
    <row r="824" spans="1:7" hidden="1" x14ac:dyDescent="0.25">
      <c r="A824" t="s">
        <v>133</v>
      </c>
      <c r="B824">
        <v>2</v>
      </c>
      <c r="C824" t="s">
        <v>52</v>
      </c>
      <c r="D824" t="s">
        <v>51</v>
      </c>
      <c r="E824">
        <v>7.6</v>
      </c>
      <c r="F824" s="11">
        <v>46231</v>
      </c>
      <c r="G824" t="s">
        <v>136</v>
      </c>
    </row>
    <row r="825" spans="1:7" hidden="1" x14ac:dyDescent="0.25">
      <c r="A825" t="s">
        <v>133</v>
      </c>
      <c r="B825">
        <v>2</v>
      </c>
      <c r="C825" t="s">
        <v>53</v>
      </c>
      <c r="D825" t="s">
        <v>51</v>
      </c>
      <c r="E825">
        <v>7.6</v>
      </c>
      <c r="F825" s="11">
        <v>46232</v>
      </c>
      <c r="G825" t="s">
        <v>136</v>
      </c>
    </row>
    <row r="826" spans="1:7" hidden="1" x14ac:dyDescent="0.25">
      <c r="A826" t="s">
        <v>133</v>
      </c>
      <c r="B826">
        <v>2</v>
      </c>
      <c r="C826" t="s">
        <v>56</v>
      </c>
      <c r="D826" t="s">
        <v>49</v>
      </c>
      <c r="E826">
        <v>7.6</v>
      </c>
      <c r="F826" s="11">
        <v>46235</v>
      </c>
      <c r="G826" t="s">
        <v>136</v>
      </c>
    </row>
    <row r="827" spans="1:7" hidden="1" x14ac:dyDescent="0.25">
      <c r="A827" t="s">
        <v>133</v>
      </c>
      <c r="B827">
        <v>2</v>
      </c>
      <c r="C827" t="s">
        <v>57</v>
      </c>
      <c r="D827" t="s">
        <v>49</v>
      </c>
      <c r="E827">
        <v>7.6</v>
      </c>
      <c r="F827" s="11">
        <v>46236</v>
      </c>
      <c r="G827" t="s">
        <v>136</v>
      </c>
    </row>
    <row r="828" spans="1:7" hidden="1" x14ac:dyDescent="0.25">
      <c r="A828" t="s">
        <v>133</v>
      </c>
      <c r="B828">
        <v>1</v>
      </c>
      <c r="C828" t="s">
        <v>52</v>
      </c>
      <c r="D828" t="s">
        <v>49</v>
      </c>
      <c r="E828">
        <v>7.6</v>
      </c>
      <c r="F828" s="11">
        <v>46224</v>
      </c>
      <c r="G828" t="s">
        <v>137</v>
      </c>
    </row>
    <row r="829" spans="1:7" hidden="1" x14ac:dyDescent="0.25">
      <c r="A829" t="s">
        <v>133</v>
      </c>
      <c r="B829">
        <v>1</v>
      </c>
      <c r="C829" t="s">
        <v>53</v>
      </c>
      <c r="D829" t="s">
        <v>49</v>
      </c>
      <c r="E829">
        <v>7.6</v>
      </c>
      <c r="F829" s="11">
        <v>46225</v>
      </c>
      <c r="G829" t="s">
        <v>137</v>
      </c>
    </row>
    <row r="830" spans="1:7" hidden="1" x14ac:dyDescent="0.25">
      <c r="A830" t="s">
        <v>133</v>
      </c>
      <c r="B830">
        <v>1</v>
      </c>
      <c r="C830" t="s">
        <v>54</v>
      </c>
      <c r="D830" t="s">
        <v>49</v>
      </c>
      <c r="E830">
        <v>7.6</v>
      </c>
      <c r="F830" s="11">
        <v>46226</v>
      </c>
      <c r="G830" t="s">
        <v>137</v>
      </c>
    </row>
    <row r="831" spans="1:7" hidden="1" x14ac:dyDescent="0.25">
      <c r="A831" t="s">
        <v>133</v>
      </c>
      <c r="B831">
        <v>1</v>
      </c>
      <c r="C831" t="s">
        <v>55</v>
      </c>
      <c r="D831" t="s">
        <v>49</v>
      </c>
      <c r="E831">
        <v>7.6</v>
      </c>
      <c r="F831" s="11">
        <v>46227</v>
      </c>
      <c r="G831" t="s">
        <v>137</v>
      </c>
    </row>
    <row r="832" spans="1:7" hidden="1" x14ac:dyDescent="0.25">
      <c r="A832" t="s">
        <v>133</v>
      </c>
      <c r="B832">
        <v>2</v>
      </c>
      <c r="C832" t="s">
        <v>52</v>
      </c>
      <c r="D832" t="s">
        <v>49</v>
      </c>
      <c r="E832">
        <v>7.6</v>
      </c>
      <c r="F832" s="11">
        <v>46231</v>
      </c>
      <c r="G832" t="s">
        <v>137</v>
      </c>
    </row>
    <row r="833" spans="1:7" hidden="1" x14ac:dyDescent="0.25">
      <c r="A833" t="s">
        <v>133</v>
      </c>
      <c r="B833">
        <v>2</v>
      </c>
      <c r="C833" t="s">
        <v>53</v>
      </c>
      <c r="D833" t="s">
        <v>49</v>
      </c>
      <c r="E833">
        <v>7.6</v>
      </c>
      <c r="F833" s="11">
        <v>46232</v>
      </c>
      <c r="G833" t="s">
        <v>137</v>
      </c>
    </row>
    <row r="834" spans="1:7" hidden="1" x14ac:dyDescent="0.25">
      <c r="A834" t="s">
        <v>133</v>
      </c>
      <c r="B834">
        <v>2</v>
      </c>
      <c r="C834" t="s">
        <v>54</v>
      </c>
      <c r="D834" t="s">
        <v>49</v>
      </c>
      <c r="E834">
        <v>7.6</v>
      </c>
      <c r="F834" s="11">
        <v>46233</v>
      </c>
      <c r="G834" t="s">
        <v>137</v>
      </c>
    </row>
    <row r="835" spans="1:7" hidden="1" x14ac:dyDescent="0.25">
      <c r="A835" t="s">
        <v>133</v>
      </c>
      <c r="B835">
        <v>2</v>
      </c>
      <c r="C835" t="s">
        <v>55</v>
      </c>
      <c r="D835" t="s">
        <v>49</v>
      </c>
      <c r="E835">
        <v>7.6</v>
      </c>
      <c r="F835" s="11">
        <v>46234</v>
      </c>
      <c r="G835" t="s">
        <v>137</v>
      </c>
    </row>
    <row r="836" spans="1:7" hidden="1" x14ac:dyDescent="0.25">
      <c r="A836" t="s">
        <v>139</v>
      </c>
      <c r="B836">
        <v>1</v>
      </c>
      <c r="C836" t="s">
        <v>48</v>
      </c>
      <c r="D836" t="s">
        <v>49</v>
      </c>
      <c r="E836">
        <v>7.6</v>
      </c>
      <c r="F836" s="11">
        <v>46223</v>
      </c>
      <c r="G836" t="s">
        <v>138</v>
      </c>
    </row>
    <row r="837" spans="1:7" hidden="1" x14ac:dyDescent="0.25">
      <c r="A837" t="s">
        <v>139</v>
      </c>
      <c r="B837">
        <v>1</v>
      </c>
      <c r="C837" t="s">
        <v>48</v>
      </c>
      <c r="D837" t="s">
        <v>51</v>
      </c>
      <c r="E837">
        <v>7.6</v>
      </c>
      <c r="F837" s="11">
        <v>46223</v>
      </c>
      <c r="G837" t="s">
        <v>138</v>
      </c>
    </row>
    <row r="838" spans="1:7" hidden="1" x14ac:dyDescent="0.25">
      <c r="A838" t="s">
        <v>139</v>
      </c>
      <c r="B838">
        <v>1</v>
      </c>
      <c r="C838" t="s">
        <v>52</v>
      </c>
      <c r="D838" t="s">
        <v>49</v>
      </c>
      <c r="E838">
        <v>7.6</v>
      </c>
      <c r="F838" s="11">
        <v>46224</v>
      </c>
      <c r="G838" t="s">
        <v>138</v>
      </c>
    </row>
    <row r="839" spans="1:7" hidden="1" x14ac:dyDescent="0.25">
      <c r="A839" t="s">
        <v>139</v>
      </c>
      <c r="B839">
        <v>1</v>
      </c>
      <c r="C839" t="s">
        <v>52</v>
      </c>
      <c r="D839" t="s">
        <v>51</v>
      </c>
      <c r="E839">
        <v>7.6</v>
      </c>
      <c r="F839" s="11">
        <v>46224</v>
      </c>
      <c r="G839" t="s">
        <v>138</v>
      </c>
    </row>
    <row r="840" spans="1:7" hidden="1" x14ac:dyDescent="0.25">
      <c r="A840" t="s">
        <v>139</v>
      </c>
      <c r="B840">
        <v>1</v>
      </c>
      <c r="C840" t="s">
        <v>53</v>
      </c>
      <c r="D840" t="s">
        <v>49</v>
      </c>
      <c r="E840">
        <v>7.6</v>
      </c>
      <c r="F840" s="11">
        <v>46225</v>
      </c>
      <c r="G840" t="s">
        <v>138</v>
      </c>
    </row>
    <row r="841" spans="1:7" hidden="1" x14ac:dyDescent="0.25">
      <c r="A841" t="s">
        <v>139</v>
      </c>
      <c r="B841">
        <v>1</v>
      </c>
      <c r="C841" t="s">
        <v>53</v>
      </c>
      <c r="D841" t="s">
        <v>51</v>
      </c>
      <c r="E841">
        <v>7.6</v>
      </c>
      <c r="F841" s="11">
        <v>46225</v>
      </c>
      <c r="G841" t="s">
        <v>138</v>
      </c>
    </row>
    <row r="842" spans="1:7" hidden="1" x14ac:dyDescent="0.25">
      <c r="A842" t="s">
        <v>139</v>
      </c>
      <c r="B842">
        <v>1</v>
      </c>
      <c r="C842" t="s">
        <v>54</v>
      </c>
      <c r="D842" t="s">
        <v>49</v>
      </c>
      <c r="E842">
        <v>7.6</v>
      </c>
      <c r="F842" s="11">
        <v>46226</v>
      </c>
      <c r="G842" t="s">
        <v>138</v>
      </c>
    </row>
    <row r="843" spans="1:7" hidden="1" x14ac:dyDescent="0.25">
      <c r="A843" t="s">
        <v>139</v>
      </c>
      <c r="B843">
        <v>1</v>
      </c>
      <c r="C843" t="s">
        <v>54</v>
      </c>
      <c r="D843" t="s">
        <v>51</v>
      </c>
      <c r="E843">
        <v>7.6</v>
      </c>
      <c r="F843" s="11">
        <v>46226</v>
      </c>
      <c r="G843" t="s">
        <v>138</v>
      </c>
    </row>
    <row r="844" spans="1:7" hidden="1" x14ac:dyDescent="0.25">
      <c r="A844" t="s">
        <v>139</v>
      </c>
      <c r="B844">
        <v>1</v>
      </c>
      <c r="C844" t="s">
        <v>55</v>
      </c>
      <c r="D844" t="s">
        <v>49</v>
      </c>
      <c r="E844">
        <v>7.6</v>
      </c>
      <c r="F844" s="11">
        <v>46227</v>
      </c>
      <c r="G844" t="s">
        <v>138</v>
      </c>
    </row>
    <row r="845" spans="1:7" hidden="1" x14ac:dyDescent="0.25">
      <c r="A845" t="s">
        <v>139</v>
      </c>
      <c r="B845">
        <v>1</v>
      </c>
      <c r="C845" t="s">
        <v>55</v>
      </c>
      <c r="D845" t="s">
        <v>51</v>
      </c>
      <c r="E845">
        <v>7.6</v>
      </c>
      <c r="F845" s="11">
        <v>46227</v>
      </c>
      <c r="G845" t="s">
        <v>138</v>
      </c>
    </row>
    <row r="846" spans="1:7" hidden="1" x14ac:dyDescent="0.25">
      <c r="A846" t="s">
        <v>139</v>
      </c>
      <c r="B846">
        <v>1</v>
      </c>
      <c r="C846" t="s">
        <v>56</v>
      </c>
      <c r="D846" t="s">
        <v>49</v>
      </c>
      <c r="E846">
        <v>7.6</v>
      </c>
      <c r="F846" s="11">
        <v>46228</v>
      </c>
      <c r="G846" t="s">
        <v>138</v>
      </c>
    </row>
    <row r="847" spans="1:7" hidden="1" x14ac:dyDescent="0.25">
      <c r="A847" t="s">
        <v>139</v>
      </c>
      <c r="B847">
        <v>1</v>
      </c>
      <c r="C847" t="s">
        <v>56</v>
      </c>
      <c r="D847" t="s">
        <v>51</v>
      </c>
      <c r="E847">
        <v>7.6</v>
      </c>
      <c r="F847" s="11">
        <v>46228</v>
      </c>
      <c r="G847" t="s">
        <v>138</v>
      </c>
    </row>
    <row r="848" spans="1:7" hidden="1" x14ac:dyDescent="0.25">
      <c r="A848" t="s">
        <v>139</v>
      </c>
      <c r="B848">
        <v>1</v>
      </c>
      <c r="C848" t="s">
        <v>57</v>
      </c>
      <c r="D848" t="s">
        <v>49</v>
      </c>
      <c r="E848">
        <v>7.6</v>
      </c>
      <c r="F848" s="11">
        <v>46229</v>
      </c>
      <c r="G848" t="s">
        <v>138</v>
      </c>
    </row>
    <row r="849" spans="1:7" hidden="1" x14ac:dyDescent="0.25">
      <c r="A849" t="s">
        <v>139</v>
      </c>
      <c r="B849">
        <v>1</v>
      </c>
      <c r="C849" t="s">
        <v>57</v>
      </c>
      <c r="D849" t="s">
        <v>51</v>
      </c>
      <c r="E849">
        <v>7.6</v>
      </c>
      <c r="F849" s="11">
        <v>46229</v>
      </c>
      <c r="G849" t="s">
        <v>138</v>
      </c>
    </row>
    <row r="850" spans="1:7" hidden="1" x14ac:dyDescent="0.25">
      <c r="A850" t="s">
        <v>139</v>
      </c>
      <c r="B850">
        <v>2</v>
      </c>
      <c r="C850" t="s">
        <v>48</v>
      </c>
      <c r="D850" t="s">
        <v>49</v>
      </c>
      <c r="E850">
        <v>7.6</v>
      </c>
      <c r="F850" s="11">
        <v>46230</v>
      </c>
      <c r="G850" t="s">
        <v>138</v>
      </c>
    </row>
    <row r="851" spans="1:7" hidden="1" x14ac:dyDescent="0.25">
      <c r="A851" t="s">
        <v>139</v>
      </c>
      <c r="B851">
        <v>2</v>
      </c>
      <c r="C851" t="s">
        <v>48</v>
      </c>
      <c r="D851" t="s">
        <v>51</v>
      </c>
      <c r="E851">
        <v>7.6</v>
      </c>
      <c r="F851" s="11">
        <v>46230</v>
      </c>
      <c r="G851" t="s">
        <v>138</v>
      </c>
    </row>
    <row r="852" spans="1:7" hidden="1" x14ac:dyDescent="0.25">
      <c r="A852" t="s">
        <v>139</v>
      </c>
      <c r="B852">
        <v>2</v>
      </c>
      <c r="C852" t="s">
        <v>52</v>
      </c>
      <c r="D852" t="s">
        <v>49</v>
      </c>
      <c r="E852">
        <v>7.6</v>
      </c>
      <c r="F852" s="11">
        <v>46231</v>
      </c>
      <c r="G852" t="s">
        <v>138</v>
      </c>
    </row>
    <row r="853" spans="1:7" hidden="1" x14ac:dyDescent="0.25">
      <c r="A853" t="s">
        <v>139</v>
      </c>
      <c r="B853">
        <v>2</v>
      </c>
      <c r="C853" t="s">
        <v>52</v>
      </c>
      <c r="D853" t="s">
        <v>51</v>
      </c>
      <c r="E853">
        <v>7.6</v>
      </c>
      <c r="F853" s="11">
        <v>46231</v>
      </c>
      <c r="G853" t="s">
        <v>138</v>
      </c>
    </row>
    <row r="854" spans="1:7" hidden="1" x14ac:dyDescent="0.25">
      <c r="A854" t="s">
        <v>139</v>
      </c>
      <c r="B854">
        <v>2</v>
      </c>
      <c r="C854" t="s">
        <v>53</v>
      </c>
      <c r="D854" t="s">
        <v>49</v>
      </c>
      <c r="E854">
        <v>7.6</v>
      </c>
      <c r="F854" s="11">
        <v>46232</v>
      </c>
      <c r="G854" t="s">
        <v>138</v>
      </c>
    </row>
    <row r="855" spans="1:7" hidden="1" x14ac:dyDescent="0.25">
      <c r="A855" t="s">
        <v>139</v>
      </c>
      <c r="B855">
        <v>2</v>
      </c>
      <c r="C855" t="s">
        <v>53</v>
      </c>
      <c r="D855" t="s">
        <v>51</v>
      </c>
      <c r="E855">
        <v>7.6</v>
      </c>
      <c r="F855" s="11">
        <v>46232</v>
      </c>
      <c r="G855" t="s">
        <v>138</v>
      </c>
    </row>
    <row r="856" spans="1:7" hidden="1" x14ac:dyDescent="0.25">
      <c r="A856" t="s">
        <v>139</v>
      </c>
      <c r="B856">
        <v>2</v>
      </c>
      <c r="C856" t="s">
        <v>54</v>
      </c>
      <c r="D856" t="s">
        <v>49</v>
      </c>
      <c r="E856">
        <v>7.6</v>
      </c>
      <c r="F856" s="11">
        <v>46233</v>
      </c>
      <c r="G856" t="s">
        <v>138</v>
      </c>
    </row>
    <row r="857" spans="1:7" hidden="1" x14ac:dyDescent="0.25">
      <c r="A857" t="s">
        <v>139</v>
      </c>
      <c r="B857">
        <v>2</v>
      </c>
      <c r="C857" t="s">
        <v>54</v>
      </c>
      <c r="D857" t="s">
        <v>51</v>
      </c>
      <c r="E857">
        <v>7.6</v>
      </c>
      <c r="F857" s="11">
        <v>46233</v>
      </c>
      <c r="G857" t="s">
        <v>138</v>
      </c>
    </row>
    <row r="858" spans="1:7" hidden="1" x14ac:dyDescent="0.25">
      <c r="A858" t="s">
        <v>139</v>
      </c>
      <c r="B858">
        <v>2</v>
      </c>
      <c r="C858" t="s">
        <v>55</v>
      </c>
      <c r="D858" t="s">
        <v>49</v>
      </c>
      <c r="E858">
        <v>7.6</v>
      </c>
      <c r="F858" s="11">
        <v>46234</v>
      </c>
      <c r="G858" t="s">
        <v>138</v>
      </c>
    </row>
    <row r="859" spans="1:7" hidden="1" x14ac:dyDescent="0.25">
      <c r="A859" t="s">
        <v>139</v>
      </c>
      <c r="B859">
        <v>2</v>
      </c>
      <c r="C859" t="s">
        <v>55</v>
      </c>
      <c r="D859" t="s">
        <v>51</v>
      </c>
      <c r="E859">
        <v>7.6</v>
      </c>
      <c r="F859" s="11">
        <v>46234</v>
      </c>
      <c r="G859" t="s">
        <v>138</v>
      </c>
    </row>
    <row r="860" spans="1:7" hidden="1" x14ac:dyDescent="0.25">
      <c r="A860" t="s">
        <v>139</v>
      </c>
      <c r="B860">
        <v>2</v>
      </c>
      <c r="C860" t="s">
        <v>56</v>
      </c>
      <c r="D860" t="s">
        <v>49</v>
      </c>
      <c r="E860">
        <v>7.6</v>
      </c>
      <c r="F860" s="11">
        <v>46235</v>
      </c>
      <c r="G860" t="s">
        <v>138</v>
      </c>
    </row>
    <row r="861" spans="1:7" hidden="1" x14ac:dyDescent="0.25">
      <c r="A861" t="s">
        <v>139</v>
      </c>
      <c r="B861">
        <v>2</v>
      </c>
      <c r="C861" t="s">
        <v>56</v>
      </c>
      <c r="D861" t="s">
        <v>51</v>
      </c>
      <c r="E861">
        <v>7.6</v>
      </c>
      <c r="F861" s="11">
        <v>46235</v>
      </c>
      <c r="G861" t="s">
        <v>138</v>
      </c>
    </row>
    <row r="862" spans="1:7" hidden="1" x14ac:dyDescent="0.25">
      <c r="A862" t="s">
        <v>139</v>
      </c>
      <c r="B862">
        <v>2</v>
      </c>
      <c r="C862" t="s">
        <v>57</v>
      </c>
      <c r="D862" t="s">
        <v>49</v>
      </c>
      <c r="E862">
        <v>7.6</v>
      </c>
      <c r="F862" s="11">
        <v>46236</v>
      </c>
      <c r="G862" t="s">
        <v>138</v>
      </c>
    </row>
    <row r="863" spans="1:7" hidden="1" x14ac:dyDescent="0.25">
      <c r="A863" t="s">
        <v>139</v>
      </c>
      <c r="B863">
        <v>2</v>
      </c>
      <c r="C863" t="s">
        <v>57</v>
      </c>
      <c r="D863" t="s">
        <v>51</v>
      </c>
      <c r="E863">
        <v>7.6</v>
      </c>
      <c r="F863" s="11">
        <v>46236</v>
      </c>
      <c r="G863" t="s">
        <v>138</v>
      </c>
    </row>
    <row r="864" spans="1:7" hidden="1" x14ac:dyDescent="0.25">
      <c r="A864" t="s">
        <v>139</v>
      </c>
      <c r="B864">
        <v>1</v>
      </c>
      <c r="C864" t="s">
        <v>48</v>
      </c>
      <c r="D864" t="s">
        <v>49</v>
      </c>
      <c r="E864">
        <v>7.6</v>
      </c>
      <c r="F864" s="11">
        <v>46223</v>
      </c>
      <c r="G864" t="s">
        <v>140</v>
      </c>
    </row>
    <row r="865" spans="1:7" hidden="1" x14ac:dyDescent="0.25">
      <c r="A865" t="s">
        <v>139</v>
      </c>
      <c r="B865">
        <v>1</v>
      </c>
      <c r="C865" t="s">
        <v>52</v>
      </c>
      <c r="D865" t="s">
        <v>49</v>
      </c>
      <c r="E865">
        <v>7.6</v>
      </c>
      <c r="F865" s="11">
        <v>46224</v>
      </c>
      <c r="G865" t="s">
        <v>140</v>
      </c>
    </row>
    <row r="866" spans="1:7" hidden="1" x14ac:dyDescent="0.25">
      <c r="A866" t="s">
        <v>139</v>
      </c>
      <c r="B866">
        <v>2</v>
      </c>
      <c r="C866" t="s">
        <v>48</v>
      </c>
      <c r="D866" t="s">
        <v>49</v>
      </c>
      <c r="E866">
        <v>7.6</v>
      </c>
      <c r="F866" s="11">
        <v>46230</v>
      </c>
      <c r="G866" t="s">
        <v>140</v>
      </c>
    </row>
    <row r="867" spans="1:7" hidden="1" x14ac:dyDescent="0.25">
      <c r="A867" t="s">
        <v>139</v>
      </c>
      <c r="B867">
        <v>2</v>
      </c>
      <c r="C867" t="s">
        <v>52</v>
      </c>
      <c r="D867" t="s">
        <v>49</v>
      </c>
      <c r="E867">
        <v>7.6</v>
      </c>
      <c r="F867" s="11">
        <v>46231</v>
      </c>
      <c r="G867" t="s">
        <v>140</v>
      </c>
    </row>
    <row r="868" spans="1:7" hidden="1" x14ac:dyDescent="0.25">
      <c r="A868" t="s">
        <v>139</v>
      </c>
      <c r="B868">
        <v>1</v>
      </c>
      <c r="C868" t="s">
        <v>54</v>
      </c>
      <c r="D868" t="s">
        <v>51</v>
      </c>
      <c r="E868">
        <v>7.6</v>
      </c>
      <c r="F868" s="11">
        <v>46226</v>
      </c>
      <c r="G868" t="s">
        <v>178</v>
      </c>
    </row>
    <row r="869" spans="1:7" hidden="1" x14ac:dyDescent="0.25">
      <c r="A869" t="s">
        <v>139</v>
      </c>
      <c r="B869">
        <v>1</v>
      </c>
      <c r="C869" t="s">
        <v>55</v>
      </c>
      <c r="D869" t="s">
        <v>51</v>
      </c>
      <c r="E869">
        <v>7.6</v>
      </c>
      <c r="F869" s="11">
        <v>46227</v>
      </c>
      <c r="G869" t="s">
        <v>178</v>
      </c>
    </row>
    <row r="870" spans="1:7" hidden="1" x14ac:dyDescent="0.25">
      <c r="A870" t="s">
        <v>139</v>
      </c>
      <c r="B870">
        <v>1</v>
      </c>
      <c r="C870" t="s">
        <v>57</v>
      </c>
      <c r="D870" t="s">
        <v>49</v>
      </c>
      <c r="E870">
        <v>7.6</v>
      </c>
      <c r="F870" s="11">
        <v>46229</v>
      </c>
      <c r="G870" t="s">
        <v>178</v>
      </c>
    </row>
    <row r="871" spans="1:7" hidden="1" x14ac:dyDescent="0.25">
      <c r="A871" t="s">
        <v>139</v>
      </c>
      <c r="B871">
        <v>2</v>
      </c>
      <c r="C871" t="s">
        <v>54</v>
      </c>
      <c r="D871" t="s">
        <v>51</v>
      </c>
      <c r="E871">
        <v>7.6</v>
      </c>
      <c r="F871" s="11">
        <v>46233</v>
      </c>
      <c r="G871" t="s">
        <v>178</v>
      </c>
    </row>
    <row r="872" spans="1:7" hidden="1" x14ac:dyDescent="0.25">
      <c r="A872" t="s">
        <v>139</v>
      </c>
      <c r="B872">
        <v>2</v>
      </c>
      <c r="C872" t="s">
        <v>55</v>
      </c>
      <c r="D872" t="s">
        <v>51</v>
      </c>
      <c r="E872">
        <v>7.6</v>
      </c>
      <c r="F872" s="11">
        <v>46234</v>
      </c>
      <c r="G872" t="s">
        <v>178</v>
      </c>
    </row>
    <row r="873" spans="1:7" hidden="1" x14ac:dyDescent="0.25">
      <c r="A873" t="s">
        <v>139</v>
      </c>
      <c r="B873">
        <v>1</v>
      </c>
      <c r="C873" t="s">
        <v>48</v>
      </c>
      <c r="D873" t="s">
        <v>49</v>
      </c>
      <c r="E873">
        <v>7.6</v>
      </c>
      <c r="F873" s="11">
        <v>46223</v>
      </c>
      <c r="G873" t="s">
        <v>141</v>
      </c>
    </row>
    <row r="874" spans="1:7" hidden="1" x14ac:dyDescent="0.25">
      <c r="A874" t="s">
        <v>139</v>
      </c>
      <c r="B874">
        <v>1</v>
      </c>
      <c r="C874" t="s">
        <v>52</v>
      </c>
      <c r="D874" t="s">
        <v>49</v>
      </c>
      <c r="E874">
        <v>7.6</v>
      </c>
      <c r="F874" s="11">
        <v>46224</v>
      </c>
      <c r="G874" t="s">
        <v>141</v>
      </c>
    </row>
    <row r="875" spans="1:7" hidden="1" x14ac:dyDescent="0.25">
      <c r="A875" t="s">
        <v>139</v>
      </c>
      <c r="B875">
        <v>1</v>
      </c>
      <c r="C875" t="s">
        <v>53</v>
      </c>
      <c r="D875" t="s">
        <v>49</v>
      </c>
      <c r="E875">
        <v>7.6</v>
      </c>
      <c r="F875" s="11">
        <v>46225</v>
      </c>
      <c r="G875" t="s">
        <v>141</v>
      </c>
    </row>
    <row r="876" spans="1:7" hidden="1" x14ac:dyDescent="0.25">
      <c r="A876" t="s">
        <v>139</v>
      </c>
      <c r="B876">
        <v>1</v>
      </c>
      <c r="C876" t="s">
        <v>54</v>
      </c>
      <c r="D876" t="s">
        <v>49</v>
      </c>
      <c r="E876">
        <v>7.6</v>
      </c>
      <c r="F876" s="11">
        <v>46226</v>
      </c>
      <c r="G876" t="s">
        <v>141</v>
      </c>
    </row>
    <row r="877" spans="1:7" hidden="1" x14ac:dyDescent="0.25">
      <c r="A877" t="s">
        <v>139</v>
      </c>
      <c r="B877">
        <v>1</v>
      </c>
      <c r="C877" t="s">
        <v>55</v>
      </c>
      <c r="D877" t="s">
        <v>49</v>
      </c>
      <c r="E877">
        <v>7.6</v>
      </c>
      <c r="F877" s="11">
        <v>46227</v>
      </c>
      <c r="G877" t="s">
        <v>141</v>
      </c>
    </row>
    <row r="878" spans="1:7" hidden="1" x14ac:dyDescent="0.25">
      <c r="A878" t="s">
        <v>139</v>
      </c>
      <c r="B878">
        <v>1</v>
      </c>
      <c r="C878" t="s">
        <v>56</v>
      </c>
      <c r="D878" t="s">
        <v>49</v>
      </c>
      <c r="E878">
        <v>7.6</v>
      </c>
      <c r="F878" s="11">
        <v>46228</v>
      </c>
      <c r="G878" t="s">
        <v>141</v>
      </c>
    </row>
    <row r="879" spans="1:7" hidden="1" x14ac:dyDescent="0.25">
      <c r="A879" t="s">
        <v>139</v>
      </c>
      <c r="B879">
        <v>2</v>
      </c>
      <c r="C879" t="s">
        <v>48</v>
      </c>
      <c r="D879" t="s">
        <v>49</v>
      </c>
      <c r="E879">
        <v>7.6</v>
      </c>
      <c r="F879" s="11">
        <v>46230</v>
      </c>
      <c r="G879" t="s">
        <v>141</v>
      </c>
    </row>
    <row r="880" spans="1:7" hidden="1" x14ac:dyDescent="0.25">
      <c r="A880" t="s">
        <v>139</v>
      </c>
      <c r="B880">
        <v>2</v>
      </c>
      <c r="C880" t="s">
        <v>52</v>
      </c>
      <c r="D880" t="s">
        <v>49</v>
      </c>
      <c r="E880">
        <v>7.6</v>
      </c>
      <c r="F880" s="11">
        <v>46231</v>
      </c>
      <c r="G880" t="s">
        <v>141</v>
      </c>
    </row>
    <row r="881" spans="1:7" hidden="1" x14ac:dyDescent="0.25">
      <c r="A881" t="s">
        <v>139</v>
      </c>
      <c r="B881">
        <v>2</v>
      </c>
      <c r="C881" t="s">
        <v>53</v>
      </c>
      <c r="D881" t="s">
        <v>49</v>
      </c>
      <c r="E881">
        <v>7.6</v>
      </c>
      <c r="F881" s="11">
        <v>46232</v>
      </c>
      <c r="G881" t="s">
        <v>141</v>
      </c>
    </row>
    <row r="882" spans="1:7" hidden="1" x14ac:dyDescent="0.25">
      <c r="A882" t="s">
        <v>139</v>
      </c>
      <c r="B882">
        <v>2</v>
      </c>
      <c r="C882" t="s">
        <v>54</v>
      </c>
      <c r="D882" t="s">
        <v>49</v>
      </c>
      <c r="E882">
        <v>7.6</v>
      </c>
      <c r="F882" s="11">
        <v>46233</v>
      </c>
      <c r="G882" t="s">
        <v>141</v>
      </c>
    </row>
    <row r="883" spans="1:7" hidden="1" x14ac:dyDescent="0.25">
      <c r="A883" t="s">
        <v>139</v>
      </c>
      <c r="B883">
        <v>2</v>
      </c>
      <c r="C883" t="s">
        <v>55</v>
      </c>
      <c r="D883" t="s">
        <v>49</v>
      </c>
      <c r="E883">
        <v>7.6</v>
      </c>
      <c r="F883" s="11">
        <v>46234</v>
      </c>
      <c r="G883" t="s">
        <v>141</v>
      </c>
    </row>
    <row r="884" spans="1:7" hidden="1" x14ac:dyDescent="0.25">
      <c r="A884" t="s">
        <v>139</v>
      </c>
      <c r="B884">
        <v>2</v>
      </c>
      <c r="C884" t="s">
        <v>56</v>
      </c>
      <c r="D884" t="s">
        <v>49</v>
      </c>
      <c r="E884">
        <v>7.6</v>
      </c>
      <c r="F884" s="11">
        <v>46235</v>
      </c>
      <c r="G884" t="s">
        <v>141</v>
      </c>
    </row>
    <row r="885" spans="1:7" hidden="1" x14ac:dyDescent="0.25">
      <c r="A885" t="s">
        <v>139</v>
      </c>
      <c r="B885">
        <v>1</v>
      </c>
      <c r="C885" t="s">
        <v>48</v>
      </c>
      <c r="D885" t="s">
        <v>51</v>
      </c>
      <c r="E885">
        <v>7.6</v>
      </c>
      <c r="F885" s="11">
        <v>46223</v>
      </c>
      <c r="G885" t="s">
        <v>142</v>
      </c>
    </row>
    <row r="886" spans="1:7" hidden="1" x14ac:dyDescent="0.25">
      <c r="A886" t="s">
        <v>139</v>
      </c>
      <c r="B886">
        <v>1</v>
      </c>
      <c r="C886" t="s">
        <v>53</v>
      </c>
      <c r="D886" t="s">
        <v>51</v>
      </c>
      <c r="E886">
        <v>7.6</v>
      </c>
      <c r="F886" s="11">
        <v>46225</v>
      </c>
      <c r="G886" t="s">
        <v>142</v>
      </c>
    </row>
    <row r="887" spans="1:7" hidden="1" x14ac:dyDescent="0.25">
      <c r="A887" t="s">
        <v>139</v>
      </c>
      <c r="B887">
        <v>2</v>
      </c>
      <c r="C887" t="s">
        <v>48</v>
      </c>
      <c r="D887" t="s">
        <v>51</v>
      </c>
      <c r="E887">
        <v>7.6</v>
      </c>
      <c r="F887" s="11">
        <v>46230</v>
      </c>
      <c r="G887" t="s">
        <v>142</v>
      </c>
    </row>
    <row r="888" spans="1:7" hidden="1" x14ac:dyDescent="0.25">
      <c r="A888" t="s">
        <v>139</v>
      </c>
      <c r="B888">
        <v>2</v>
      </c>
      <c r="C888" t="s">
        <v>53</v>
      </c>
      <c r="D888" t="s">
        <v>51</v>
      </c>
      <c r="E888">
        <v>7.6</v>
      </c>
      <c r="F888" s="11">
        <v>46232</v>
      </c>
      <c r="G888" t="s">
        <v>142</v>
      </c>
    </row>
    <row r="889" spans="1:7" hidden="1" x14ac:dyDescent="0.25">
      <c r="A889" t="s">
        <v>139</v>
      </c>
      <c r="B889">
        <v>1</v>
      </c>
      <c r="C889" t="s">
        <v>48</v>
      </c>
      <c r="D889" t="s">
        <v>49</v>
      </c>
      <c r="E889">
        <v>7.6</v>
      </c>
      <c r="F889" s="11">
        <v>46223</v>
      </c>
      <c r="G889" t="s">
        <v>143</v>
      </c>
    </row>
    <row r="890" spans="1:7" hidden="1" x14ac:dyDescent="0.25">
      <c r="A890" t="s">
        <v>139</v>
      </c>
      <c r="B890">
        <v>1</v>
      </c>
      <c r="C890" t="s">
        <v>52</v>
      </c>
      <c r="D890" t="s">
        <v>49</v>
      </c>
      <c r="E890">
        <v>7.6</v>
      </c>
      <c r="F890" s="11">
        <v>46224</v>
      </c>
      <c r="G890" t="s">
        <v>143</v>
      </c>
    </row>
    <row r="891" spans="1:7" hidden="1" x14ac:dyDescent="0.25">
      <c r="A891" t="s">
        <v>139</v>
      </c>
      <c r="B891">
        <v>1</v>
      </c>
      <c r="C891" t="s">
        <v>53</v>
      </c>
      <c r="D891" t="s">
        <v>49</v>
      </c>
      <c r="E891">
        <v>7.6</v>
      </c>
      <c r="F891" s="11">
        <v>46225</v>
      </c>
      <c r="G891" t="s">
        <v>143</v>
      </c>
    </row>
    <row r="892" spans="1:7" hidden="1" x14ac:dyDescent="0.25">
      <c r="A892" t="s">
        <v>139</v>
      </c>
      <c r="B892">
        <v>1</v>
      </c>
      <c r="C892" t="s">
        <v>55</v>
      </c>
      <c r="D892" t="s">
        <v>51</v>
      </c>
      <c r="E892">
        <v>7.6</v>
      </c>
      <c r="F892" s="11">
        <v>46227</v>
      </c>
      <c r="G892" t="s">
        <v>143</v>
      </c>
    </row>
    <row r="893" spans="1:7" hidden="1" x14ac:dyDescent="0.25">
      <c r="A893" t="s">
        <v>139</v>
      </c>
      <c r="B893">
        <v>1</v>
      </c>
      <c r="C893" t="s">
        <v>56</v>
      </c>
      <c r="D893" t="s">
        <v>51</v>
      </c>
      <c r="E893">
        <v>7.6</v>
      </c>
      <c r="F893" s="11">
        <v>46228</v>
      </c>
      <c r="G893" t="s">
        <v>143</v>
      </c>
    </row>
    <row r="894" spans="1:7" hidden="1" x14ac:dyDescent="0.25">
      <c r="A894" t="s">
        <v>139</v>
      </c>
      <c r="B894">
        <v>1</v>
      </c>
      <c r="C894" t="s">
        <v>56</v>
      </c>
      <c r="D894" t="s">
        <v>50</v>
      </c>
      <c r="E894">
        <v>7.6</v>
      </c>
      <c r="F894" s="11">
        <v>46228</v>
      </c>
      <c r="G894" t="s">
        <v>143</v>
      </c>
    </row>
    <row r="895" spans="1:7" hidden="1" x14ac:dyDescent="0.25">
      <c r="A895" t="s">
        <v>139</v>
      </c>
      <c r="B895">
        <v>1</v>
      </c>
      <c r="C895" t="s">
        <v>57</v>
      </c>
      <c r="D895" t="s">
        <v>49</v>
      </c>
      <c r="E895">
        <v>7.6</v>
      </c>
      <c r="F895" s="11">
        <v>46229</v>
      </c>
      <c r="G895" t="s">
        <v>143</v>
      </c>
    </row>
    <row r="896" spans="1:7" hidden="1" x14ac:dyDescent="0.25">
      <c r="A896" t="s">
        <v>139</v>
      </c>
      <c r="B896">
        <v>2</v>
      </c>
      <c r="C896" t="s">
        <v>48</v>
      </c>
      <c r="D896" t="s">
        <v>49</v>
      </c>
      <c r="E896">
        <v>7.6</v>
      </c>
      <c r="F896" s="11">
        <v>46230</v>
      </c>
      <c r="G896" t="s">
        <v>143</v>
      </c>
    </row>
    <row r="897" spans="1:7" hidden="1" x14ac:dyDescent="0.25">
      <c r="A897" t="s">
        <v>139</v>
      </c>
      <c r="B897">
        <v>2</v>
      </c>
      <c r="C897" t="s">
        <v>52</v>
      </c>
      <c r="D897" t="s">
        <v>49</v>
      </c>
      <c r="E897">
        <v>7.6</v>
      </c>
      <c r="F897" s="11">
        <v>46231</v>
      </c>
      <c r="G897" t="s">
        <v>143</v>
      </c>
    </row>
    <row r="898" spans="1:7" hidden="1" x14ac:dyDescent="0.25">
      <c r="A898" t="s">
        <v>139</v>
      </c>
      <c r="B898">
        <v>2</v>
      </c>
      <c r="C898" t="s">
        <v>53</v>
      </c>
      <c r="D898" t="s">
        <v>49</v>
      </c>
      <c r="E898">
        <v>7.6</v>
      </c>
      <c r="F898" s="11">
        <v>46232</v>
      </c>
      <c r="G898" t="s">
        <v>143</v>
      </c>
    </row>
    <row r="899" spans="1:7" hidden="1" x14ac:dyDescent="0.25">
      <c r="A899" t="s">
        <v>139</v>
      </c>
      <c r="B899">
        <v>2</v>
      </c>
      <c r="C899" t="s">
        <v>55</v>
      </c>
      <c r="D899" t="s">
        <v>51</v>
      </c>
      <c r="E899">
        <v>7.6</v>
      </c>
      <c r="F899" s="11">
        <v>46234</v>
      </c>
      <c r="G899" t="s">
        <v>143</v>
      </c>
    </row>
    <row r="900" spans="1:7" hidden="1" x14ac:dyDescent="0.25">
      <c r="A900" t="s">
        <v>139</v>
      </c>
      <c r="B900">
        <v>2</v>
      </c>
      <c r="C900" t="s">
        <v>56</v>
      </c>
      <c r="D900" t="s">
        <v>51</v>
      </c>
      <c r="E900">
        <v>7.6</v>
      </c>
      <c r="F900" s="11">
        <v>46235</v>
      </c>
      <c r="G900" t="s">
        <v>143</v>
      </c>
    </row>
    <row r="901" spans="1:7" hidden="1" x14ac:dyDescent="0.25">
      <c r="A901" t="s">
        <v>139</v>
      </c>
      <c r="B901">
        <v>2</v>
      </c>
      <c r="C901" t="s">
        <v>56</v>
      </c>
      <c r="D901" t="s">
        <v>50</v>
      </c>
      <c r="E901">
        <v>7.6</v>
      </c>
      <c r="F901" s="11">
        <v>46235</v>
      </c>
      <c r="G901" t="s">
        <v>143</v>
      </c>
    </row>
    <row r="902" spans="1:7" hidden="1" x14ac:dyDescent="0.25">
      <c r="A902" t="s">
        <v>139</v>
      </c>
      <c r="B902">
        <v>2</v>
      </c>
      <c r="C902" t="s">
        <v>57</v>
      </c>
      <c r="D902" t="s">
        <v>49</v>
      </c>
      <c r="E902">
        <v>7.6</v>
      </c>
      <c r="F902" s="11">
        <v>46236</v>
      </c>
      <c r="G902" t="s">
        <v>143</v>
      </c>
    </row>
    <row r="903" spans="1:7" hidden="1" x14ac:dyDescent="0.25">
      <c r="A903" t="s">
        <v>139</v>
      </c>
      <c r="B903">
        <v>1</v>
      </c>
      <c r="C903" t="s">
        <v>48</v>
      </c>
      <c r="D903" t="s">
        <v>49</v>
      </c>
      <c r="E903">
        <v>7.6</v>
      </c>
      <c r="F903" s="11">
        <v>46223</v>
      </c>
      <c r="G903" t="s">
        <v>144</v>
      </c>
    </row>
    <row r="904" spans="1:7" hidden="1" x14ac:dyDescent="0.25">
      <c r="A904" t="s">
        <v>139</v>
      </c>
      <c r="B904">
        <v>1</v>
      </c>
      <c r="C904" t="s">
        <v>53</v>
      </c>
      <c r="D904" t="s">
        <v>51</v>
      </c>
      <c r="E904">
        <v>7.6</v>
      </c>
      <c r="F904" s="11">
        <v>46225</v>
      </c>
      <c r="G904" t="s">
        <v>144</v>
      </c>
    </row>
    <row r="905" spans="1:7" hidden="1" x14ac:dyDescent="0.25">
      <c r="A905" t="s">
        <v>139</v>
      </c>
      <c r="B905">
        <v>1</v>
      </c>
      <c r="C905" t="s">
        <v>55</v>
      </c>
      <c r="D905" t="s">
        <v>49</v>
      </c>
      <c r="E905">
        <v>7.6</v>
      </c>
      <c r="F905" s="11">
        <v>46227</v>
      </c>
      <c r="G905" t="s">
        <v>144</v>
      </c>
    </row>
    <row r="906" spans="1:7" hidden="1" x14ac:dyDescent="0.25">
      <c r="A906" t="s">
        <v>139</v>
      </c>
      <c r="B906">
        <v>1</v>
      </c>
      <c r="C906" t="s">
        <v>56</v>
      </c>
      <c r="D906" t="s">
        <v>49</v>
      </c>
      <c r="E906">
        <v>7.6</v>
      </c>
      <c r="F906" s="11">
        <v>46228</v>
      </c>
      <c r="G906" t="s">
        <v>144</v>
      </c>
    </row>
    <row r="907" spans="1:7" hidden="1" x14ac:dyDescent="0.25">
      <c r="A907" t="s">
        <v>139</v>
      </c>
      <c r="B907">
        <v>1</v>
      </c>
      <c r="C907" t="s">
        <v>57</v>
      </c>
      <c r="D907" t="s">
        <v>49</v>
      </c>
      <c r="E907">
        <v>7.6</v>
      </c>
      <c r="F907" s="11">
        <v>46229</v>
      </c>
      <c r="G907" t="s">
        <v>144</v>
      </c>
    </row>
    <row r="908" spans="1:7" hidden="1" x14ac:dyDescent="0.25">
      <c r="A908" t="s">
        <v>139</v>
      </c>
      <c r="B908">
        <v>2</v>
      </c>
      <c r="C908" t="s">
        <v>48</v>
      </c>
      <c r="D908" t="s">
        <v>49</v>
      </c>
      <c r="E908">
        <v>7.6</v>
      </c>
      <c r="F908" s="11">
        <v>46230</v>
      </c>
      <c r="G908" t="s">
        <v>144</v>
      </c>
    </row>
    <row r="909" spans="1:7" hidden="1" x14ac:dyDescent="0.25">
      <c r="A909" t="s">
        <v>139</v>
      </c>
      <c r="B909">
        <v>2</v>
      </c>
      <c r="C909" t="s">
        <v>53</v>
      </c>
      <c r="D909" t="s">
        <v>51</v>
      </c>
      <c r="E909">
        <v>7.6</v>
      </c>
      <c r="F909" s="11">
        <v>46232</v>
      </c>
      <c r="G909" t="s">
        <v>144</v>
      </c>
    </row>
    <row r="910" spans="1:7" hidden="1" x14ac:dyDescent="0.25">
      <c r="A910" t="s">
        <v>139</v>
      </c>
      <c r="B910">
        <v>2</v>
      </c>
      <c r="C910" t="s">
        <v>55</v>
      </c>
      <c r="D910" t="s">
        <v>49</v>
      </c>
      <c r="E910">
        <v>7.6</v>
      </c>
      <c r="F910" s="11">
        <v>46234</v>
      </c>
      <c r="G910" t="s">
        <v>144</v>
      </c>
    </row>
    <row r="911" spans="1:7" hidden="1" x14ac:dyDescent="0.25">
      <c r="A911" t="s">
        <v>139</v>
      </c>
      <c r="B911">
        <v>2</v>
      </c>
      <c r="C911" t="s">
        <v>56</v>
      </c>
      <c r="D911" t="s">
        <v>49</v>
      </c>
      <c r="E911">
        <v>7.6</v>
      </c>
      <c r="F911" s="11">
        <v>46235</v>
      </c>
      <c r="G911" t="s">
        <v>144</v>
      </c>
    </row>
    <row r="912" spans="1:7" hidden="1" x14ac:dyDescent="0.25">
      <c r="A912" t="s">
        <v>139</v>
      </c>
      <c r="B912">
        <v>2</v>
      </c>
      <c r="C912" t="s">
        <v>57</v>
      </c>
      <c r="D912" t="s">
        <v>49</v>
      </c>
      <c r="E912">
        <v>7.6</v>
      </c>
      <c r="F912" s="11">
        <v>46236</v>
      </c>
      <c r="G912" t="s">
        <v>144</v>
      </c>
    </row>
    <row r="913" spans="1:7" hidden="1" x14ac:dyDescent="0.25">
      <c r="A913" t="s">
        <v>139</v>
      </c>
      <c r="B913">
        <v>1</v>
      </c>
      <c r="C913" t="s">
        <v>48</v>
      </c>
      <c r="D913" t="s">
        <v>51</v>
      </c>
      <c r="E913">
        <v>7.6</v>
      </c>
      <c r="F913" s="11">
        <v>46223</v>
      </c>
      <c r="G913" t="s">
        <v>145</v>
      </c>
    </row>
    <row r="914" spans="1:7" hidden="1" x14ac:dyDescent="0.25">
      <c r="A914" t="s">
        <v>139</v>
      </c>
      <c r="B914">
        <v>1</v>
      </c>
      <c r="C914" t="s">
        <v>52</v>
      </c>
      <c r="D914" t="s">
        <v>51</v>
      </c>
      <c r="E914">
        <v>7.6</v>
      </c>
      <c r="F914" s="11">
        <v>46224</v>
      </c>
      <c r="G914" t="s">
        <v>145</v>
      </c>
    </row>
    <row r="915" spans="1:7" hidden="1" x14ac:dyDescent="0.25">
      <c r="A915" t="s">
        <v>139</v>
      </c>
      <c r="B915">
        <v>2</v>
      </c>
      <c r="C915" t="s">
        <v>48</v>
      </c>
      <c r="D915" t="s">
        <v>51</v>
      </c>
      <c r="E915">
        <v>7.6</v>
      </c>
      <c r="F915" s="11">
        <v>46230</v>
      </c>
      <c r="G915" t="s">
        <v>145</v>
      </c>
    </row>
    <row r="916" spans="1:7" hidden="1" x14ac:dyDescent="0.25">
      <c r="A916" t="s">
        <v>139</v>
      </c>
      <c r="B916">
        <v>2</v>
      </c>
      <c r="C916" t="s">
        <v>52</v>
      </c>
      <c r="D916" t="s">
        <v>51</v>
      </c>
      <c r="E916">
        <v>7.6</v>
      </c>
      <c r="F916" s="11">
        <v>46231</v>
      </c>
      <c r="G916" t="s">
        <v>145</v>
      </c>
    </row>
    <row r="917" spans="1:7" hidden="1" x14ac:dyDescent="0.25">
      <c r="A917" t="s">
        <v>139</v>
      </c>
      <c r="B917">
        <v>1</v>
      </c>
      <c r="C917" t="s">
        <v>53</v>
      </c>
      <c r="D917" t="s">
        <v>51</v>
      </c>
      <c r="E917">
        <v>7.6</v>
      </c>
      <c r="F917" s="11">
        <v>46225</v>
      </c>
      <c r="G917" t="s">
        <v>146</v>
      </c>
    </row>
    <row r="918" spans="1:7" hidden="1" x14ac:dyDescent="0.25">
      <c r="A918" t="s">
        <v>139</v>
      </c>
      <c r="B918">
        <v>1</v>
      </c>
      <c r="C918" t="s">
        <v>54</v>
      </c>
      <c r="D918" t="s">
        <v>51</v>
      </c>
      <c r="E918">
        <v>7.6</v>
      </c>
      <c r="F918" s="11">
        <v>46226</v>
      </c>
      <c r="G918" t="s">
        <v>146</v>
      </c>
    </row>
    <row r="919" spans="1:7" hidden="1" x14ac:dyDescent="0.25">
      <c r="A919" t="s">
        <v>139</v>
      </c>
      <c r="B919">
        <v>2</v>
      </c>
      <c r="C919" t="s">
        <v>53</v>
      </c>
      <c r="D919" t="s">
        <v>51</v>
      </c>
      <c r="E919">
        <v>7.6</v>
      </c>
      <c r="F919" s="11">
        <v>46232</v>
      </c>
      <c r="G919" t="s">
        <v>146</v>
      </c>
    </row>
    <row r="920" spans="1:7" hidden="1" x14ac:dyDescent="0.25">
      <c r="A920" t="s">
        <v>139</v>
      </c>
      <c r="B920">
        <v>2</v>
      </c>
      <c r="C920" t="s">
        <v>54</v>
      </c>
      <c r="D920" t="s">
        <v>51</v>
      </c>
      <c r="E920">
        <v>7.6</v>
      </c>
      <c r="F920" s="11">
        <v>46233</v>
      </c>
      <c r="G920" t="s">
        <v>146</v>
      </c>
    </row>
    <row r="921" spans="1:7" hidden="1" x14ac:dyDescent="0.25">
      <c r="A921" t="s">
        <v>139</v>
      </c>
      <c r="B921">
        <v>1</v>
      </c>
      <c r="C921" t="s">
        <v>48</v>
      </c>
      <c r="D921" t="s">
        <v>51</v>
      </c>
      <c r="E921">
        <v>7.6</v>
      </c>
      <c r="F921" s="11">
        <v>46223</v>
      </c>
      <c r="G921" t="s">
        <v>147</v>
      </c>
    </row>
    <row r="922" spans="1:7" hidden="1" x14ac:dyDescent="0.25">
      <c r="A922" t="s">
        <v>139</v>
      </c>
      <c r="B922">
        <v>1</v>
      </c>
      <c r="C922" t="s">
        <v>52</v>
      </c>
      <c r="D922" t="s">
        <v>49</v>
      </c>
      <c r="E922">
        <v>7.6</v>
      </c>
      <c r="F922" s="11">
        <v>46224</v>
      </c>
      <c r="G922" t="s">
        <v>147</v>
      </c>
    </row>
    <row r="923" spans="1:7" hidden="1" x14ac:dyDescent="0.25">
      <c r="A923" t="s">
        <v>139</v>
      </c>
      <c r="B923">
        <v>1</v>
      </c>
      <c r="C923" t="s">
        <v>53</v>
      </c>
      <c r="D923" t="s">
        <v>51</v>
      </c>
      <c r="E923">
        <v>7.6</v>
      </c>
      <c r="F923" s="11">
        <v>46225</v>
      </c>
      <c r="G923" t="s">
        <v>147</v>
      </c>
    </row>
    <row r="924" spans="1:7" hidden="1" x14ac:dyDescent="0.25">
      <c r="A924" t="s">
        <v>139</v>
      </c>
      <c r="B924">
        <v>1</v>
      </c>
      <c r="C924" t="s">
        <v>54</v>
      </c>
      <c r="D924" t="s">
        <v>51</v>
      </c>
      <c r="E924">
        <v>7.6</v>
      </c>
      <c r="F924" s="11">
        <v>46226</v>
      </c>
      <c r="G924" t="s">
        <v>147</v>
      </c>
    </row>
    <row r="925" spans="1:7" hidden="1" x14ac:dyDescent="0.25">
      <c r="A925" t="s">
        <v>139</v>
      </c>
      <c r="B925">
        <v>1</v>
      </c>
      <c r="C925" t="s">
        <v>57</v>
      </c>
      <c r="D925" t="s">
        <v>49</v>
      </c>
      <c r="E925">
        <v>7.6</v>
      </c>
      <c r="F925" s="11">
        <v>46229</v>
      </c>
      <c r="G925" t="s">
        <v>147</v>
      </c>
    </row>
    <row r="926" spans="1:7" hidden="1" x14ac:dyDescent="0.25">
      <c r="A926" t="s">
        <v>139</v>
      </c>
      <c r="B926">
        <v>2</v>
      </c>
      <c r="C926" t="s">
        <v>48</v>
      </c>
      <c r="D926" t="s">
        <v>51</v>
      </c>
      <c r="E926">
        <v>7.6</v>
      </c>
      <c r="F926" s="11">
        <v>46230</v>
      </c>
      <c r="G926" t="s">
        <v>147</v>
      </c>
    </row>
    <row r="927" spans="1:7" hidden="1" x14ac:dyDescent="0.25">
      <c r="A927" t="s">
        <v>139</v>
      </c>
      <c r="B927">
        <v>2</v>
      </c>
      <c r="C927" t="s">
        <v>52</v>
      </c>
      <c r="D927" t="s">
        <v>49</v>
      </c>
      <c r="E927">
        <v>7.6</v>
      </c>
      <c r="F927" s="11">
        <v>46231</v>
      </c>
      <c r="G927" t="s">
        <v>147</v>
      </c>
    </row>
    <row r="928" spans="1:7" hidden="1" x14ac:dyDescent="0.25">
      <c r="A928" t="s">
        <v>139</v>
      </c>
      <c r="B928">
        <v>2</v>
      </c>
      <c r="C928" t="s">
        <v>53</v>
      </c>
      <c r="D928" t="s">
        <v>51</v>
      </c>
      <c r="E928">
        <v>7.6</v>
      </c>
      <c r="F928" s="11">
        <v>46232</v>
      </c>
      <c r="G928" t="s">
        <v>147</v>
      </c>
    </row>
    <row r="929" spans="1:7" hidden="1" x14ac:dyDescent="0.25">
      <c r="A929" t="s">
        <v>139</v>
      </c>
      <c r="B929">
        <v>2</v>
      </c>
      <c r="C929" t="s">
        <v>54</v>
      </c>
      <c r="D929" t="s">
        <v>51</v>
      </c>
      <c r="E929">
        <v>7.6</v>
      </c>
      <c r="F929" s="11">
        <v>46233</v>
      </c>
      <c r="G929" t="s">
        <v>147</v>
      </c>
    </row>
    <row r="930" spans="1:7" hidden="1" x14ac:dyDescent="0.25">
      <c r="A930" t="s">
        <v>139</v>
      </c>
      <c r="B930">
        <v>2</v>
      </c>
      <c r="C930" t="s">
        <v>57</v>
      </c>
      <c r="D930" t="s">
        <v>49</v>
      </c>
      <c r="E930">
        <v>7.6</v>
      </c>
      <c r="F930" s="11">
        <v>46236</v>
      </c>
      <c r="G930" t="s">
        <v>147</v>
      </c>
    </row>
    <row r="931" spans="1:7" hidden="1" x14ac:dyDescent="0.25">
      <c r="A931" t="s">
        <v>139</v>
      </c>
      <c r="B931">
        <v>1</v>
      </c>
      <c r="C931" t="s">
        <v>53</v>
      </c>
      <c r="D931" t="s">
        <v>51</v>
      </c>
      <c r="E931">
        <v>7.6</v>
      </c>
      <c r="F931" s="11">
        <v>46225</v>
      </c>
      <c r="G931" t="s">
        <v>148</v>
      </c>
    </row>
    <row r="932" spans="1:7" hidden="1" x14ac:dyDescent="0.25">
      <c r="A932" t="s">
        <v>139</v>
      </c>
      <c r="B932">
        <v>1</v>
      </c>
      <c r="C932" t="s">
        <v>54</v>
      </c>
      <c r="D932" t="s">
        <v>51</v>
      </c>
      <c r="E932">
        <v>7.6</v>
      </c>
      <c r="F932" s="11">
        <v>46226</v>
      </c>
      <c r="G932" t="s">
        <v>148</v>
      </c>
    </row>
    <row r="933" spans="1:7" hidden="1" x14ac:dyDescent="0.25">
      <c r="A933" t="s">
        <v>139</v>
      </c>
      <c r="B933">
        <v>1</v>
      </c>
      <c r="C933" t="s">
        <v>55</v>
      </c>
      <c r="D933" t="s">
        <v>51</v>
      </c>
      <c r="E933">
        <v>7.6</v>
      </c>
      <c r="F933" s="11">
        <v>46227</v>
      </c>
      <c r="G933" t="s">
        <v>148</v>
      </c>
    </row>
    <row r="934" spans="1:7" hidden="1" x14ac:dyDescent="0.25">
      <c r="A934" t="s">
        <v>139</v>
      </c>
      <c r="B934">
        <v>1</v>
      </c>
      <c r="C934" t="s">
        <v>56</v>
      </c>
      <c r="D934" t="s">
        <v>49</v>
      </c>
      <c r="E934">
        <v>7.6</v>
      </c>
      <c r="F934" s="11">
        <v>46228</v>
      </c>
      <c r="G934" t="s">
        <v>148</v>
      </c>
    </row>
    <row r="935" spans="1:7" hidden="1" x14ac:dyDescent="0.25">
      <c r="A935" t="s">
        <v>139</v>
      </c>
      <c r="B935">
        <v>1</v>
      </c>
      <c r="C935" t="s">
        <v>57</v>
      </c>
      <c r="D935" t="s">
        <v>51</v>
      </c>
      <c r="E935">
        <v>7.6</v>
      </c>
      <c r="F935" s="11">
        <v>46229</v>
      </c>
      <c r="G935" t="s">
        <v>148</v>
      </c>
    </row>
    <row r="936" spans="1:7" hidden="1" x14ac:dyDescent="0.25">
      <c r="A936" t="s">
        <v>139</v>
      </c>
      <c r="B936">
        <v>2</v>
      </c>
      <c r="C936" t="s">
        <v>53</v>
      </c>
      <c r="D936" t="s">
        <v>51</v>
      </c>
      <c r="E936">
        <v>7.6</v>
      </c>
      <c r="F936" s="11">
        <v>46232</v>
      </c>
      <c r="G936" t="s">
        <v>148</v>
      </c>
    </row>
    <row r="937" spans="1:7" hidden="1" x14ac:dyDescent="0.25">
      <c r="A937" t="s">
        <v>139</v>
      </c>
      <c r="B937">
        <v>2</v>
      </c>
      <c r="C937" t="s">
        <v>54</v>
      </c>
      <c r="D937" t="s">
        <v>51</v>
      </c>
      <c r="E937">
        <v>7.6</v>
      </c>
      <c r="F937" s="11">
        <v>46233</v>
      </c>
      <c r="G937" t="s">
        <v>148</v>
      </c>
    </row>
    <row r="938" spans="1:7" hidden="1" x14ac:dyDescent="0.25">
      <c r="A938" t="s">
        <v>139</v>
      </c>
      <c r="B938">
        <v>2</v>
      </c>
      <c r="C938" t="s">
        <v>55</v>
      </c>
      <c r="D938" t="s">
        <v>51</v>
      </c>
      <c r="E938">
        <v>7.6</v>
      </c>
      <c r="F938" s="11">
        <v>46234</v>
      </c>
      <c r="G938" t="s">
        <v>148</v>
      </c>
    </row>
    <row r="939" spans="1:7" hidden="1" x14ac:dyDescent="0.25">
      <c r="A939" t="s">
        <v>139</v>
      </c>
      <c r="B939">
        <v>2</v>
      </c>
      <c r="C939" t="s">
        <v>56</v>
      </c>
      <c r="D939" t="s">
        <v>49</v>
      </c>
      <c r="E939">
        <v>7.6</v>
      </c>
      <c r="F939" s="11">
        <v>46235</v>
      </c>
      <c r="G939" t="s">
        <v>148</v>
      </c>
    </row>
    <row r="940" spans="1:7" hidden="1" x14ac:dyDescent="0.25">
      <c r="A940" t="s">
        <v>139</v>
      </c>
      <c r="B940">
        <v>2</v>
      </c>
      <c r="C940" t="s">
        <v>57</v>
      </c>
      <c r="D940" t="s">
        <v>51</v>
      </c>
      <c r="E940">
        <v>7.6</v>
      </c>
      <c r="F940" s="11">
        <v>46236</v>
      </c>
      <c r="G940" t="s">
        <v>148</v>
      </c>
    </row>
    <row r="941" spans="1:7" hidden="1" x14ac:dyDescent="0.25">
      <c r="A941" t="s">
        <v>139</v>
      </c>
      <c r="B941">
        <v>1</v>
      </c>
      <c r="C941" t="s">
        <v>48</v>
      </c>
      <c r="D941" t="s">
        <v>49</v>
      </c>
      <c r="E941">
        <v>7.6</v>
      </c>
      <c r="F941" s="11">
        <v>46223</v>
      </c>
      <c r="G941" t="s">
        <v>149</v>
      </c>
    </row>
    <row r="942" spans="1:7" hidden="1" x14ac:dyDescent="0.25">
      <c r="A942" t="s">
        <v>139</v>
      </c>
      <c r="B942">
        <v>1</v>
      </c>
      <c r="C942" t="s">
        <v>48</v>
      </c>
      <c r="D942" t="s">
        <v>51</v>
      </c>
      <c r="E942">
        <v>7.6</v>
      </c>
      <c r="F942" s="11">
        <v>46223</v>
      </c>
      <c r="G942" t="s">
        <v>149</v>
      </c>
    </row>
    <row r="943" spans="1:7" hidden="1" x14ac:dyDescent="0.25">
      <c r="A943" t="s">
        <v>139</v>
      </c>
      <c r="B943">
        <v>1</v>
      </c>
      <c r="C943" t="s">
        <v>52</v>
      </c>
      <c r="D943" t="s">
        <v>49</v>
      </c>
      <c r="E943">
        <v>7.6</v>
      </c>
      <c r="F943" s="11">
        <v>46224</v>
      </c>
      <c r="G943" t="s">
        <v>149</v>
      </c>
    </row>
    <row r="944" spans="1:7" hidden="1" x14ac:dyDescent="0.25">
      <c r="A944" t="s">
        <v>139</v>
      </c>
      <c r="B944">
        <v>1</v>
      </c>
      <c r="C944" t="s">
        <v>52</v>
      </c>
      <c r="D944" t="s">
        <v>51</v>
      </c>
      <c r="E944">
        <v>7.6</v>
      </c>
      <c r="F944" s="11">
        <v>46224</v>
      </c>
      <c r="G944" t="s">
        <v>149</v>
      </c>
    </row>
    <row r="945" spans="1:7" hidden="1" x14ac:dyDescent="0.25">
      <c r="A945" t="s">
        <v>139</v>
      </c>
      <c r="B945">
        <v>1</v>
      </c>
      <c r="C945" t="s">
        <v>53</v>
      </c>
      <c r="D945" t="s">
        <v>49</v>
      </c>
      <c r="E945">
        <v>7.6</v>
      </c>
      <c r="F945" s="11">
        <v>46225</v>
      </c>
      <c r="G945" t="s">
        <v>149</v>
      </c>
    </row>
    <row r="946" spans="1:7" hidden="1" x14ac:dyDescent="0.25">
      <c r="A946" t="s">
        <v>139</v>
      </c>
      <c r="B946">
        <v>1</v>
      </c>
      <c r="C946" t="s">
        <v>53</v>
      </c>
      <c r="D946" t="s">
        <v>51</v>
      </c>
      <c r="E946">
        <v>7.6</v>
      </c>
      <c r="F946" s="11">
        <v>46225</v>
      </c>
      <c r="G946" t="s">
        <v>149</v>
      </c>
    </row>
    <row r="947" spans="1:7" hidden="1" x14ac:dyDescent="0.25">
      <c r="A947" t="s">
        <v>139</v>
      </c>
      <c r="B947">
        <v>1</v>
      </c>
      <c r="C947" t="s">
        <v>54</v>
      </c>
      <c r="D947" t="s">
        <v>49</v>
      </c>
      <c r="E947">
        <v>7.6</v>
      </c>
      <c r="F947" s="11">
        <v>46226</v>
      </c>
      <c r="G947" t="s">
        <v>149</v>
      </c>
    </row>
    <row r="948" spans="1:7" hidden="1" x14ac:dyDescent="0.25">
      <c r="A948" t="s">
        <v>139</v>
      </c>
      <c r="B948">
        <v>1</v>
      </c>
      <c r="C948" t="s">
        <v>54</v>
      </c>
      <c r="D948" t="s">
        <v>51</v>
      </c>
      <c r="E948">
        <v>7.6</v>
      </c>
      <c r="F948" s="11">
        <v>46226</v>
      </c>
      <c r="G948" t="s">
        <v>149</v>
      </c>
    </row>
    <row r="949" spans="1:7" hidden="1" x14ac:dyDescent="0.25">
      <c r="A949" t="s">
        <v>139</v>
      </c>
      <c r="B949">
        <v>1</v>
      </c>
      <c r="C949" t="s">
        <v>55</v>
      </c>
      <c r="D949" t="s">
        <v>49</v>
      </c>
      <c r="E949">
        <v>7.6</v>
      </c>
      <c r="F949" s="11">
        <v>46227</v>
      </c>
      <c r="G949" t="s">
        <v>149</v>
      </c>
    </row>
    <row r="950" spans="1:7" hidden="1" x14ac:dyDescent="0.25">
      <c r="A950" t="s">
        <v>139</v>
      </c>
      <c r="B950">
        <v>1</v>
      </c>
      <c r="C950" t="s">
        <v>55</v>
      </c>
      <c r="D950" t="s">
        <v>51</v>
      </c>
      <c r="E950">
        <v>7.6</v>
      </c>
      <c r="F950" s="11">
        <v>46227</v>
      </c>
      <c r="G950" t="s">
        <v>149</v>
      </c>
    </row>
    <row r="951" spans="1:7" hidden="1" x14ac:dyDescent="0.25">
      <c r="A951" t="s">
        <v>139</v>
      </c>
      <c r="B951">
        <v>1</v>
      </c>
      <c r="C951" t="s">
        <v>56</v>
      </c>
      <c r="D951" t="s">
        <v>49</v>
      </c>
      <c r="E951">
        <v>7.6</v>
      </c>
      <c r="F951" s="11">
        <v>46228</v>
      </c>
      <c r="G951" t="s">
        <v>149</v>
      </c>
    </row>
    <row r="952" spans="1:7" hidden="1" x14ac:dyDescent="0.25">
      <c r="A952" t="s">
        <v>139</v>
      </c>
      <c r="B952">
        <v>1</v>
      </c>
      <c r="C952" t="s">
        <v>56</v>
      </c>
      <c r="D952" t="s">
        <v>51</v>
      </c>
      <c r="E952">
        <v>7.6</v>
      </c>
      <c r="F952" s="11">
        <v>46228</v>
      </c>
      <c r="G952" t="s">
        <v>149</v>
      </c>
    </row>
    <row r="953" spans="1:7" hidden="1" x14ac:dyDescent="0.25">
      <c r="A953" t="s">
        <v>139</v>
      </c>
      <c r="B953">
        <v>1</v>
      </c>
      <c r="C953" t="s">
        <v>57</v>
      </c>
      <c r="D953" t="s">
        <v>49</v>
      </c>
      <c r="E953">
        <v>7.6</v>
      </c>
      <c r="F953" s="11">
        <v>46229</v>
      </c>
      <c r="G953" t="s">
        <v>149</v>
      </c>
    </row>
    <row r="954" spans="1:7" hidden="1" x14ac:dyDescent="0.25">
      <c r="A954" t="s">
        <v>139</v>
      </c>
      <c r="B954">
        <v>1</v>
      </c>
      <c r="C954" t="s">
        <v>57</v>
      </c>
      <c r="D954" t="s">
        <v>51</v>
      </c>
      <c r="E954">
        <v>7.6</v>
      </c>
      <c r="F954" s="11">
        <v>46229</v>
      </c>
      <c r="G954" t="s">
        <v>149</v>
      </c>
    </row>
    <row r="955" spans="1:7" hidden="1" x14ac:dyDescent="0.25">
      <c r="A955" t="s">
        <v>139</v>
      </c>
      <c r="B955">
        <v>2</v>
      </c>
      <c r="C955" t="s">
        <v>48</v>
      </c>
      <c r="D955" t="s">
        <v>49</v>
      </c>
      <c r="E955">
        <v>7.6</v>
      </c>
      <c r="F955" s="11">
        <v>46230</v>
      </c>
      <c r="G955" t="s">
        <v>149</v>
      </c>
    </row>
    <row r="956" spans="1:7" hidden="1" x14ac:dyDescent="0.25">
      <c r="A956" t="s">
        <v>139</v>
      </c>
      <c r="B956">
        <v>2</v>
      </c>
      <c r="C956" t="s">
        <v>48</v>
      </c>
      <c r="D956" t="s">
        <v>51</v>
      </c>
      <c r="E956">
        <v>7.6</v>
      </c>
      <c r="F956" s="11">
        <v>46230</v>
      </c>
      <c r="G956" t="s">
        <v>149</v>
      </c>
    </row>
    <row r="957" spans="1:7" hidden="1" x14ac:dyDescent="0.25">
      <c r="A957" t="s">
        <v>139</v>
      </c>
      <c r="B957">
        <v>2</v>
      </c>
      <c r="C957" t="s">
        <v>52</v>
      </c>
      <c r="D957" t="s">
        <v>49</v>
      </c>
      <c r="E957">
        <v>7.6</v>
      </c>
      <c r="F957" s="11">
        <v>46231</v>
      </c>
      <c r="G957" t="s">
        <v>149</v>
      </c>
    </row>
    <row r="958" spans="1:7" hidden="1" x14ac:dyDescent="0.25">
      <c r="A958" t="s">
        <v>139</v>
      </c>
      <c r="B958">
        <v>2</v>
      </c>
      <c r="C958" t="s">
        <v>52</v>
      </c>
      <c r="D958" t="s">
        <v>51</v>
      </c>
      <c r="E958">
        <v>7.6</v>
      </c>
      <c r="F958" s="11">
        <v>46231</v>
      </c>
      <c r="G958" t="s">
        <v>149</v>
      </c>
    </row>
    <row r="959" spans="1:7" hidden="1" x14ac:dyDescent="0.25">
      <c r="A959" t="s">
        <v>139</v>
      </c>
      <c r="B959">
        <v>2</v>
      </c>
      <c r="C959" t="s">
        <v>53</v>
      </c>
      <c r="D959" t="s">
        <v>49</v>
      </c>
      <c r="E959">
        <v>7.6</v>
      </c>
      <c r="F959" s="11">
        <v>46232</v>
      </c>
      <c r="G959" t="s">
        <v>149</v>
      </c>
    </row>
    <row r="960" spans="1:7" hidden="1" x14ac:dyDescent="0.25">
      <c r="A960" t="s">
        <v>139</v>
      </c>
      <c r="B960">
        <v>2</v>
      </c>
      <c r="C960" t="s">
        <v>53</v>
      </c>
      <c r="D960" t="s">
        <v>51</v>
      </c>
      <c r="E960">
        <v>7.6</v>
      </c>
      <c r="F960" s="11">
        <v>46232</v>
      </c>
      <c r="G960" t="s">
        <v>149</v>
      </c>
    </row>
    <row r="961" spans="1:7" hidden="1" x14ac:dyDescent="0.25">
      <c r="A961" t="s">
        <v>139</v>
      </c>
      <c r="B961">
        <v>2</v>
      </c>
      <c r="C961" t="s">
        <v>54</v>
      </c>
      <c r="D961" t="s">
        <v>49</v>
      </c>
      <c r="E961">
        <v>7.6</v>
      </c>
      <c r="F961" s="11">
        <v>46233</v>
      </c>
      <c r="G961" t="s">
        <v>149</v>
      </c>
    </row>
    <row r="962" spans="1:7" hidden="1" x14ac:dyDescent="0.25">
      <c r="A962" t="s">
        <v>139</v>
      </c>
      <c r="B962">
        <v>2</v>
      </c>
      <c r="C962" t="s">
        <v>54</v>
      </c>
      <c r="D962" t="s">
        <v>51</v>
      </c>
      <c r="E962">
        <v>7.6</v>
      </c>
      <c r="F962" s="11">
        <v>46233</v>
      </c>
      <c r="G962" t="s">
        <v>149</v>
      </c>
    </row>
    <row r="963" spans="1:7" hidden="1" x14ac:dyDescent="0.25">
      <c r="A963" t="s">
        <v>139</v>
      </c>
      <c r="B963">
        <v>2</v>
      </c>
      <c r="C963" t="s">
        <v>55</v>
      </c>
      <c r="D963" t="s">
        <v>49</v>
      </c>
      <c r="E963">
        <v>7.6</v>
      </c>
      <c r="F963" s="11">
        <v>46234</v>
      </c>
      <c r="G963" t="s">
        <v>149</v>
      </c>
    </row>
    <row r="964" spans="1:7" hidden="1" x14ac:dyDescent="0.25">
      <c r="A964" t="s">
        <v>139</v>
      </c>
      <c r="B964">
        <v>2</v>
      </c>
      <c r="C964" t="s">
        <v>55</v>
      </c>
      <c r="D964" t="s">
        <v>51</v>
      </c>
      <c r="E964">
        <v>7.6</v>
      </c>
      <c r="F964" s="11">
        <v>46234</v>
      </c>
      <c r="G964" t="s">
        <v>149</v>
      </c>
    </row>
    <row r="965" spans="1:7" hidden="1" x14ac:dyDescent="0.25">
      <c r="A965" t="s">
        <v>139</v>
      </c>
      <c r="B965">
        <v>2</v>
      </c>
      <c r="C965" t="s">
        <v>56</v>
      </c>
      <c r="D965" t="s">
        <v>49</v>
      </c>
      <c r="E965">
        <v>7.6</v>
      </c>
      <c r="F965" s="11">
        <v>46235</v>
      </c>
      <c r="G965" t="s">
        <v>149</v>
      </c>
    </row>
    <row r="966" spans="1:7" hidden="1" x14ac:dyDescent="0.25">
      <c r="A966" t="s">
        <v>139</v>
      </c>
      <c r="B966">
        <v>2</v>
      </c>
      <c r="C966" t="s">
        <v>56</v>
      </c>
      <c r="D966" t="s">
        <v>51</v>
      </c>
      <c r="E966">
        <v>7.6</v>
      </c>
      <c r="F966" s="11">
        <v>46235</v>
      </c>
      <c r="G966" t="s">
        <v>149</v>
      </c>
    </row>
    <row r="967" spans="1:7" hidden="1" x14ac:dyDescent="0.25">
      <c r="A967" t="s">
        <v>139</v>
      </c>
      <c r="B967">
        <v>2</v>
      </c>
      <c r="C967" t="s">
        <v>57</v>
      </c>
      <c r="D967" t="s">
        <v>49</v>
      </c>
      <c r="E967">
        <v>7.6</v>
      </c>
      <c r="F967" s="11">
        <v>46236</v>
      </c>
      <c r="G967" t="s">
        <v>149</v>
      </c>
    </row>
    <row r="968" spans="1:7" hidden="1" x14ac:dyDescent="0.25">
      <c r="A968" t="s">
        <v>139</v>
      </c>
      <c r="B968">
        <v>2</v>
      </c>
      <c r="C968" t="s">
        <v>57</v>
      </c>
      <c r="D968" t="s">
        <v>51</v>
      </c>
      <c r="E968">
        <v>7.6</v>
      </c>
      <c r="F968" s="11">
        <v>46236</v>
      </c>
      <c r="G968" t="s">
        <v>149</v>
      </c>
    </row>
    <row r="969" spans="1:7" hidden="1" x14ac:dyDescent="0.25">
      <c r="A969" t="s">
        <v>133</v>
      </c>
      <c r="B969">
        <v>1</v>
      </c>
      <c r="C969" t="s">
        <v>53</v>
      </c>
      <c r="D969" t="s">
        <v>49</v>
      </c>
      <c r="E969">
        <v>7.6</v>
      </c>
      <c r="F969" s="11">
        <v>46225</v>
      </c>
      <c r="G969" t="s">
        <v>109</v>
      </c>
    </row>
    <row r="970" spans="1:7" hidden="1" x14ac:dyDescent="0.25">
      <c r="A970" t="s">
        <v>133</v>
      </c>
      <c r="B970">
        <v>1</v>
      </c>
      <c r="C970" t="s">
        <v>54</v>
      </c>
      <c r="D970" t="s">
        <v>49</v>
      </c>
      <c r="E970">
        <v>7.6</v>
      </c>
      <c r="F970" s="11">
        <v>46226</v>
      </c>
      <c r="G970" t="s">
        <v>109</v>
      </c>
    </row>
    <row r="971" spans="1:7" hidden="1" x14ac:dyDescent="0.25">
      <c r="A971" t="s">
        <v>133</v>
      </c>
      <c r="B971">
        <v>1</v>
      </c>
      <c r="C971" t="s">
        <v>54</v>
      </c>
      <c r="D971" t="s">
        <v>51</v>
      </c>
      <c r="E971">
        <v>7.6</v>
      </c>
      <c r="F971" s="11">
        <v>46226</v>
      </c>
      <c r="G971" t="s">
        <v>109</v>
      </c>
    </row>
    <row r="972" spans="1:7" hidden="1" x14ac:dyDescent="0.25">
      <c r="A972" t="s">
        <v>133</v>
      </c>
      <c r="B972">
        <v>1</v>
      </c>
      <c r="C972" t="s">
        <v>55</v>
      </c>
      <c r="D972" t="s">
        <v>49</v>
      </c>
      <c r="E972">
        <v>7.6</v>
      </c>
      <c r="F972" s="11">
        <v>46227</v>
      </c>
      <c r="G972" t="s">
        <v>109</v>
      </c>
    </row>
    <row r="973" spans="1:7" hidden="1" x14ac:dyDescent="0.25">
      <c r="A973" t="s">
        <v>133</v>
      </c>
      <c r="B973">
        <v>1</v>
      </c>
      <c r="C973" t="s">
        <v>55</v>
      </c>
      <c r="D973" t="s">
        <v>51</v>
      </c>
      <c r="E973">
        <v>7.6</v>
      </c>
      <c r="F973" s="11">
        <v>46227</v>
      </c>
      <c r="G973" t="s">
        <v>109</v>
      </c>
    </row>
    <row r="974" spans="1:7" hidden="1" x14ac:dyDescent="0.25">
      <c r="A974" t="s">
        <v>133</v>
      </c>
      <c r="B974">
        <v>2</v>
      </c>
      <c r="C974" t="s">
        <v>54</v>
      </c>
      <c r="D974" t="s">
        <v>49</v>
      </c>
      <c r="E974">
        <v>7.6</v>
      </c>
      <c r="F974" s="11">
        <v>46233</v>
      </c>
      <c r="G974" t="s">
        <v>109</v>
      </c>
    </row>
    <row r="975" spans="1:7" hidden="1" x14ac:dyDescent="0.25">
      <c r="A975" t="s">
        <v>133</v>
      </c>
      <c r="B975">
        <v>2</v>
      </c>
      <c r="C975" t="s">
        <v>54</v>
      </c>
      <c r="D975" t="s">
        <v>51</v>
      </c>
      <c r="E975">
        <v>7.6</v>
      </c>
      <c r="F975" s="11">
        <v>46233</v>
      </c>
      <c r="G975" t="s">
        <v>109</v>
      </c>
    </row>
    <row r="976" spans="1:7" hidden="1" x14ac:dyDescent="0.25">
      <c r="A976" t="s">
        <v>133</v>
      </c>
      <c r="B976">
        <v>2</v>
      </c>
      <c r="C976" t="s">
        <v>55</v>
      </c>
      <c r="D976" t="s">
        <v>49</v>
      </c>
      <c r="E976">
        <v>7.6</v>
      </c>
      <c r="F976" s="11">
        <v>46234</v>
      </c>
      <c r="G976" t="s">
        <v>109</v>
      </c>
    </row>
    <row r="977" spans="1:7" hidden="1" x14ac:dyDescent="0.25">
      <c r="A977" t="s">
        <v>133</v>
      </c>
      <c r="B977">
        <v>2</v>
      </c>
      <c r="C977" t="s">
        <v>55</v>
      </c>
      <c r="D977" t="s">
        <v>51</v>
      </c>
      <c r="E977">
        <v>7.6</v>
      </c>
      <c r="F977" s="11">
        <v>46234</v>
      </c>
      <c r="G977" t="s">
        <v>109</v>
      </c>
    </row>
    <row r="978" spans="1:7" hidden="1" x14ac:dyDescent="0.25">
      <c r="A978" t="s">
        <v>133</v>
      </c>
      <c r="B978">
        <v>1</v>
      </c>
      <c r="C978" t="s">
        <v>52</v>
      </c>
      <c r="D978" t="s">
        <v>51</v>
      </c>
      <c r="E978">
        <v>7.6</v>
      </c>
      <c r="F978" s="11">
        <v>46224</v>
      </c>
      <c r="G978" t="s">
        <v>119</v>
      </c>
    </row>
    <row r="979" spans="1:7" hidden="1" x14ac:dyDescent="0.25">
      <c r="A979" t="s">
        <v>133</v>
      </c>
      <c r="B979">
        <v>1</v>
      </c>
      <c r="C979" t="s">
        <v>53</v>
      </c>
      <c r="D979" t="s">
        <v>51</v>
      </c>
      <c r="E979">
        <v>7.6</v>
      </c>
      <c r="F979" s="11">
        <v>46225</v>
      </c>
      <c r="G979" t="s">
        <v>119</v>
      </c>
    </row>
    <row r="980" spans="1:7" hidden="1" x14ac:dyDescent="0.25">
      <c r="A980" t="s">
        <v>133</v>
      </c>
      <c r="B980">
        <v>1</v>
      </c>
      <c r="C980" t="s">
        <v>54</v>
      </c>
      <c r="D980" t="s">
        <v>49</v>
      </c>
      <c r="E980">
        <v>7.6</v>
      </c>
      <c r="F980" s="11">
        <v>46226</v>
      </c>
      <c r="G980" t="s">
        <v>119</v>
      </c>
    </row>
    <row r="981" spans="1:7" hidden="1" x14ac:dyDescent="0.25">
      <c r="A981" t="s">
        <v>133</v>
      </c>
      <c r="B981">
        <v>1</v>
      </c>
      <c r="C981" t="s">
        <v>55</v>
      </c>
      <c r="D981" t="s">
        <v>51</v>
      </c>
      <c r="E981">
        <v>7.6</v>
      </c>
      <c r="F981" s="11">
        <v>46227</v>
      </c>
      <c r="G981" t="s">
        <v>119</v>
      </c>
    </row>
    <row r="982" spans="1:7" hidden="1" x14ac:dyDescent="0.25">
      <c r="A982" t="s">
        <v>133</v>
      </c>
      <c r="B982">
        <v>1</v>
      </c>
      <c r="C982" t="s">
        <v>56</v>
      </c>
      <c r="D982" t="s">
        <v>51</v>
      </c>
      <c r="E982">
        <v>7.6</v>
      </c>
      <c r="F982" s="11">
        <v>46228</v>
      </c>
      <c r="G982" t="s">
        <v>119</v>
      </c>
    </row>
    <row r="983" spans="1:7" hidden="1" x14ac:dyDescent="0.25">
      <c r="A983" t="s">
        <v>133</v>
      </c>
      <c r="B983">
        <v>1</v>
      </c>
      <c r="C983" t="s">
        <v>57</v>
      </c>
      <c r="D983" t="s">
        <v>51</v>
      </c>
      <c r="E983">
        <v>7.6</v>
      </c>
      <c r="F983" s="11">
        <v>46229</v>
      </c>
      <c r="G983" t="s">
        <v>119</v>
      </c>
    </row>
    <row r="984" spans="1:7" hidden="1" x14ac:dyDescent="0.25">
      <c r="A984" t="s">
        <v>133</v>
      </c>
      <c r="B984">
        <v>2</v>
      </c>
      <c r="C984" t="s">
        <v>52</v>
      </c>
      <c r="D984" t="s">
        <v>51</v>
      </c>
      <c r="E984">
        <v>7.6</v>
      </c>
      <c r="F984" s="11">
        <v>46231</v>
      </c>
      <c r="G984" t="s">
        <v>119</v>
      </c>
    </row>
    <row r="985" spans="1:7" hidden="1" x14ac:dyDescent="0.25">
      <c r="A985" t="s">
        <v>133</v>
      </c>
      <c r="B985">
        <v>2</v>
      </c>
      <c r="C985" t="s">
        <v>53</v>
      </c>
      <c r="D985" t="s">
        <v>51</v>
      </c>
      <c r="E985">
        <v>7.6</v>
      </c>
      <c r="F985" s="11">
        <v>46232</v>
      </c>
      <c r="G985" t="s">
        <v>119</v>
      </c>
    </row>
    <row r="986" spans="1:7" hidden="1" x14ac:dyDescent="0.25">
      <c r="A986" t="s">
        <v>133</v>
      </c>
      <c r="B986">
        <v>2</v>
      </c>
      <c r="C986" t="s">
        <v>54</v>
      </c>
      <c r="D986" t="s">
        <v>51</v>
      </c>
      <c r="E986">
        <v>7.6</v>
      </c>
      <c r="F986" s="11">
        <v>46233</v>
      </c>
      <c r="G986" t="s">
        <v>119</v>
      </c>
    </row>
    <row r="987" spans="1:7" hidden="1" x14ac:dyDescent="0.25">
      <c r="A987" t="s">
        <v>133</v>
      </c>
      <c r="B987">
        <v>2</v>
      </c>
      <c r="C987" t="s">
        <v>55</v>
      </c>
      <c r="D987" t="s">
        <v>51</v>
      </c>
      <c r="E987">
        <v>7.6</v>
      </c>
      <c r="F987" s="11">
        <v>46234</v>
      </c>
      <c r="G987" t="s">
        <v>119</v>
      </c>
    </row>
    <row r="988" spans="1:7" hidden="1" x14ac:dyDescent="0.25">
      <c r="A988" t="s">
        <v>133</v>
      </c>
      <c r="B988">
        <v>2</v>
      </c>
      <c r="C988" t="s">
        <v>56</v>
      </c>
      <c r="D988" t="s">
        <v>51</v>
      </c>
      <c r="E988">
        <v>7.6</v>
      </c>
      <c r="F988" s="11">
        <v>46235</v>
      </c>
      <c r="G988" t="s">
        <v>119</v>
      </c>
    </row>
    <row r="989" spans="1:7" hidden="1" x14ac:dyDescent="0.25">
      <c r="A989" t="s">
        <v>133</v>
      </c>
      <c r="B989">
        <v>2</v>
      </c>
      <c r="C989" t="s">
        <v>57</v>
      </c>
      <c r="D989" t="s">
        <v>51</v>
      </c>
      <c r="E989">
        <v>7.6</v>
      </c>
      <c r="F989" s="11">
        <v>46236</v>
      </c>
      <c r="G989" t="s">
        <v>119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D6101A85-4496-4226-97B6-DF9B312DABD6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3be0b85a-8471-4f10-b038-505fde09e598"/>
    <ds:schemaRef ds:uri="http://schemas.microsoft.com/office/infopath/2007/PartnerControls"/>
    <ds:schemaRef ds:uri="f82d1b6b-c0e6-44b0-99a2-d357b2d50896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UnitL1RolePath</vt:lpstr>
      <vt:lpstr>FILEPATH</vt:lpstr>
      <vt:lpstr>AvailabilityDayShiftMATRIXRaw</vt:lpstr>
      <vt:lpstr>Availability-StaffList</vt:lpstr>
      <vt:lpstr>RoleResDayAvailabilityCapped</vt:lpstr>
      <vt:lpstr>MultiRoles</vt:lpstr>
      <vt:lpstr>IMPORT ResRolesProportion2</vt:lpstr>
      <vt:lpstr>ResDayShift</vt:lpstr>
      <vt:lpstr>FILEPATH!Client</vt:lpstr>
      <vt:lpstr>UnitL1RolePath!Client</vt:lpstr>
      <vt:lpstr>FILEPATH!Date</vt:lpstr>
      <vt:lpstr>FilePathUrl</vt:lpstr>
      <vt:lpstr>UnitL1RolePath!Role</vt:lpstr>
      <vt:lpstr>FILEPATH!Type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2026-09-09T09:06:46Z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