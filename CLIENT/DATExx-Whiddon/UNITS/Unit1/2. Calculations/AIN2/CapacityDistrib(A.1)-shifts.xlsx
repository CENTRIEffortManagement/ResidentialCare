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2\"/>
    </mc:Choice>
  </mc:AlternateContent>
  <xr:revisionPtr revIDLastSave="0" documentId="13_ncr:1_{C2F87415-EE56-43DF-B0E7-AD8C306B1E54}" xr6:coauthVersionLast="47" xr6:coauthVersionMax="47" xr10:uidLastSave="{00000000-0000-0000-0000-000000000000}"/>
  <bookViews>
    <workbookView xWindow="-19320" yWindow="-120" windowWidth="19440" windowHeight="21120" tabRatio="876" xr2:uid="{CE3DA618-C03D-4549-A6E5-8E56130384D4}"/>
  </bookViews>
  <sheets>
    <sheet name="UnitL1Path" sheetId="60" r:id="rId1"/>
    <sheet name="ResPeriodAvailabilityTABLE !!" sheetId="35" r:id="rId2"/>
    <sheet name="ResPeriodAllocationTABLE" sheetId="42" r:id="rId3"/>
    <sheet name="ResPeriodCapPrioritised" sheetId="26" r:id="rId4"/>
    <sheet name="ResPeriodWDTABLE" sheetId="33" r:id="rId5"/>
    <sheet name="ResourcePeriodTABLE-empty" sheetId="34" r:id="rId6"/>
    <sheet name="MultiDayPeriod-Remove" sheetId="32" r:id="rId7"/>
    <sheet name="C' ResSingleShiftDayTABLE" sheetId="63" r:id="rId8"/>
    <sheet name="IMPORT ResDayShift !!" sheetId="62" r:id="rId9"/>
    <sheet name="Demand Prepare" sheetId="44" r:id="rId10"/>
  </sheets>
  <externalReferences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3" hidden="1">'ResPeriodCapPrioritised'!$A$1:$N$2</definedName>
    <definedName name="ExternalData_1" localSheetId="0" hidden="1">UnitL1Path!$A$3:$B$10</definedName>
    <definedName name="ExternalData_2" localSheetId="6" hidden="1">'MultiDayPeriod-Remove'!$A$1:$E$2</definedName>
    <definedName name="ExternalData_3" localSheetId="9" hidden="1">'Demand Prepare'!$A$1:$F$2</definedName>
    <definedName name="ExternalData_3" localSheetId="4" hidden="1">'ResPeriodWDTABLE'!$A$1:$F$2</definedName>
    <definedName name="ExternalData_4" localSheetId="8" hidden="1">'IMPORT ResDayShift !!'!$A$1:$I$2</definedName>
    <definedName name="ExternalData_4" localSheetId="5" hidden="1">'ResourcePeriodTABLE-empty'!$A$1:$N$2</definedName>
    <definedName name="ExternalData_5" localSheetId="7" hidden="1">'C'' ResSingleShiftDayTABLE'!$A$1:$D$2</definedName>
    <definedName name="ExternalData_5" localSheetId="1" hidden="1">'ResPeriodAvailabilityTABLE !!'!$A$1:$D$2</definedName>
    <definedName name="ExternalData_6" localSheetId="2" hidden="1">'ResPeriodAllocationTABLE'!$A$1:$E$2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2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3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4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5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6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7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8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9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0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1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2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3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4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5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6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7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8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9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0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1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2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3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4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5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6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7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8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9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0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1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2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3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4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5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6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7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8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9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0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1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2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3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4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5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6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7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8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9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0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1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2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3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4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5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6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7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9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0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1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2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3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4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5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6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7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8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9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0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1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2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3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4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5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6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7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8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9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0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1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2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3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4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<sst xmlns="http://schemas.openxmlformats.org/spreadsheetml/2006/main" count="83" uniqueCount="52">
  <si>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</si>
  <si>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</si>
  <si>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</si>
  <si>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</si>
  <si>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</si>
  <si>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</si>
  <si>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</si>
  <si>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</si>
  <si>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</si>
  <si>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</si>
  <si>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</si>
  <si>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</si>
  <si>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</si>
  <si>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</si>
  <si>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</si>
  <si>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</si>
  <si>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</si>
  <si>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</si>
  <si>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</si>
  <si>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</si>
  <si>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</si>
  <si>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</si>
  <si>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</si>
  <si>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</si>
  <si>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</si>
  <si>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</si>
  <si>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</si>
  <si>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</si>
  <si>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</si>
  <si>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</si>
  <si>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</si>
  <si>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</si>
  <si>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</si>
  <si>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</si>
  <si>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</si>
  <si>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</si>
  <si>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</si>
  <si>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</si>
  <si>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</si>
  <si>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</si>
  <si>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</si>
  <si>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</si>
  <si>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</si>
  <si>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EmployeeID</t>
  </si>
  <si>
    <t>PreferredRole</t>
  </si>
  <si>
    <t>Contracted FN Hours</t>
  </si>
  <si>
    <t>Contracted Shifts</t>
  </si>
  <si>
    <t>Settings Max Availability</t>
  </si>
  <si>
    <t>Effective Shift Cap</t>
  </si>
  <si>
    <t>Limit Basis</t>
  </si>
  <si>
    <t>C:\Users\Alex\CentriNOTSYNC\ResidentialCare\CLIENT\DATExx-Whiddon\UNITS\Unit1\2. Calculations\AIN2</t>
  </si>
  <si>
    <t>AIN2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</si>
</sst>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9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7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1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3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9" xr16:uid="{91F4A135-FB0B-40D9-AF80-94C0C342FD3A}" autoFormatId="16" applyNumberFormats="0" applyBorderFormats="0" applyFontFormats="0" applyPatternFormats="0" applyAlignmentFormats="0" applyWidthHeightFormats="0">
  <queryTableRefresh nextId="33">
    <queryTableFields count="14">
      <queryTableField id="2" name="Name" tableColumnId="2"/>
      <queryTableField id="3" name="Role" tableColumnId="3"/>
      <queryTableField id="9" name="Resource" tableColumnId="9"/>
      <queryTableField id="16" name="EmployeeID" tableColumnId="1"/>
      <queryTableField id="17" name="Facility-Abbrev" tableColumnId="4"/>
      <queryTableField id="18" name="PreferredRole" tableColumnId="5"/>
      <queryTableField id="19" name="Contracted FN Hours" tableColumnId="6"/>
      <queryTableField id="20" name="Contracted Shifts" tableColumnId="7"/>
      <queryTableField id="21" name="Settings Max Availability" tableColumnId="8"/>
      <queryTableField id="22" name="Effective Shift Cap" tableColumnId="13"/>
      <queryTableField id="23" name="Limit Basis" tableColumnId="1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8" dataDxfId="17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6" dataCellStyle="Normal 2"/>
    <tableColumn id="2" xr3:uid="{2EFB8908-0595-4E68-90BF-CB64E911E8FC}" uniqueName="2" name="Value" queryTableFieldId="2" dataDxfId="1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2" tableType="queryTable" insertRow="1" totalsRowShown="0">
  <autoFilter ref="A1:D2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19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" tableType="queryTable" insertRow="1" totalsRowShown="0">
  <autoFilter ref="A1:E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 dataDxfId="14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insertRow="1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" tableType="queryTable" insertRow="1" totalsRowShown="0">
  <autoFilter ref="A1:F2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N2" tableType="queryTable" insertRow="1" totalsRowShown="0">
  <autoFilter ref="A1:N2" xr:uid="{AFB637BB-21E3-4F53-A711-C31D6F8D72A9}"/>
  <tableColumns count="14">
    <tableColumn id="2" xr3:uid="{B3E4CB6C-1D67-4A58-A5AE-E175789210AD}" uniqueName="2" name="Name" queryTableFieldId="2" dataDxfId="13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759C1A00-7D00-467D-93D4-6C3B18CBD329}" uniqueName="1" name="EmployeeID" queryTableFieldId="16" dataDxfId="12"/>
    <tableColumn id="4" xr3:uid="{180AF4F4-242F-45DF-BCEF-208C741EF088}" uniqueName="4" name="Facility-Abbrev" queryTableFieldId="17" dataDxfId="11"/>
    <tableColumn id="5" xr3:uid="{CB003B02-030D-434B-B1FE-CA36AE5197EA}" uniqueName="5" name="PreferredRole" queryTableFieldId="18" dataDxfId="10"/>
    <tableColumn id="6" xr3:uid="{48B624D3-C74B-4FAB-99AA-718AADAF1C59}" uniqueName="6" name="Contracted FN Hours" queryTableFieldId="19"/>
    <tableColumn id="7" xr3:uid="{43FE0AC3-EAF7-4B75-B522-735D9DEADECF}" uniqueName="7" name="Contracted Shifts" queryTableFieldId="20"/>
    <tableColumn id="8" xr3:uid="{D27E1313-463D-4ED0-9F60-5791FFA3FF82}" uniqueName="8" name="Settings Max Availability" queryTableFieldId="21"/>
    <tableColumn id="13" xr3:uid="{2944714D-67A6-46E6-9222-9B4AC83B8E5B}" uniqueName="13" name="Effective Shift Cap" queryTableFieldId="22"/>
    <tableColumn id="14" xr3:uid="{0715D399-1FD6-4185-A196-F0E1D08A3543}" uniqueName="14" name="Limit Basis" queryTableFieldId="23" dataDxfId="9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2" tableType="queryTable" insertRow="1" totalsRowShown="0">
  <autoFilter ref="A1:E2" xr:uid="{B1FA2134-2953-4164-BBD0-CCB83F6A0C84}"/>
  <sortState xmlns:xlrd2="http://schemas.microsoft.com/office/spreadsheetml/2017/richdata2" ref="A2:E2">
    <sortCondition ref="A1:A2"/>
  </sortState>
  <tableColumns count="5">
    <tableColumn id="1" xr3:uid="{077706A7-00B2-4CE0-BA4A-2FC154AC1BCB}" uniqueName="1" name="Resource" queryTableFieldId="1" dataDxfId="8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2" tableType="queryTable" insertRow="1" totalsRowShown="0">
  <autoFilter ref="A1:D2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" tableType="queryTable" insertRow="1" totalsRowShown="0">
  <autoFilter ref="A1:I2" xr:uid="{0FB310FB-74D3-4D00-AE64-654E63D06244}"/>
  <tableColumns count="9">
    <tableColumn id="1" xr3:uid="{2EC51DEF-FEE7-454E-9E82-3EFE1E449988}" uniqueName="1" name="Role" queryTableFieldId="1" dataDxfId="7"/>
    <tableColumn id="2" xr3:uid="{46187325-84E4-48BA-8FC0-FB79C541FA09}" uniqueName="2" name="Week" queryTableFieldId="2"/>
    <tableColumn id="3" xr3:uid="{7A5C673E-3F06-48B0-ABF0-CFC295FB9B1B}" uniqueName="3" name="Day" queryTableFieldId="3" dataDxfId="6"/>
    <tableColumn id="4" xr3:uid="{95B7274D-F70F-4118-BCDD-2DF661F55A5D}" uniqueName="4" name="Shift" queryTableFieldId="4" dataDxfId="5"/>
    <tableColumn id="5" xr3:uid="{718C8D06-1593-4A3B-A26D-162821D61290}" uniqueName="5" name="EffectiveShiftHrs" queryTableFieldId="5"/>
    <tableColumn id="6" xr3:uid="{5931AE1D-8E96-4C56-A832-BD7C4DF4D6BA}" uniqueName="6" name="Date" queryTableFieldId="6" dataDxfId="4"/>
    <tableColumn id="7" xr3:uid="{49277383-A1F9-4F61-8BDF-FF254AC84758}" uniqueName="7" name="Name" queryTableFieldId="7" dataDxfId="3"/>
    <tableColumn id="8" xr3:uid="{C475B749-B98C-418C-AAFE-39830E79DF08}" uniqueName="8" name="ID" queryTableFieldId="8"/>
    <tableColumn id="9" xr3:uid="{AB10F3FE-7977-4AA1-AFCD-BDD0E8200930}" uniqueName="9" name="Facility-Abbrev" queryTableFieldId="9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2" tableType="queryTable" insertRow="1" totalsRowShown="0">
  <autoFilter ref="A1:F2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1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3" sqref="A3:B10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C:\Users\Alex\CentriNOTSYNC\ResidentialCare\CLIENT\DATExx-Whiddon\UNITS\Unit1\2. Calculations\AIN2\[CapacityDistrib(A.1)-shifts.xlsx]ResPeriodAvailabilityTABLE !!</v>
      </c>
    </row>
    <row r="2" spans="1:4" x14ac:dyDescent="0.25">
      <c r="A2" s="4"/>
      <c r="B2" s="4"/>
    </row>
    <row r="3" spans="1:4" x14ac:dyDescent="0.25">
      <c r="A3" s="3" t="s">
        <v>27</v>
      </c>
      <c r="B3" s="3" t="s">
        <v>28</v>
      </c>
    </row>
    <row r="4" spans="1:4" ht="15" x14ac:dyDescent="0.25">
      <c r="A4" t="s">
        <v>29</v>
      </c>
      <c r="B4" t="s">
        <v>36</v>
      </c>
    </row>
    <row r="5" spans="1:4" ht="15" x14ac:dyDescent="0.25">
      <c r="A5" t="s">
        <v>30</v>
      </c>
      <c r="B5" t="s">
        <v>50</v>
      </c>
    </row>
    <row r="6" spans="1:4" ht="15" x14ac:dyDescent="0.25">
      <c r="A6" t="s">
        <v>31</v>
      </c>
      <c r="B6" t="s">
        <v>32</v>
      </c>
    </row>
    <row r="7" spans="1:4" ht="15" x14ac:dyDescent="0.25">
      <c r="A7" t="s">
        <v>19</v>
      </c>
      <c r="B7" t="s">
        <v>37</v>
      </c>
    </row>
    <row r="8" spans="1:4" ht="15" x14ac:dyDescent="0.25">
      <c r="A8" t="s">
        <v>33</v>
      </c>
      <c r="B8" t="s">
        <v>34</v>
      </c>
    </row>
    <row r="9" spans="1:4" ht="15" x14ac:dyDescent="0.25">
      <c r="A9" t="s">
        <v>18</v>
      </c>
      <c r="B9" t="s">
        <v>51</v>
      </c>
    </row>
    <row r="10" spans="1:4" ht="15" x14ac:dyDescent="0.25">
      <c r="A10" t="s">
        <v>35</v>
      </c>
      <c r="B10" t="s">
        <v>38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18</v>
      </c>
      <c r="B1" t="s">
        <v>3</v>
      </c>
      <c r="C1" t="s">
        <v>4</v>
      </c>
      <c r="D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18</v>
      </c>
      <c r="B1" t="s">
        <v>3</v>
      </c>
      <c r="C1" t="s">
        <v>4</v>
      </c>
      <c r="D1" t="s">
        <v>25</v>
      </c>
      <c r="E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1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26</v>
      </c>
      <c r="D1" t="s">
        <v>1</v>
      </c>
      <c r="E1" t="s">
        <v>8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</v>
      </c>
      <c r="M1" t="s">
        <v>5</v>
      </c>
      <c r="N1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10</v>
      </c>
      <c r="C1" t="s">
        <v>8</v>
      </c>
      <c r="D1" t="s">
        <v>4</v>
      </c>
      <c r="E1" t="s">
        <v>2</v>
      </c>
      <c r="F1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N1"/>
  <sheetViews>
    <sheetView workbookViewId="0">
      <selection activeCell="D19" sqref="D19"/>
    </sheetView>
  </sheetViews>
  <sheetFormatPr defaultRowHeight="15" x14ac:dyDescent="0.25"/>
  <cols>
    <col min="1" max="1" width="8.5703125" bestFit="1" customWidth="1"/>
    <col min="2" max="2" width="7.28515625" bestFit="1" customWidth="1"/>
    <col min="3" max="3" width="11.42578125" bestFit="1" customWidth="1"/>
    <col min="4" max="4" width="14" bestFit="1" customWidth="1"/>
    <col min="5" max="5" width="16.85546875" bestFit="1" customWidth="1"/>
    <col min="6" max="6" width="16" bestFit="1" customWidth="1"/>
    <col min="7" max="7" width="21.7109375" bestFit="1" customWidth="1"/>
    <col min="8" max="8" width="18.5703125" bestFit="1" customWidth="1"/>
    <col min="9" max="9" width="25.5703125" bestFit="1" customWidth="1"/>
    <col min="10" max="10" width="19.7109375" bestFit="1" customWidth="1"/>
    <col min="11" max="11" width="12.5703125" bestFit="1" customWidth="1"/>
    <col min="12" max="12" width="9.140625" bestFit="1" customWidth="1"/>
    <col min="13" max="13" width="7.42578125" customWidth="1"/>
    <col min="14" max="15" width="6.5703125" bestFit="1" customWidth="1"/>
    <col min="16" max="16" width="8.42578125" bestFit="1" customWidth="1"/>
    <col min="17" max="17" width="13.28515625" bestFit="1" customWidth="1"/>
    <col min="18" max="18" width="11.42578125" bestFit="1" customWidth="1"/>
    <col min="20" max="20" width="7.42578125" bestFit="1" customWidth="1"/>
    <col min="21" max="21" width="6.5703125" bestFit="1" customWidth="1"/>
  </cols>
  <sheetData>
    <row r="1" spans="1:14" x14ac:dyDescent="0.25">
      <c r="A1" t="s">
        <v>17</v>
      </c>
      <c r="B1" t="s">
        <v>18</v>
      </c>
      <c r="C1" t="s">
        <v>3</v>
      </c>
      <c r="D1" t="s">
        <v>43</v>
      </c>
      <c r="E1" t="s">
        <v>42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4</v>
      </c>
      <c r="M1" t="s">
        <v>9</v>
      </c>
      <c r="N1" t="s">
        <v>10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6.5703125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21</v>
      </c>
      <c r="C1" t="s">
        <v>22</v>
      </c>
      <c r="D1" t="s">
        <v>26</v>
      </c>
      <c r="E1" t="s">
        <v>23</v>
      </c>
    </row>
  </sheetData>
  <conditionalFormatting sqref="C2:D2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1"/>
  <sheetViews>
    <sheetView workbookViewId="0">
      <selection activeCell="D2" sqref="D2"/>
    </sheetView>
  </sheetViews>
  <sheetFormatPr defaultRowHeight="15" x14ac:dyDescent="0.25"/>
  <cols>
    <col min="1" max="1" width="11.42578125" bestFit="1" customWidth="1"/>
    <col min="3" max="3" width="11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26</v>
      </c>
      <c r="D1" t="s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7.42578125" bestFit="1" customWidth="1"/>
    <col min="7" max="7" width="8.5703125" bestFit="1" customWidth="1"/>
    <col min="8" max="8" width="5.140625" bestFit="1" customWidth="1"/>
    <col min="9" max="9" width="16.85546875" bestFit="1" customWidth="1"/>
  </cols>
  <sheetData>
    <row r="1" spans="1:9" x14ac:dyDescent="0.25">
      <c r="A1" t="s">
        <v>18</v>
      </c>
      <c r="B1" t="s">
        <v>39</v>
      </c>
      <c r="C1" t="s">
        <v>10</v>
      </c>
      <c r="D1" t="s">
        <v>9</v>
      </c>
      <c r="E1" t="s">
        <v>40</v>
      </c>
      <c r="F1" t="s">
        <v>19</v>
      </c>
      <c r="G1" t="s">
        <v>17</v>
      </c>
      <c r="H1" t="s">
        <v>41</v>
      </c>
      <c r="I1" t="s">
        <v>42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2"/>
  <sheetViews>
    <sheetView workbookViewId="0">
      <selection activeCell="AB8" sqref="AB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4.5703125" bestFit="1" customWidth="1"/>
    <col min="5" max="5" width="7.42578125" bestFit="1" customWidth="1"/>
    <col min="6" max="6" width="9.140625" bestFit="1" customWidth="1"/>
  </cols>
  <sheetData>
    <row r="1" spans="1:6" x14ac:dyDescent="0.25">
      <c r="A1" t="s">
        <v>9</v>
      </c>
      <c r="B1" t="s">
        <v>18</v>
      </c>
      <c r="C1" t="s">
        <v>20</v>
      </c>
      <c r="D1" t="s">
        <v>0</v>
      </c>
      <c r="E1" t="s">
        <v>19</v>
      </c>
      <c r="F1" t="s">
        <v>4</v>
      </c>
    </row>
    <row r="2" spans="1:6" x14ac:dyDescent="0.25">
      <c r="E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UnitL1Path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2026-09-19T00:33:53Z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