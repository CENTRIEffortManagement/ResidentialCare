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B5B4394D-BA14-4E49-A75D-B6EDC5EE941F}" xr6:coauthVersionLast="47" xr6:coauthVersionMax="47" xr10:uidLastSave="{00000000-0000-0000-0000-000000000000}"/>
  <bookViews>
    <workbookView xWindow="-19320" yWindow="-120" windowWidth="19440" windowHeight="21120" firstSheet="2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  <c r="F31" i="24"/>
  <c r="F32" i="24"/>
  <c r="F33" i="24"/>
  <c r="F34" i="24"/>
  <c r="F35" i="24"/>
  <c r="F36" i="24"/>
  <c r="F37" i="24"/>
  <c r="F38" i="24"/>
  <c r="F39" i="24"/>
  <c r="E31" i="24"/>
  <c r="D36" i="24"/>
  <c r="D35" i="24"/>
  <c r="D34" i="24"/>
  <c r="D39" i="24"/>
  <c r="D38" i="24"/>
  <c r="D37" i="24"/>
  <c r="D33" i="24"/>
  <c r="D32" i="24"/>
  <c r="D31" i="24"/>
  <c r="B9" i="24" a="1"/>
  <c r="B9" i="24" s="1"/>
  <c r="H10" i="24" s="1" a="1"/>
  <c r="H10" i="24" s="1"/>
  <c r="F12" i="24"/>
  <c r="E12" i="24"/>
  <c r="A16" i="24"/>
  <c r="C16" i="24"/>
  <c r="B16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9CDC57-734B-4122-B578-F155AD172BC8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2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3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4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5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6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7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<sst xmlns="http://schemas.openxmlformats.org/spreadsheetml/2006/main" count="589" uniqueCount="61">
  <si>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</si>
  <si>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</si>
  <si>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</si>
  <si>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</si>
  <si>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</si>
  <si>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</si>
  <si>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</si>
  <si>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</si>
  <si>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</si>
  <si>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</si>
  <si>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</si>
  <si>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</si>
  <si>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</si>
  <si>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</si>
  <si>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</si>
  <si>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</si>
  <si>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</si>
  <si>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</si>
  <si>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</si>
  <si>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</si>
  <si>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</si>
  <si>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</si>
  <si>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</si>
  <si>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</si>
  <si>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</si>
  <si>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</si>
  <si>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</si>
  <si>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</si>
  <si>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</si>
  <si>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</si>
  <si>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</si>
  <si>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</si>
  <si>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</si>
  <si>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</si>
  <si>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</si>
  <si>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</si>
  <si>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</si>
  <si>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</si>
  <si>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</si>
  <si>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</si>
  <si>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</si>
  <si>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</si>
  <si>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</si>
  <si>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</si>
  <si>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</si>
  <si>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</si>
  <si>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</si>
  <si>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</si>
  <si>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</si>
  <si>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</si>
  <si>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</si>
  <si>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</si>
  <si>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</si>
  <si>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</si>
  <si>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</si>
  <si>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</si>
  <si>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manual</t>
  </si>
  <si>
    <t>EndDay</t>
  </si>
  <si>
    <t>UserName</t>
  </si>
  <si>
    <t>SharedPath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</si>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</sst>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1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2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1" dataDxfId="20" headerRowCellStyle="Normal 2" dataCellStyle="Normal 2">
  <autoFilter ref="A3:B9" xr:uid="{3942B029-8AD6-4258-8A9E-295890BED24C}"/>
  <tableColumns count="2">
    <tableColumn id="1" xr3:uid="{2DE04549-896E-4F47-B365-5A91B7BDB485}" name="Variable Name" dataDxfId="19" dataCellStyle="Normal 2"/>
    <tableColumn id="2" xr3:uid="{A429CF90-C062-41E7-A0F7-F281768E3404}" name="Value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7" dataDxfId="16" headerRowCellStyle="Normal 2" dataCellStyle="Normal 2">
  <autoFilter ref="A8:A9" xr:uid="{C46CCA12-29A8-4EB5-8EF0-2C161E289E0E}"/>
  <tableColumns count="1">
    <tableColumn id="1" xr3:uid="{D66410A0-6CC0-4893-B92D-48467CF19D95}" name="MaxAvailability" dataDxfId="15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4" dataDxfId="13">
  <autoFilter ref="A15:C17" xr:uid="{EB59BF31-1A4C-4ECA-B442-81505616F0F3}"/>
  <tableColumns count="3">
    <tableColumn id="1" xr3:uid="{7C69E55F-FC15-4339-B5C7-8689457507E2}" name="StartAM" dataDxfId="12"/>
    <tableColumn id="2" xr3:uid="{429F4842-B47A-449D-8C6A-04C59ACF5E9C}" name="StartPM" dataDxfId="11"/>
    <tableColumn id="3" xr3:uid="{499700F0-691E-4621-837D-D3A78FF02851}" name="StartNIGHT" dataDxfId="10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F39" totalsRowShown="0">
  <autoFilter ref="A30:F39" xr:uid="{8926A2A6-4201-4A9D-B0DD-2F8399125403}"/>
  <tableColumns count="6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9">
      <calculatedColumnFormula>C32-C31</calculatedColumnFormula>
    </tableColumn>
    <tableColumn id="6" xr3:uid="{153CBB78-618D-4D4B-B6FE-F75F614FBB4D}" name="EndDay" dataDxfId="8">
      <calculatedColumnFormula>ShiftPeriod[[#This Row],[StartDay]]+ShiftPeriod[[#This Row],[DurationOfShifts]]/24 -IF(ShiftPeriod[[#This Row],[ShiftPeriod]]="NIGHT",1,0)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48:C49" totalsRowShown="0">
  <autoFilter ref="A48:C49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59</v>
      </c>
      <c r="B1" s="11" t="str" cm="1">
        <f t="array" aca="1" ref="B1" ca="1">CELL("filename")</f>
        <v>C:\Users\Alex\CentriNOTSYNC\ResidentialCare\CLIENT\DATExx-Whiddon\UNITS\Unit1\2. Calculations\[Settings Data.xlsx]Metadata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58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60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I36" sqref="I36:I37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3"/>
  <sheetViews>
    <sheetView workbookViewId="0">
      <selection activeCell="I40" sqref="I40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16.164062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s="10" t="s">
        <v>53</v>
      </c>
      <c r="F30" t="s">
        <v>57</v>
      </c>
    </row>
    <row r="31" spans="1:7" x14ac:dyDescent="0.2">
      <c r="A31" t="s">
        <v>50</v>
      </c>
      <c r="B31" t="s">
        <v>0</v>
      </c>
      <c r="C31">
        <v>7</v>
      </c>
      <c r="D31">
        <f>ShiftPeriod[[#This Row],[StartTime]]/24</f>
        <v>0.29166666666666669</v>
      </c>
      <c r="E31" s="10">
        <f>C32-ShiftPeriod[[#This Row],[StartTime]]</f>
        <v>7</v>
      </c>
      <c r="F31">
        <f>ShiftPeriod[[#This Row],[StartDay]]+ShiftPeriod[[#This Row],[DurationOfShifts]]/24 -IF(ShiftPeriod[[#This Row],[ShiftPeriod]]="NIGHT",1,0)</f>
        <v>0.58333333333333337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v>7.25</v>
      </c>
      <c r="F32">
        <f>ShiftPeriod[[#This Row],[StartDay]]+ShiftPeriod[[#This Row],[DurationOfShifts]]/24 -IF(ShiftPeriod[[#This Row],[ShiftPeriod]]="NIGHT",1,0)</f>
        <v>0.88541666666666674</v>
      </c>
      <c r="G32" s="5" t="s">
        <v>56</v>
      </c>
    </row>
    <row r="33" spans="1:6" x14ac:dyDescent="0.2">
      <c r="A33" t="s">
        <v>50</v>
      </c>
      <c r="B33" t="s">
        <v>3</v>
      </c>
      <c r="C33">
        <v>21.25</v>
      </c>
      <c r="D33">
        <f>ShiftPeriod[[#This Row],[StartTime]]/24</f>
        <v>0.88541666666666663</v>
      </c>
      <c r="E33" s="10">
        <v>9.75</v>
      </c>
      <c r="F33">
        <f>ShiftPeriod[[#This Row],[StartDay]]+ShiftPeriod[[#This Row],[DurationOfShifts]]/24 -IF(ShiftPeriod[[#This Row],[ShiftPeriod]]="NIGHT",1,0)</f>
        <v>0.29166666666666652</v>
      </c>
    </row>
    <row r="34" spans="1:6" x14ac:dyDescent="0.2">
      <c r="A34" t="s">
        <v>52</v>
      </c>
      <c r="B34" t="s">
        <v>0</v>
      </c>
      <c r="C34">
        <v>7</v>
      </c>
      <c r="D34">
        <f>ShiftPeriod[[#This Row],[StartTime]]/24</f>
        <v>0.29166666666666669</v>
      </c>
      <c r="E34" s="10">
        <v>8.25</v>
      </c>
      <c r="F34">
        <f>ShiftPeriod[[#This Row],[StartDay]]+ShiftPeriod[[#This Row],[DurationOfShifts]]/24 -IF(ShiftPeriod[[#This Row],[ShiftPeriod]]="NIGHT",1,0)</f>
        <v>0.63541666666666674</v>
      </c>
    </row>
    <row r="35" spans="1:6" x14ac:dyDescent="0.2">
      <c r="A35" t="s">
        <v>52</v>
      </c>
      <c r="B35" t="s">
        <v>1</v>
      </c>
      <c r="C35">
        <v>15.25</v>
      </c>
      <c r="D35">
        <f>ShiftPeriod[[#This Row],[StartTime]]/24</f>
        <v>0.63541666666666663</v>
      </c>
      <c r="E35" s="10">
        <v>7.25</v>
      </c>
      <c r="F35">
        <f>ShiftPeriod[[#This Row],[StartDay]]+ShiftPeriod[[#This Row],[DurationOfShifts]]/24 -IF(ShiftPeriod[[#This Row],[ShiftPeriod]]="NIGHT",1,0)</f>
        <v>0.9375</v>
      </c>
    </row>
    <row r="36" spans="1:6" x14ac:dyDescent="0.2">
      <c r="A36" t="s">
        <v>52</v>
      </c>
      <c r="B36" t="s">
        <v>3</v>
      </c>
      <c r="C36">
        <v>22.5</v>
      </c>
      <c r="D36">
        <f>ShiftPeriod[[#This Row],[StartTime]]/24</f>
        <v>0.9375</v>
      </c>
      <c r="E36" s="10">
        <v>8.5</v>
      </c>
      <c r="F36">
        <f>ShiftPeriod[[#This Row],[StartDay]]+ShiftPeriod[[#This Row],[DurationOfShifts]]/24 -IF(ShiftPeriod[[#This Row],[ShiftPeriod]]="NIGHT",1,0)</f>
        <v>0.29166666666666674</v>
      </c>
    </row>
    <row r="37" spans="1:6" x14ac:dyDescent="0.2">
      <c r="A37" t="s">
        <v>51</v>
      </c>
      <c r="B37" t="s">
        <v>0</v>
      </c>
      <c r="C37">
        <v>7</v>
      </c>
      <c r="D37">
        <f>ShiftPeriod[[#This Row],[StartTime]]/24</f>
        <v>0.29166666666666669</v>
      </c>
      <c r="E37" s="10">
        <v>8.25</v>
      </c>
      <c r="F37">
        <f>ShiftPeriod[[#This Row],[StartDay]]+ShiftPeriod[[#This Row],[DurationOfShifts]]/24 -IF(ShiftPeriod[[#This Row],[ShiftPeriod]]="NIGHT",1,0)</f>
        <v>0.63541666666666674</v>
      </c>
    </row>
    <row r="38" spans="1:6" x14ac:dyDescent="0.2">
      <c r="A38" t="s">
        <v>51</v>
      </c>
      <c r="B38" t="s">
        <v>1</v>
      </c>
      <c r="C38">
        <v>15.25</v>
      </c>
      <c r="D38">
        <f>ShiftPeriod[[#This Row],[StartTime]]/24</f>
        <v>0.63541666666666663</v>
      </c>
      <c r="E38" s="10">
        <v>7.25</v>
      </c>
      <c r="F38">
        <f>ShiftPeriod[[#This Row],[StartDay]]+ShiftPeriod[[#This Row],[DurationOfShifts]]/24 -IF(ShiftPeriod[[#This Row],[ShiftPeriod]]="NIGHT",1,0)</f>
        <v>0.9375</v>
      </c>
    </row>
    <row r="39" spans="1:6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10">
        <v>8.5</v>
      </c>
      <c r="F39">
        <f>ShiftPeriod[[#This Row],[StartDay]]+ShiftPeriod[[#This Row],[DurationOfShifts]]/24 -IF(ShiftPeriod[[#This Row],[ShiftPeriod]]="NIGHT",1,0)</f>
        <v>0.29166666666666674</v>
      </c>
    </row>
    <row r="47" spans="1:6" x14ac:dyDescent="0.2">
      <c r="A47" t="s">
        <v>28</v>
      </c>
    </row>
    <row r="48" spans="1:6" x14ac:dyDescent="0.2">
      <c r="A48" t="s">
        <v>29</v>
      </c>
      <c r="B48" t="s">
        <v>33</v>
      </c>
      <c r="C48" t="s">
        <v>34</v>
      </c>
    </row>
    <row r="49" spans="1:3" x14ac:dyDescent="0.2">
      <c r="A49">
        <v>38</v>
      </c>
      <c r="B49">
        <v>76</v>
      </c>
      <c r="C49">
        <v>152</v>
      </c>
    </row>
    <row r="51" spans="1:3" x14ac:dyDescent="0.2">
      <c r="A51" t="s">
        <v>32</v>
      </c>
    </row>
    <row r="52" spans="1:3" x14ac:dyDescent="0.2">
      <c r="A52" t="s">
        <v>30</v>
      </c>
      <c r="B52">
        <v>4</v>
      </c>
    </row>
    <row r="53" spans="1:3" x14ac:dyDescent="0.2">
      <c r="A53" t="s">
        <v>31</v>
      </c>
      <c r="B53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G29" sqref="G29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51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51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51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51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51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51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51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51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51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51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51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51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51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51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51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51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51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51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51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51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51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51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51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51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51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51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51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51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51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51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51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51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51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51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51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51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51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51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51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51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51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51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51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51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51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51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51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51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51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51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51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51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51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51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51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51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51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51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51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51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51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51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51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51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51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51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51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51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51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51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51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51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51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51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51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51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51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51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51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51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51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51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51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51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3" sqref="E23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7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2026-08-27T07:35:19Z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