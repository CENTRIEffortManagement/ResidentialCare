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EC354AD5-E528-444F-962F-CC69D5445E4E}" xr6:coauthVersionLast="47" xr6:coauthVersionMax="47" xr10:uidLastSave="{00000000-0000-0000-0000-000000000000}"/>
  <bookViews>
    <workbookView xWindow="3840" yWindow="1725" windowWidth="30465" windowHeight="17415" activeTab="3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DimensionPermutations!$A$1:$E$169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  <c r="B1" i="34" s="1"/>
  <c r="F31" i="24"/>
  <c r="F32" i="24"/>
  <c r="F33" i="24"/>
  <c r="F34" i="24"/>
  <c r="F35" i="24"/>
  <c r="F36" i="24"/>
  <c r="F37" i="24"/>
  <c r="F38" i="24"/>
  <c r="F39" i="24"/>
  <c r="E31" i="24"/>
  <c r="D36" i="24"/>
  <c r="D35" i="24"/>
  <c r="D34" i="24"/>
  <c r="D39" i="24"/>
  <c r="D38" i="24"/>
  <c r="D37" i="24"/>
  <c r="D33" i="24"/>
  <c r="D32" i="24"/>
  <c r="D31" i="24"/>
  <c r="B9" i="24" a="1"/>
  <c r="B9" i="24" s="1"/>
  <c r="H10" i="24" s="1" a="1"/>
  <c r="H10" i="24" s="1"/>
  <c r="F12" i="24"/>
  <c r="E12" i="24"/>
  <c r="A16" i="24"/>
  <c r="C16" i="24"/>
  <c r="B16" i="2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69CDC57-734B-4122-B578-F155AD172BC8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2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3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4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5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6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7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<sst xmlns="http://schemas.openxmlformats.org/spreadsheetml/2006/main" count="421" uniqueCount="61">
  <si>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</si>
  <si>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</si>
  <si>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</si>
  <si>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</si>
  <si>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</si>
  <si>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</si>
  <si>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</si>
  <si>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</si>
  <si>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</si>
  <si>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</si>
  <si>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</si>
  <si>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</si>
  <si>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</si>
  <si>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</si>
  <si>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</si>
  <si>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</si>
  <si>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</si>
  <si>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</si>
  <si>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</si>
  <si>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</si>
  <si>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</si>
  <si>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</si>
  <si>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</si>
  <si>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</si>
  <si>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</si>
  <si>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</si>
  <si>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</si>
  <si>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</si>
  <si>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</si>
  <si>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</si>
  <si>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</si>
  <si>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</si>
  <si>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</si>
  <si>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</si>
  <si>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</si>
  <si>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</si>
  <si>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</si>
  <si>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</si>
  <si>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</si>
  <si>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</si>
  <si>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</si>
  <si>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</si>
  <si>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</si>
  <si>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</si>
  <si>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</si>
  <si>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</si>
  <si>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</si>
  <si>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</si>
  <si>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</si>
  <si>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</si>
  <si>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</si>
  <si>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</si>
  <si>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</si>
  <si>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</si>
  <si>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</si>
  <si>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</si>
  <si>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manual</t>
  </si>
  <si>
    <t>EndDay</t>
  </si>
  <si>
    <t>UserName</t>
  </si>
  <si>
    <t>SharedPath</t>
  </si>
  <si>
    <t>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</si>
</sst>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2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>
      <alignment vertical="center" wrapText="1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2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21" dataDxfId="20" headerRowCellStyle="Normal 2" dataCellStyle="Normal 2">
  <autoFilter ref="A3:B9" xr:uid="{3942B029-8AD6-4258-8A9E-295890BED24C}"/>
  <tableColumns count="2">
    <tableColumn id="1" xr3:uid="{2DE04549-896E-4F47-B365-5A91B7BDB485}" name="Variable Name" dataDxfId="19" dataCellStyle="Normal 2"/>
    <tableColumn id="2" xr3:uid="{A429CF90-C062-41E7-A0F7-F281768E3404}" name="Value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17" dataDxfId="16" headerRowCellStyle="Normal 2" dataCellStyle="Normal 2">
  <autoFilter ref="A8:A9" xr:uid="{C46CCA12-29A8-4EB5-8EF0-2C161E289E0E}"/>
  <tableColumns count="1">
    <tableColumn id="1" xr3:uid="{D66410A0-6CC0-4893-B92D-48467CF19D95}" name="MaxAvailability" dataDxfId="15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14" dataDxfId="13">
  <autoFilter ref="A15:C17" xr:uid="{EB59BF31-1A4C-4ECA-B442-81505616F0F3}"/>
  <tableColumns count="3">
    <tableColumn id="1" xr3:uid="{7C69E55F-FC15-4339-B5C7-8689457507E2}" name="StartAM" dataDxfId="12"/>
    <tableColumn id="2" xr3:uid="{429F4842-B47A-449D-8C6A-04C59ACF5E9C}" name="StartPM" dataDxfId="11"/>
    <tableColumn id="3" xr3:uid="{499700F0-691E-4621-837D-D3A78FF02851}" name="StartNIGHT" dataDxfId="10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F39" totalsRowShown="0">
  <autoFilter ref="A30:F39" xr:uid="{8926A2A6-4201-4A9D-B0DD-2F8399125403}"/>
  <tableColumns count="6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9">
      <calculatedColumnFormula>C32-C31</calculatedColumnFormula>
    </tableColumn>
    <tableColumn id="6" xr3:uid="{153CBB78-618D-4D4B-B6FE-F75F614FBB4D}" name="EndDay" dataDxfId="8">
      <calculatedColumnFormula>ShiftPeriod[[#This Row],[StartDay]]+ShiftPeriod[[#This Row],[DurationOfShifts]]/24 -IF(ShiftPeriod[[#This Row],[ShiftPeriod]]="NIGHT",1,0)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48:C49" totalsRowShown="0">
  <autoFilter ref="A48:C49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7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169" tableType="queryTable" totalsRowShown="0">
  <autoFilter ref="A1:E169" xr:uid="{1860CF9E-AA76-4AB9-96FC-F5EB152F67D9}"/>
  <tableColumns count="5">
    <tableColumn id="1" xr3:uid="{7D1152F6-5F35-4B2D-9EF6-A42FE209D583}" uniqueName="1" name="Date" queryTableFieldId="4" dataDxfId="2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3" totalsRowShown="0" dataDxfId="6">
  <autoFilter ref="E1:E3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0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59</v>
      </c>
      <c r="B1" s="11" t="str" cm="1">
        <f t="array" aca="1" ref="B1" ca="1">CELL("filename")</f>
        <v>C:\Users\Alex\CentriNOTSYNC\ResidentialCare\CLIENT\DATExx-Whiddon\UNITS\Unit1\2. Calculations\[Settings Data.xlsx]Metadata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58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60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I36" sqref="I36:I37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3"/>
  <sheetViews>
    <sheetView workbookViewId="0">
      <selection activeCell="H21" sqref="H21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16.164062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s="10" t="s">
        <v>53</v>
      </c>
      <c r="F30" t="s">
        <v>57</v>
      </c>
    </row>
    <row r="31" spans="1:7" x14ac:dyDescent="0.2">
      <c r="A31" t="s">
        <v>50</v>
      </c>
      <c r="B31" t="s">
        <v>0</v>
      </c>
      <c r="C31">
        <v>7</v>
      </c>
      <c r="D31">
        <f>ShiftPeriod[[#This Row],[StartTime]]/24</f>
        <v>0.29166666666666669</v>
      </c>
      <c r="E31" s="10">
        <f>C32-ShiftPeriod[[#This Row],[StartTime]]</f>
        <v>7</v>
      </c>
      <c r="F31">
        <f>ShiftPeriod[[#This Row],[StartDay]]+ShiftPeriod[[#This Row],[DurationOfShifts]]/24 -IF(ShiftPeriod[[#This Row],[ShiftPeriod]]="NIGHT",1,0)</f>
        <v>0.58333333333333337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v>7.25</v>
      </c>
      <c r="F32">
        <f>ShiftPeriod[[#This Row],[StartDay]]+ShiftPeriod[[#This Row],[DurationOfShifts]]/24 -IF(ShiftPeriod[[#This Row],[ShiftPeriod]]="NIGHT",1,0)</f>
        <v>0.88541666666666674</v>
      </c>
      <c r="G32" s="5" t="s">
        <v>56</v>
      </c>
    </row>
    <row r="33" spans="1:6" x14ac:dyDescent="0.2">
      <c r="A33" t="s">
        <v>50</v>
      </c>
      <c r="B33" t="s">
        <v>3</v>
      </c>
      <c r="C33">
        <v>21.25</v>
      </c>
      <c r="D33">
        <f>ShiftPeriod[[#This Row],[StartTime]]/24</f>
        <v>0.88541666666666663</v>
      </c>
      <c r="E33" s="10">
        <v>9.75</v>
      </c>
      <c r="F33">
        <f>ShiftPeriod[[#This Row],[StartDay]]+ShiftPeriod[[#This Row],[DurationOfShifts]]/24 -IF(ShiftPeriod[[#This Row],[ShiftPeriod]]="NIGHT",1,0)</f>
        <v>0.29166666666666652</v>
      </c>
    </row>
    <row r="34" spans="1:6" x14ac:dyDescent="0.2">
      <c r="A34" t="s">
        <v>52</v>
      </c>
      <c r="B34" t="s">
        <v>0</v>
      </c>
      <c r="C34">
        <v>7</v>
      </c>
      <c r="D34">
        <f>ShiftPeriod[[#This Row],[StartTime]]/24</f>
        <v>0.29166666666666669</v>
      </c>
      <c r="E34" s="10">
        <v>8.25</v>
      </c>
      <c r="F34">
        <f>ShiftPeriod[[#This Row],[StartDay]]+ShiftPeriod[[#This Row],[DurationOfShifts]]/24 -IF(ShiftPeriod[[#This Row],[ShiftPeriod]]="NIGHT",1,0)</f>
        <v>0.63541666666666674</v>
      </c>
    </row>
    <row r="35" spans="1:6" x14ac:dyDescent="0.2">
      <c r="A35" t="s">
        <v>52</v>
      </c>
      <c r="B35" t="s">
        <v>1</v>
      </c>
      <c r="C35">
        <v>15.25</v>
      </c>
      <c r="D35">
        <f>ShiftPeriod[[#This Row],[StartTime]]/24</f>
        <v>0.63541666666666663</v>
      </c>
      <c r="E35" s="10">
        <v>7.25</v>
      </c>
      <c r="F35">
        <f>ShiftPeriod[[#This Row],[StartDay]]+ShiftPeriod[[#This Row],[DurationOfShifts]]/24 -IF(ShiftPeriod[[#This Row],[ShiftPeriod]]="NIGHT",1,0)</f>
        <v>0.9375</v>
      </c>
    </row>
    <row r="36" spans="1:6" x14ac:dyDescent="0.2">
      <c r="A36" t="s">
        <v>52</v>
      </c>
      <c r="B36" t="s">
        <v>3</v>
      </c>
      <c r="C36">
        <v>22.5</v>
      </c>
      <c r="D36">
        <f>ShiftPeriod[[#This Row],[StartTime]]/24</f>
        <v>0.9375</v>
      </c>
      <c r="E36" s="10">
        <v>8.5</v>
      </c>
      <c r="F36">
        <f>ShiftPeriod[[#This Row],[StartDay]]+ShiftPeriod[[#This Row],[DurationOfShifts]]/24 -IF(ShiftPeriod[[#This Row],[ShiftPeriod]]="NIGHT",1,0)</f>
        <v>0.29166666666666674</v>
      </c>
    </row>
    <row r="37" spans="1:6" x14ac:dyDescent="0.2">
      <c r="A37" t="s">
        <v>51</v>
      </c>
      <c r="B37" t="s">
        <v>0</v>
      </c>
      <c r="C37">
        <v>7</v>
      </c>
      <c r="D37">
        <f>ShiftPeriod[[#This Row],[StartTime]]/24</f>
        <v>0.29166666666666669</v>
      </c>
      <c r="E37" s="10">
        <v>8.25</v>
      </c>
      <c r="F37">
        <f>ShiftPeriod[[#This Row],[StartDay]]+ShiftPeriod[[#This Row],[DurationOfShifts]]/24 -IF(ShiftPeriod[[#This Row],[ShiftPeriod]]="NIGHT",1,0)</f>
        <v>0.63541666666666674</v>
      </c>
    </row>
    <row r="38" spans="1:6" x14ac:dyDescent="0.2">
      <c r="A38" t="s">
        <v>51</v>
      </c>
      <c r="B38" t="s">
        <v>1</v>
      </c>
      <c r="C38">
        <v>15.25</v>
      </c>
      <c r="D38">
        <f>ShiftPeriod[[#This Row],[StartTime]]/24</f>
        <v>0.63541666666666663</v>
      </c>
      <c r="E38" s="10">
        <v>7.25</v>
      </c>
      <c r="F38">
        <f>ShiftPeriod[[#This Row],[StartDay]]+ShiftPeriod[[#This Row],[DurationOfShifts]]/24 -IF(ShiftPeriod[[#This Row],[ShiftPeriod]]="NIGHT",1,0)</f>
        <v>0.9375</v>
      </c>
    </row>
    <row r="39" spans="1:6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10">
        <v>8.5</v>
      </c>
      <c r="F39">
        <f>ShiftPeriod[[#This Row],[StartDay]]+ShiftPeriod[[#This Row],[DurationOfShifts]]/24 -IF(ShiftPeriod[[#This Row],[ShiftPeriod]]="NIGHT",1,0)</f>
        <v>0.29166666666666674</v>
      </c>
    </row>
    <row r="47" spans="1:6" x14ac:dyDescent="0.2">
      <c r="A47" t="s">
        <v>28</v>
      </c>
    </row>
    <row r="48" spans="1:6" x14ac:dyDescent="0.2">
      <c r="A48" t="s">
        <v>29</v>
      </c>
      <c r="B48" t="s">
        <v>33</v>
      </c>
      <c r="C48" t="s">
        <v>34</v>
      </c>
    </row>
    <row r="49" spans="1:3" x14ac:dyDescent="0.2">
      <c r="A49">
        <v>38</v>
      </c>
      <c r="B49">
        <v>76</v>
      </c>
      <c r="C49">
        <v>152</v>
      </c>
    </row>
    <row r="51" spans="1:3" x14ac:dyDescent="0.2">
      <c r="A51" t="s">
        <v>32</v>
      </c>
    </row>
    <row r="52" spans="1:3" x14ac:dyDescent="0.2">
      <c r="A52" t="s">
        <v>30</v>
      </c>
      <c r="B52">
        <v>4</v>
      </c>
    </row>
    <row r="53" spans="1:3" x14ac:dyDescent="0.2">
      <c r="A53" t="s">
        <v>31</v>
      </c>
      <c r="B53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169"/>
  <sheetViews>
    <sheetView tabSelected="1" workbookViewId="0">
      <selection activeCell="G29" sqref="G29"/>
    </sheetView>
  </sheetViews>
  <sheetFormatPr defaultRowHeight="12.75" x14ac:dyDescent="0.2"/>
  <cols>
    <col min="1" max="1" width="9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46223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46223</v>
      </c>
      <c r="B3">
        <v>1</v>
      </c>
      <c r="C3" t="s">
        <v>0</v>
      </c>
      <c r="D3">
        <v>1</v>
      </c>
      <c r="E3" t="s">
        <v>50</v>
      </c>
    </row>
    <row r="4" spans="1:5" x14ac:dyDescent="0.2">
      <c r="A4" s="20">
        <v>46223</v>
      </c>
      <c r="B4">
        <v>1</v>
      </c>
      <c r="C4" t="s">
        <v>1</v>
      </c>
      <c r="D4">
        <v>2</v>
      </c>
      <c r="E4" t="s">
        <v>52</v>
      </c>
    </row>
    <row r="5" spans="1:5" x14ac:dyDescent="0.2">
      <c r="A5" s="20">
        <v>46223</v>
      </c>
      <c r="B5">
        <v>1</v>
      </c>
      <c r="C5" t="s">
        <v>1</v>
      </c>
      <c r="D5">
        <v>2</v>
      </c>
      <c r="E5" t="s">
        <v>50</v>
      </c>
    </row>
    <row r="6" spans="1:5" x14ac:dyDescent="0.2">
      <c r="A6" s="20">
        <v>46223</v>
      </c>
      <c r="B6">
        <v>1</v>
      </c>
      <c r="C6" t="s">
        <v>3</v>
      </c>
      <c r="D6">
        <v>3</v>
      </c>
      <c r="E6" t="s">
        <v>52</v>
      </c>
    </row>
    <row r="7" spans="1:5" x14ac:dyDescent="0.2">
      <c r="A7" s="20">
        <v>46223</v>
      </c>
      <c r="B7">
        <v>1</v>
      </c>
      <c r="C7" t="s">
        <v>3</v>
      </c>
      <c r="D7">
        <v>3</v>
      </c>
      <c r="E7" t="s">
        <v>50</v>
      </c>
    </row>
    <row r="8" spans="1:5" x14ac:dyDescent="0.2">
      <c r="A8" s="20">
        <v>46224</v>
      </c>
      <c r="B8">
        <v>2</v>
      </c>
      <c r="C8" t="s">
        <v>0</v>
      </c>
      <c r="D8">
        <v>4</v>
      </c>
      <c r="E8" t="s">
        <v>52</v>
      </c>
    </row>
    <row r="9" spans="1:5" x14ac:dyDescent="0.2">
      <c r="A9" s="20">
        <v>46224</v>
      </c>
      <c r="B9">
        <v>2</v>
      </c>
      <c r="C9" t="s">
        <v>0</v>
      </c>
      <c r="D9">
        <v>4</v>
      </c>
      <c r="E9" t="s">
        <v>50</v>
      </c>
    </row>
    <row r="10" spans="1:5" x14ac:dyDescent="0.2">
      <c r="A10" s="20">
        <v>46224</v>
      </c>
      <c r="B10">
        <v>2</v>
      </c>
      <c r="C10" t="s">
        <v>1</v>
      </c>
      <c r="D10">
        <v>5</v>
      </c>
      <c r="E10" t="s">
        <v>52</v>
      </c>
    </row>
    <row r="11" spans="1:5" x14ac:dyDescent="0.2">
      <c r="A11" s="20">
        <v>46224</v>
      </c>
      <c r="B11">
        <v>2</v>
      </c>
      <c r="C11" t="s">
        <v>1</v>
      </c>
      <c r="D11">
        <v>5</v>
      </c>
      <c r="E11" t="s">
        <v>50</v>
      </c>
    </row>
    <row r="12" spans="1:5" x14ac:dyDescent="0.2">
      <c r="A12" s="20">
        <v>46224</v>
      </c>
      <c r="B12">
        <v>2</v>
      </c>
      <c r="C12" t="s">
        <v>3</v>
      </c>
      <c r="D12">
        <v>6</v>
      </c>
      <c r="E12" t="s">
        <v>52</v>
      </c>
    </row>
    <row r="13" spans="1:5" x14ac:dyDescent="0.2">
      <c r="A13" s="20">
        <v>46224</v>
      </c>
      <c r="B13">
        <v>2</v>
      </c>
      <c r="C13" t="s">
        <v>3</v>
      </c>
      <c r="D13">
        <v>6</v>
      </c>
      <c r="E13" t="s">
        <v>50</v>
      </c>
    </row>
    <row r="14" spans="1:5" x14ac:dyDescent="0.2">
      <c r="A14" s="20">
        <v>46225</v>
      </c>
      <c r="B14">
        <v>3</v>
      </c>
      <c r="C14" t="s">
        <v>0</v>
      </c>
      <c r="D14">
        <v>7</v>
      </c>
      <c r="E14" t="s">
        <v>52</v>
      </c>
    </row>
    <row r="15" spans="1:5" x14ac:dyDescent="0.2">
      <c r="A15" s="20">
        <v>46225</v>
      </c>
      <c r="B15">
        <v>3</v>
      </c>
      <c r="C15" t="s">
        <v>0</v>
      </c>
      <c r="D15">
        <v>7</v>
      </c>
      <c r="E15" t="s">
        <v>50</v>
      </c>
    </row>
    <row r="16" spans="1:5" x14ac:dyDescent="0.2">
      <c r="A16" s="20">
        <v>46225</v>
      </c>
      <c r="B16">
        <v>3</v>
      </c>
      <c r="C16" t="s">
        <v>1</v>
      </c>
      <c r="D16">
        <v>8</v>
      </c>
      <c r="E16" t="s">
        <v>52</v>
      </c>
    </row>
    <row r="17" spans="1:5" x14ac:dyDescent="0.2">
      <c r="A17" s="20">
        <v>46225</v>
      </c>
      <c r="B17">
        <v>3</v>
      </c>
      <c r="C17" t="s">
        <v>1</v>
      </c>
      <c r="D17">
        <v>8</v>
      </c>
      <c r="E17" t="s">
        <v>50</v>
      </c>
    </row>
    <row r="18" spans="1:5" x14ac:dyDescent="0.2">
      <c r="A18" s="20">
        <v>46225</v>
      </c>
      <c r="B18">
        <v>3</v>
      </c>
      <c r="C18" t="s">
        <v>3</v>
      </c>
      <c r="D18">
        <v>9</v>
      </c>
      <c r="E18" t="s">
        <v>52</v>
      </c>
    </row>
    <row r="19" spans="1:5" x14ac:dyDescent="0.2">
      <c r="A19" s="20">
        <v>46225</v>
      </c>
      <c r="B19">
        <v>3</v>
      </c>
      <c r="C19" t="s">
        <v>3</v>
      </c>
      <c r="D19">
        <v>9</v>
      </c>
      <c r="E19" t="s">
        <v>50</v>
      </c>
    </row>
    <row r="20" spans="1:5" x14ac:dyDescent="0.2">
      <c r="A20" s="20">
        <v>46226</v>
      </c>
      <c r="B20">
        <v>4</v>
      </c>
      <c r="C20" t="s">
        <v>0</v>
      </c>
      <c r="D20">
        <v>10</v>
      </c>
      <c r="E20" t="s">
        <v>52</v>
      </c>
    </row>
    <row r="21" spans="1:5" x14ac:dyDescent="0.2">
      <c r="A21" s="20">
        <v>46226</v>
      </c>
      <c r="B21">
        <v>4</v>
      </c>
      <c r="C21" t="s">
        <v>0</v>
      </c>
      <c r="D21">
        <v>10</v>
      </c>
      <c r="E21" t="s">
        <v>50</v>
      </c>
    </row>
    <row r="22" spans="1:5" x14ac:dyDescent="0.2">
      <c r="A22" s="20">
        <v>46226</v>
      </c>
      <c r="B22">
        <v>4</v>
      </c>
      <c r="C22" t="s">
        <v>1</v>
      </c>
      <c r="D22">
        <v>11</v>
      </c>
      <c r="E22" t="s">
        <v>52</v>
      </c>
    </row>
    <row r="23" spans="1:5" x14ac:dyDescent="0.2">
      <c r="A23" s="20">
        <v>46226</v>
      </c>
      <c r="B23">
        <v>4</v>
      </c>
      <c r="C23" t="s">
        <v>1</v>
      </c>
      <c r="D23">
        <v>11</v>
      </c>
      <c r="E23" t="s">
        <v>50</v>
      </c>
    </row>
    <row r="24" spans="1:5" x14ac:dyDescent="0.2">
      <c r="A24" s="20">
        <v>46226</v>
      </c>
      <c r="B24">
        <v>4</v>
      </c>
      <c r="C24" t="s">
        <v>3</v>
      </c>
      <c r="D24">
        <v>12</v>
      </c>
      <c r="E24" t="s">
        <v>52</v>
      </c>
    </row>
    <row r="25" spans="1:5" x14ac:dyDescent="0.2">
      <c r="A25" s="20">
        <v>46226</v>
      </c>
      <c r="B25">
        <v>4</v>
      </c>
      <c r="C25" t="s">
        <v>3</v>
      </c>
      <c r="D25">
        <v>12</v>
      </c>
      <c r="E25" t="s">
        <v>50</v>
      </c>
    </row>
    <row r="26" spans="1:5" x14ac:dyDescent="0.2">
      <c r="A26" s="20">
        <v>46227</v>
      </c>
      <c r="B26">
        <v>5</v>
      </c>
      <c r="C26" t="s">
        <v>0</v>
      </c>
      <c r="D26">
        <v>13</v>
      </c>
      <c r="E26" t="s">
        <v>52</v>
      </c>
    </row>
    <row r="27" spans="1:5" x14ac:dyDescent="0.2">
      <c r="A27" s="20">
        <v>46227</v>
      </c>
      <c r="B27">
        <v>5</v>
      </c>
      <c r="C27" t="s">
        <v>0</v>
      </c>
      <c r="D27">
        <v>13</v>
      </c>
      <c r="E27" t="s">
        <v>50</v>
      </c>
    </row>
    <row r="28" spans="1:5" x14ac:dyDescent="0.2">
      <c r="A28" s="20">
        <v>46227</v>
      </c>
      <c r="B28">
        <v>5</v>
      </c>
      <c r="C28" t="s">
        <v>1</v>
      </c>
      <c r="D28">
        <v>14</v>
      </c>
      <c r="E28" t="s">
        <v>52</v>
      </c>
    </row>
    <row r="29" spans="1:5" x14ac:dyDescent="0.2">
      <c r="A29" s="20">
        <v>46227</v>
      </c>
      <c r="B29">
        <v>5</v>
      </c>
      <c r="C29" t="s">
        <v>1</v>
      </c>
      <c r="D29">
        <v>14</v>
      </c>
      <c r="E29" t="s">
        <v>50</v>
      </c>
    </row>
    <row r="30" spans="1:5" x14ac:dyDescent="0.2">
      <c r="A30" s="20">
        <v>46227</v>
      </c>
      <c r="B30">
        <v>5</v>
      </c>
      <c r="C30" t="s">
        <v>3</v>
      </c>
      <c r="D30">
        <v>15</v>
      </c>
      <c r="E30" t="s">
        <v>52</v>
      </c>
    </row>
    <row r="31" spans="1:5" x14ac:dyDescent="0.2">
      <c r="A31" s="20">
        <v>46227</v>
      </c>
      <c r="B31">
        <v>5</v>
      </c>
      <c r="C31" t="s">
        <v>3</v>
      </c>
      <c r="D31">
        <v>15</v>
      </c>
      <c r="E31" t="s">
        <v>50</v>
      </c>
    </row>
    <row r="32" spans="1:5" x14ac:dyDescent="0.2">
      <c r="A32" s="20">
        <v>46228</v>
      </c>
      <c r="B32">
        <v>6</v>
      </c>
      <c r="C32" t="s">
        <v>0</v>
      </c>
      <c r="D32">
        <v>16</v>
      </c>
      <c r="E32" t="s">
        <v>52</v>
      </c>
    </row>
    <row r="33" spans="1:5" x14ac:dyDescent="0.2">
      <c r="A33" s="20">
        <v>46228</v>
      </c>
      <c r="B33">
        <v>6</v>
      </c>
      <c r="C33" t="s">
        <v>0</v>
      </c>
      <c r="D33">
        <v>16</v>
      </c>
      <c r="E33" t="s">
        <v>50</v>
      </c>
    </row>
    <row r="34" spans="1:5" x14ac:dyDescent="0.2">
      <c r="A34" s="20">
        <v>46228</v>
      </c>
      <c r="B34">
        <v>6</v>
      </c>
      <c r="C34" t="s">
        <v>1</v>
      </c>
      <c r="D34">
        <v>17</v>
      </c>
      <c r="E34" t="s">
        <v>52</v>
      </c>
    </row>
    <row r="35" spans="1:5" x14ac:dyDescent="0.2">
      <c r="A35" s="20">
        <v>46228</v>
      </c>
      <c r="B35">
        <v>6</v>
      </c>
      <c r="C35" t="s">
        <v>1</v>
      </c>
      <c r="D35">
        <v>17</v>
      </c>
      <c r="E35" t="s">
        <v>50</v>
      </c>
    </row>
    <row r="36" spans="1:5" x14ac:dyDescent="0.2">
      <c r="A36" s="20">
        <v>46228</v>
      </c>
      <c r="B36">
        <v>6</v>
      </c>
      <c r="C36" t="s">
        <v>3</v>
      </c>
      <c r="D36">
        <v>18</v>
      </c>
      <c r="E36" t="s">
        <v>52</v>
      </c>
    </row>
    <row r="37" spans="1:5" x14ac:dyDescent="0.2">
      <c r="A37" s="20">
        <v>46228</v>
      </c>
      <c r="B37">
        <v>6</v>
      </c>
      <c r="C37" t="s">
        <v>3</v>
      </c>
      <c r="D37">
        <v>18</v>
      </c>
      <c r="E37" t="s">
        <v>50</v>
      </c>
    </row>
    <row r="38" spans="1:5" x14ac:dyDescent="0.2">
      <c r="A38" s="20">
        <v>46229</v>
      </c>
      <c r="B38">
        <v>7</v>
      </c>
      <c r="C38" t="s">
        <v>0</v>
      </c>
      <c r="D38">
        <v>19</v>
      </c>
      <c r="E38" t="s">
        <v>52</v>
      </c>
    </row>
    <row r="39" spans="1:5" x14ac:dyDescent="0.2">
      <c r="A39" s="20">
        <v>46229</v>
      </c>
      <c r="B39">
        <v>7</v>
      </c>
      <c r="C39" t="s">
        <v>0</v>
      </c>
      <c r="D39">
        <v>19</v>
      </c>
      <c r="E39" t="s">
        <v>50</v>
      </c>
    </row>
    <row r="40" spans="1:5" x14ac:dyDescent="0.2">
      <c r="A40" s="20">
        <v>46229</v>
      </c>
      <c r="B40">
        <v>7</v>
      </c>
      <c r="C40" t="s">
        <v>1</v>
      </c>
      <c r="D40">
        <v>20</v>
      </c>
      <c r="E40" t="s">
        <v>52</v>
      </c>
    </row>
    <row r="41" spans="1:5" x14ac:dyDescent="0.2">
      <c r="A41" s="20">
        <v>46229</v>
      </c>
      <c r="B41">
        <v>7</v>
      </c>
      <c r="C41" t="s">
        <v>1</v>
      </c>
      <c r="D41">
        <v>20</v>
      </c>
      <c r="E41" t="s">
        <v>50</v>
      </c>
    </row>
    <row r="42" spans="1:5" x14ac:dyDescent="0.2">
      <c r="A42" s="20">
        <v>46229</v>
      </c>
      <c r="B42">
        <v>7</v>
      </c>
      <c r="C42" t="s">
        <v>3</v>
      </c>
      <c r="D42">
        <v>21</v>
      </c>
      <c r="E42" t="s">
        <v>52</v>
      </c>
    </row>
    <row r="43" spans="1:5" x14ac:dyDescent="0.2">
      <c r="A43" s="20">
        <v>46229</v>
      </c>
      <c r="B43">
        <v>7</v>
      </c>
      <c r="C43" t="s">
        <v>3</v>
      </c>
      <c r="D43">
        <v>21</v>
      </c>
      <c r="E43" t="s">
        <v>50</v>
      </c>
    </row>
    <row r="44" spans="1:5" x14ac:dyDescent="0.2">
      <c r="A44" s="20">
        <v>46230</v>
      </c>
      <c r="B44">
        <v>8</v>
      </c>
      <c r="C44" t="s">
        <v>0</v>
      </c>
      <c r="D44">
        <v>22</v>
      </c>
      <c r="E44" t="s">
        <v>52</v>
      </c>
    </row>
    <row r="45" spans="1:5" x14ac:dyDescent="0.2">
      <c r="A45" s="20">
        <v>46230</v>
      </c>
      <c r="B45">
        <v>8</v>
      </c>
      <c r="C45" t="s">
        <v>0</v>
      </c>
      <c r="D45">
        <v>22</v>
      </c>
      <c r="E45" t="s">
        <v>50</v>
      </c>
    </row>
    <row r="46" spans="1:5" x14ac:dyDescent="0.2">
      <c r="A46" s="20">
        <v>46230</v>
      </c>
      <c r="B46">
        <v>8</v>
      </c>
      <c r="C46" t="s">
        <v>1</v>
      </c>
      <c r="D46">
        <v>23</v>
      </c>
      <c r="E46" t="s">
        <v>52</v>
      </c>
    </row>
    <row r="47" spans="1:5" x14ac:dyDescent="0.2">
      <c r="A47" s="20">
        <v>46230</v>
      </c>
      <c r="B47">
        <v>8</v>
      </c>
      <c r="C47" t="s">
        <v>1</v>
      </c>
      <c r="D47">
        <v>23</v>
      </c>
      <c r="E47" t="s">
        <v>50</v>
      </c>
    </row>
    <row r="48" spans="1:5" x14ac:dyDescent="0.2">
      <c r="A48" s="20">
        <v>46230</v>
      </c>
      <c r="B48">
        <v>8</v>
      </c>
      <c r="C48" t="s">
        <v>3</v>
      </c>
      <c r="D48">
        <v>24</v>
      </c>
      <c r="E48" t="s">
        <v>52</v>
      </c>
    </row>
    <row r="49" spans="1:5" x14ac:dyDescent="0.2">
      <c r="A49" s="20">
        <v>46230</v>
      </c>
      <c r="B49">
        <v>8</v>
      </c>
      <c r="C49" t="s">
        <v>3</v>
      </c>
      <c r="D49">
        <v>24</v>
      </c>
      <c r="E49" t="s">
        <v>50</v>
      </c>
    </row>
    <row r="50" spans="1:5" x14ac:dyDescent="0.2">
      <c r="A50" s="20">
        <v>46231</v>
      </c>
      <c r="B50">
        <v>9</v>
      </c>
      <c r="C50" t="s">
        <v>0</v>
      </c>
      <c r="D50">
        <v>25</v>
      </c>
      <c r="E50" t="s">
        <v>52</v>
      </c>
    </row>
    <row r="51" spans="1:5" x14ac:dyDescent="0.2">
      <c r="A51" s="20">
        <v>46231</v>
      </c>
      <c r="B51">
        <v>9</v>
      </c>
      <c r="C51" t="s">
        <v>0</v>
      </c>
      <c r="D51">
        <v>25</v>
      </c>
      <c r="E51" t="s">
        <v>50</v>
      </c>
    </row>
    <row r="52" spans="1:5" x14ac:dyDescent="0.2">
      <c r="A52" s="20">
        <v>46231</v>
      </c>
      <c r="B52">
        <v>9</v>
      </c>
      <c r="C52" t="s">
        <v>1</v>
      </c>
      <c r="D52">
        <v>26</v>
      </c>
      <c r="E52" t="s">
        <v>52</v>
      </c>
    </row>
    <row r="53" spans="1:5" x14ac:dyDescent="0.2">
      <c r="A53" s="20">
        <v>46231</v>
      </c>
      <c r="B53">
        <v>9</v>
      </c>
      <c r="C53" t="s">
        <v>1</v>
      </c>
      <c r="D53">
        <v>26</v>
      </c>
      <c r="E53" t="s">
        <v>50</v>
      </c>
    </row>
    <row r="54" spans="1:5" x14ac:dyDescent="0.2">
      <c r="A54" s="20">
        <v>46231</v>
      </c>
      <c r="B54">
        <v>9</v>
      </c>
      <c r="C54" t="s">
        <v>3</v>
      </c>
      <c r="D54">
        <v>27</v>
      </c>
      <c r="E54" t="s">
        <v>52</v>
      </c>
    </row>
    <row r="55" spans="1:5" x14ac:dyDescent="0.2">
      <c r="A55" s="20">
        <v>46231</v>
      </c>
      <c r="B55">
        <v>9</v>
      </c>
      <c r="C55" t="s">
        <v>3</v>
      </c>
      <c r="D55">
        <v>27</v>
      </c>
      <c r="E55" t="s">
        <v>50</v>
      </c>
    </row>
    <row r="56" spans="1:5" x14ac:dyDescent="0.2">
      <c r="A56" s="20">
        <v>46232</v>
      </c>
      <c r="B56">
        <v>10</v>
      </c>
      <c r="C56" t="s">
        <v>0</v>
      </c>
      <c r="D56">
        <v>28</v>
      </c>
      <c r="E56" t="s">
        <v>52</v>
      </c>
    </row>
    <row r="57" spans="1:5" x14ac:dyDescent="0.2">
      <c r="A57" s="20">
        <v>46232</v>
      </c>
      <c r="B57">
        <v>10</v>
      </c>
      <c r="C57" t="s">
        <v>0</v>
      </c>
      <c r="D57">
        <v>28</v>
      </c>
      <c r="E57" t="s">
        <v>50</v>
      </c>
    </row>
    <row r="58" spans="1:5" x14ac:dyDescent="0.2">
      <c r="A58" s="20">
        <v>46232</v>
      </c>
      <c r="B58">
        <v>10</v>
      </c>
      <c r="C58" t="s">
        <v>1</v>
      </c>
      <c r="D58">
        <v>29</v>
      </c>
      <c r="E58" t="s">
        <v>52</v>
      </c>
    </row>
    <row r="59" spans="1:5" x14ac:dyDescent="0.2">
      <c r="A59" s="20">
        <v>46232</v>
      </c>
      <c r="B59">
        <v>10</v>
      </c>
      <c r="C59" t="s">
        <v>1</v>
      </c>
      <c r="D59">
        <v>29</v>
      </c>
      <c r="E59" t="s">
        <v>50</v>
      </c>
    </row>
    <row r="60" spans="1:5" x14ac:dyDescent="0.2">
      <c r="A60" s="20">
        <v>46232</v>
      </c>
      <c r="B60">
        <v>10</v>
      </c>
      <c r="C60" t="s">
        <v>3</v>
      </c>
      <c r="D60">
        <v>30</v>
      </c>
      <c r="E60" t="s">
        <v>52</v>
      </c>
    </row>
    <row r="61" spans="1:5" x14ac:dyDescent="0.2">
      <c r="A61" s="20">
        <v>46232</v>
      </c>
      <c r="B61">
        <v>10</v>
      </c>
      <c r="C61" t="s">
        <v>3</v>
      </c>
      <c r="D61">
        <v>30</v>
      </c>
      <c r="E61" t="s">
        <v>50</v>
      </c>
    </row>
    <row r="62" spans="1:5" x14ac:dyDescent="0.2">
      <c r="A62" s="20">
        <v>46233</v>
      </c>
      <c r="B62">
        <v>11</v>
      </c>
      <c r="C62" t="s">
        <v>0</v>
      </c>
      <c r="D62">
        <v>31</v>
      </c>
      <c r="E62" t="s">
        <v>52</v>
      </c>
    </row>
    <row r="63" spans="1:5" x14ac:dyDescent="0.2">
      <c r="A63" s="20">
        <v>46233</v>
      </c>
      <c r="B63">
        <v>11</v>
      </c>
      <c r="C63" t="s">
        <v>0</v>
      </c>
      <c r="D63">
        <v>31</v>
      </c>
      <c r="E63" t="s">
        <v>50</v>
      </c>
    </row>
    <row r="64" spans="1:5" x14ac:dyDescent="0.2">
      <c r="A64" s="20">
        <v>46233</v>
      </c>
      <c r="B64">
        <v>11</v>
      </c>
      <c r="C64" t="s">
        <v>1</v>
      </c>
      <c r="D64">
        <v>32</v>
      </c>
      <c r="E64" t="s">
        <v>52</v>
      </c>
    </row>
    <row r="65" spans="1:5" x14ac:dyDescent="0.2">
      <c r="A65" s="20">
        <v>46233</v>
      </c>
      <c r="B65">
        <v>11</v>
      </c>
      <c r="C65" t="s">
        <v>1</v>
      </c>
      <c r="D65">
        <v>32</v>
      </c>
      <c r="E65" t="s">
        <v>50</v>
      </c>
    </row>
    <row r="66" spans="1:5" x14ac:dyDescent="0.2">
      <c r="A66" s="20">
        <v>46233</v>
      </c>
      <c r="B66">
        <v>11</v>
      </c>
      <c r="C66" t="s">
        <v>3</v>
      </c>
      <c r="D66">
        <v>33</v>
      </c>
      <c r="E66" t="s">
        <v>52</v>
      </c>
    </row>
    <row r="67" spans="1:5" x14ac:dyDescent="0.2">
      <c r="A67" s="20">
        <v>46233</v>
      </c>
      <c r="B67">
        <v>11</v>
      </c>
      <c r="C67" t="s">
        <v>3</v>
      </c>
      <c r="D67">
        <v>33</v>
      </c>
      <c r="E67" t="s">
        <v>50</v>
      </c>
    </row>
    <row r="68" spans="1:5" x14ac:dyDescent="0.2">
      <c r="A68" s="20">
        <v>46234</v>
      </c>
      <c r="B68">
        <v>12</v>
      </c>
      <c r="C68" t="s">
        <v>0</v>
      </c>
      <c r="D68">
        <v>34</v>
      </c>
      <c r="E68" t="s">
        <v>52</v>
      </c>
    </row>
    <row r="69" spans="1:5" x14ac:dyDescent="0.2">
      <c r="A69" s="20">
        <v>46234</v>
      </c>
      <c r="B69">
        <v>12</v>
      </c>
      <c r="C69" t="s">
        <v>0</v>
      </c>
      <c r="D69">
        <v>34</v>
      </c>
      <c r="E69" t="s">
        <v>50</v>
      </c>
    </row>
    <row r="70" spans="1:5" x14ac:dyDescent="0.2">
      <c r="A70" s="20">
        <v>46234</v>
      </c>
      <c r="B70">
        <v>12</v>
      </c>
      <c r="C70" t="s">
        <v>1</v>
      </c>
      <c r="D70">
        <v>35</v>
      </c>
      <c r="E70" t="s">
        <v>52</v>
      </c>
    </row>
    <row r="71" spans="1:5" x14ac:dyDescent="0.2">
      <c r="A71" s="20">
        <v>46234</v>
      </c>
      <c r="B71">
        <v>12</v>
      </c>
      <c r="C71" t="s">
        <v>1</v>
      </c>
      <c r="D71">
        <v>35</v>
      </c>
      <c r="E71" t="s">
        <v>50</v>
      </c>
    </row>
    <row r="72" spans="1:5" x14ac:dyDescent="0.2">
      <c r="A72" s="20">
        <v>46234</v>
      </c>
      <c r="B72">
        <v>12</v>
      </c>
      <c r="C72" t="s">
        <v>3</v>
      </c>
      <c r="D72">
        <v>36</v>
      </c>
      <c r="E72" t="s">
        <v>52</v>
      </c>
    </row>
    <row r="73" spans="1:5" x14ac:dyDescent="0.2">
      <c r="A73" s="20">
        <v>46234</v>
      </c>
      <c r="B73">
        <v>12</v>
      </c>
      <c r="C73" t="s">
        <v>3</v>
      </c>
      <c r="D73">
        <v>36</v>
      </c>
      <c r="E73" t="s">
        <v>50</v>
      </c>
    </row>
    <row r="74" spans="1:5" x14ac:dyDescent="0.2">
      <c r="A74" s="20">
        <v>46235</v>
      </c>
      <c r="B74">
        <v>13</v>
      </c>
      <c r="C74" t="s">
        <v>0</v>
      </c>
      <c r="D74">
        <v>37</v>
      </c>
      <c r="E74" t="s">
        <v>52</v>
      </c>
    </row>
    <row r="75" spans="1:5" x14ac:dyDescent="0.2">
      <c r="A75" s="20">
        <v>46235</v>
      </c>
      <c r="B75">
        <v>13</v>
      </c>
      <c r="C75" t="s">
        <v>0</v>
      </c>
      <c r="D75">
        <v>37</v>
      </c>
      <c r="E75" t="s">
        <v>50</v>
      </c>
    </row>
    <row r="76" spans="1:5" x14ac:dyDescent="0.2">
      <c r="A76" s="20">
        <v>46235</v>
      </c>
      <c r="B76">
        <v>13</v>
      </c>
      <c r="C76" t="s">
        <v>1</v>
      </c>
      <c r="D76">
        <v>38</v>
      </c>
      <c r="E76" t="s">
        <v>52</v>
      </c>
    </row>
    <row r="77" spans="1:5" x14ac:dyDescent="0.2">
      <c r="A77" s="20">
        <v>46235</v>
      </c>
      <c r="B77">
        <v>13</v>
      </c>
      <c r="C77" t="s">
        <v>1</v>
      </c>
      <c r="D77">
        <v>38</v>
      </c>
      <c r="E77" t="s">
        <v>50</v>
      </c>
    </row>
    <row r="78" spans="1:5" x14ac:dyDescent="0.2">
      <c r="A78" s="20">
        <v>46235</v>
      </c>
      <c r="B78">
        <v>13</v>
      </c>
      <c r="C78" t="s">
        <v>3</v>
      </c>
      <c r="D78">
        <v>39</v>
      </c>
      <c r="E78" t="s">
        <v>52</v>
      </c>
    </row>
    <row r="79" spans="1:5" x14ac:dyDescent="0.2">
      <c r="A79" s="20">
        <v>46235</v>
      </c>
      <c r="B79">
        <v>13</v>
      </c>
      <c r="C79" t="s">
        <v>3</v>
      </c>
      <c r="D79">
        <v>39</v>
      </c>
      <c r="E79" t="s">
        <v>50</v>
      </c>
    </row>
    <row r="80" spans="1:5" x14ac:dyDescent="0.2">
      <c r="A80" s="20">
        <v>46236</v>
      </c>
      <c r="B80">
        <v>14</v>
      </c>
      <c r="C80" t="s">
        <v>0</v>
      </c>
      <c r="D80">
        <v>40</v>
      </c>
      <c r="E80" t="s">
        <v>52</v>
      </c>
    </row>
    <row r="81" spans="1:5" x14ac:dyDescent="0.2">
      <c r="A81" s="20">
        <v>46236</v>
      </c>
      <c r="B81">
        <v>14</v>
      </c>
      <c r="C81" t="s">
        <v>0</v>
      </c>
      <c r="D81">
        <v>40</v>
      </c>
      <c r="E81" t="s">
        <v>50</v>
      </c>
    </row>
    <row r="82" spans="1:5" x14ac:dyDescent="0.2">
      <c r="A82" s="20">
        <v>46236</v>
      </c>
      <c r="B82">
        <v>14</v>
      </c>
      <c r="C82" t="s">
        <v>1</v>
      </c>
      <c r="D82">
        <v>41</v>
      </c>
      <c r="E82" t="s">
        <v>52</v>
      </c>
    </row>
    <row r="83" spans="1:5" x14ac:dyDescent="0.2">
      <c r="A83" s="20">
        <v>46236</v>
      </c>
      <c r="B83">
        <v>14</v>
      </c>
      <c r="C83" t="s">
        <v>1</v>
      </c>
      <c r="D83">
        <v>41</v>
      </c>
      <c r="E83" t="s">
        <v>50</v>
      </c>
    </row>
    <row r="84" spans="1:5" x14ac:dyDescent="0.2">
      <c r="A84" s="20">
        <v>46236</v>
      </c>
      <c r="B84">
        <v>14</v>
      </c>
      <c r="C84" t="s">
        <v>3</v>
      </c>
      <c r="D84">
        <v>42</v>
      </c>
      <c r="E84" t="s">
        <v>52</v>
      </c>
    </row>
    <row r="85" spans="1:5" x14ac:dyDescent="0.2">
      <c r="A85" s="20">
        <v>46236</v>
      </c>
      <c r="B85">
        <v>14</v>
      </c>
      <c r="C85" t="s">
        <v>3</v>
      </c>
      <c r="D85">
        <v>42</v>
      </c>
      <c r="E85" t="s">
        <v>50</v>
      </c>
    </row>
    <row r="86" spans="1:5" x14ac:dyDescent="0.2">
      <c r="A86" s="20">
        <v>46237</v>
      </c>
      <c r="B86">
        <v>15</v>
      </c>
      <c r="C86" t="s">
        <v>0</v>
      </c>
      <c r="D86">
        <v>43</v>
      </c>
      <c r="E86" t="s">
        <v>52</v>
      </c>
    </row>
    <row r="87" spans="1:5" x14ac:dyDescent="0.2">
      <c r="A87" s="20">
        <v>46237</v>
      </c>
      <c r="B87">
        <v>15</v>
      </c>
      <c r="C87" t="s">
        <v>0</v>
      </c>
      <c r="D87">
        <v>43</v>
      </c>
      <c r="E87" t="s">
        <v>50</v>
      </c>
    </row>
    <row r="88" spans="1:5" x14ac:dyDescent="0.2">
      <c r="A88" s="20">
        <v>46237</v>
      </c>
      <c r="B88">
        <v>15</v>
      </c>
      <c r="C88" t="s">
        <v>1</v>
      </c>
      <c r="D88">
        <v>44</v>
      </c>
      <c r="E88" t="s">
        <v>52</v>
      </c>
    </row>
    <row r="89" spans="1:5" x14ac:dyDescent="0.2">
      <c r="A89" s="20">
        <v>46237</v>
      </c>
      <c r="B89">
        <v>15</v>
      </c>
      <c r="C89" t="s">
        <v>1</v>
      </c>
      <c r="D89">
        <v>44</v>
      </c>
      <c r="E89" t="s">
        <v>50</v>
      </c>
    </row>
    <row r="90" spans="1:5" x14ac:dyDescent="0.2">
      <c r="A90" s="20">
        <v>46237</v>
      </c>
      <c r="B90">
        <v>15</v>
      </c>
      <c r="C90" t="s">
        <v>3</v>
      </c>
      <c r="D90">
        <v>45</v>
      </c>
      <c r="E90" t="s">
        <v>52</v>
      </c>
    </row>
    <row r="91" spans="1:5" x14ac:dyDescent="0.2">
      <c r="A91" s="20">
        <v>46237</v>
      </c>
      <c r="B91">
        <v>15</v>
      </c>
      <c r="C91" t="s">
        <v>3</v>
      </c>
      <c r="D91">
        <v>45</v>
      </c>
      <c r="E91" t="s">
        <v>50</v>
      </c>
    </row>
    <row r="92" spans="1:5" x14ac:dyDescent="0.2">
      <c r="A92" s="20">
        <v>46238</v>
      </c>
      <c r="B92">
        <v>16</v>
      </c>
      <c r="C92" t="s">
        <v>0</v>
      </c>
      <c r="D92">
        <v>46</v>
      </c>
      <c r="E92" t="s">
        <v>52</v>
      </c>
    </row>
    <row r="93" spans="1:5" x14ac:dyDescent="0.2">
      <c r="A93" s="20">
        <v>46238</v>
      </c>
      <c r="B93">
        <v>16</v>
      </c>
      <c r="C93" t="s">
        <v>0</v>
      </c>
      <c r="D93">
        <v>46</v>
      </c>
      <c r="E93" t="s">
        <v>50</v>
      </c>
    </row>
    <row r="94" spans="1:5" x14ac:dyDescent="0.2">
      <c r="A94" s="20">
        <v>46238</v>
      </c>
      <c r="B94">
        <v>16</v>
      </c>
      <c r="C94" t="s">
        <v>1</v>
      </c>
      <c r="D94">
        <v>47</v>
      </c>
      <c r="E94" t="s">
        <v>52</v>
      </c>
    </row>
    <row r="95" spans="1:5" x14ac:dyDescent="0.2">
      <c r="A95" s="20">
        <v>46238</v>
      </c>
      <c r="B95">
        <v>16</v>
      </c>
      <c r="C95" t="s">
        <v>1</v>
      </c>
      <c r="D95">
        <v>47</v>
      </c>
      <c r="E95" t="s">
        <v>50</v>
      </c>
    </row>
    <row r="96" spans="1:5" x14ac:dyDescent="0.2">
      <c r="A96" s="20">
        <v>46238</v>
      </c>
      <c r="B96">
        <v>16</v>
      </c>
      <c r="C96" t="s">
        <v>3</v>
      </c>
      <c r="D96">
        <v>48</v>
      </c>
      <c r="E96" t="s">
        <v>52</v>
      </c>
    </row>
    <row r="97" spans="1:5" x14ac:dyDescent="0.2">
      <c r="A97" s="20">
        <v>46238</v>
      </c>
      <c r="B97">
        <v>16</v>
      </c>
      <c r="C97" t="s">
        <v>3</v>
      </c>
      <c r="D97">
        <v>48</v>
      </c>
      <c r="E97" t="s">
        <v>50</v>
      </c>
    </row>
    <row r="98" spans="1:5" x14ac:dyDescent="0.2">
      <c r="A98" s="20">
        <v>46239</v>
      </c>
      <c r="B98">
        <v>17</v>
      </c>
      <c r="C98" t="s">
        <v>0</v>
      </c>
      <c r="D98">
        <v>49</v>
      </c>
      <c r="E98" t="s">
        <v>52</v>
      </c>
    </row>
    <row r="99" spans="1:5" x14ac:dyDescent="0.2">
      <c r="A99" s="20">
        <v>46239</v>
      </c>
      <c r="B99">
        <v>17</v>
      </c>
      <c r="C99" t="s">
        <v>0</v>
      </c>
      <c r="D99">
        <v>49</v>
      </c>
      <c r="E99" t="s">
        <v>50</v>
      </c>
    </row>
    <row r="100" spans="1:5" x14ac:dyDescent="0.2">
      <c r="A100" s="20">
        <v>46239</v>
      </c>
      <c r="B100">
        <v>17</v>
      </c>
      <c r="C100" t="s">
        <v>1</v>
      </c>
      <c r="D100">
        <v>50</v>
      </c>
      <c r="E100" t="s">
        <v>52</v>
      </c>
    </row>
    <row r="101" spans="1:5" x14ac:dyDescent="0.2">
      <c r="A101" s="20">
        <v>46239</v>
      </c>
      <c r="B101">
        <v>17</v>
      </c>
      <c r="C101" t="s">
        <v>1</v>
      </c>
      <c r="D101">
        <v>50</v>
      </c>
      <c r="E101" t="s">
        <v>50</v>
      </c>
    </row>
    <row r="102" spans="1:5" x14ac:dyDescent="0.2">
      <c r="A102" s="20">
        <v>46239</v>
      </c>
      <c r="B102">
        <v>17</v>
      </c>
      <c r="C102" t="s">
        <v>3</v>
      </c>
      <c r="D102">
        <v>51</v>
      </c>
      <c r="E102" t="s">
        <v>52</v>
      </c>
    </row>
    <row r="103" spans="1:5" x14ac:dyDescent="0.2">
      <c r="A103" s="20">
        <v>46239</v>
      </c>
      <c r="B103">
        <v>17</v>
      </c>
      <c r="C103" t="s">
        <v>3</v>
      </c>
      <c r="D103">
        <v>51</v>
      </c>
      <c r="E103" t="s">
        <v>50</v>
      </c>
    </row>
    <row r="104" spans="1:5" x14ac:dyDescent="0.2">
      <c r="A104" s="20">
        <v>46240</v>
      </c>
      <c r="B104">
        <v>18</v>
      </c>
      <c r="C104" t="s">
        <v>0</v>
      </c>
      <c r="D104">
        <v>52</v>
      </c>
      <c r="E104" t="s">
        <v>52</v>
      </c>
    </row>
    <row r="105" spans="1:5" x14ac:dyDescent="0.2">
      <c r="A105" s="20">
        <v>46240</v>
      </c>
      <c r="B105">
        <v>18</v>
      </c>
      <c r="C105" t="s">
        <v>0</v>
      </c>
      <c r="D105">
        <v>52</v>
      </c>
      <c r="E105" t="s">
        <v>50</v>
      </c>
    </row>
    <row r="106" spans="1:5" x14ac:dyDescent="0.2">
      <c r="A106" s="20">
        <v>46240</v>
      </c>
      <c r="B106">
        <v>18</v>
      </c>
      <c r="C106" t="s">
        <v>1</v>
      </c>
      <c r="D106">
        <v>53</v>
      </c>
      <c r="E106" t="s">
        <v>52</v>
      </c>
    </row>
    <row r="107" spans="1:5" x14ac:dyDescent="0.2">
      <c r="A107" s="20">
        <v>46240</v>
      </c>
      <c r="B107">
        <v>18</v>
      </c>
      <c r="C107" t="s">
        <v>1</v>
      </c>
      <c r="D107">
        <v>53</v>
      </c>
      <c r="E107" t="s">
        <v>50</v>
      </c>
    </row>
    <row r="108" spans="1:5" x14ac:dyDescent="0.2">
      <c r="A108" s="20">
        <v>46240</v>
      </c>
      <c r="B108">
        <v>18</v>
      </c>
      <c r="C108" t="s">
        <v>3</v>
      </c>
      <c r="D108">
        <v>54</v>
      </c>
      <c r="E108" t="s">
        <v>52</v>
      </c>
    </row>
    <row r="109" spans="1:5" x14ac:dyDescent="0.2">
      <c r="A109" s="20">
        <v>46240</v>
      </c>
      <c r="B109">
        <v>18</v>
      </c>
      <c r="C109" t="s">
        <v>3</v>
      </c>
      <c r="D109">
        <v>54</v>
      </c>
      <c r="E109" t="s">
        <v>50</v>
      </c>
    </row>
    <row r="110" spans="1:5" x14ac:dyDescent="0.2">
      <c r="A110" s="20">
        <v>46241</v>
      </c>
      <c r="B110">
        <v>19</v>
      </c>
      <c r="C110" t="s">
        <v>0</v>
      </c>
      <c r="D110">
        <v>55</v>
      </c>
      <c r="E110" t="s">
        <v>52</v>
      </c>
    </row>
    <row r="111" spans="1:5" x14ac:dyDescent="0.2">
      <c r="A111" s="20">
        <v>46241</v>
      </c>
      <c r="B111">
        <v>19</v>
      </c>
      <c r="C111" t="s">
        <v>0</v>
      </c>
      <c r="D111">
        <v>55</v>
      </c>
      <c r="E111" t="s">
        <v>50</v>
      </c>
    </row>
    <row r="112" spans="1:5" x14ac:dyDescent="0.2">
      <c r="A112" s="20">
        <v>46241</v>
      </c>
      <c r="B112">
        <v>19</v>
      </c>
      <c r="C112" t="s">
        <v>1</v>
      </c>
      <c r="D112">
        <v>56</v>
      </c>
      <c r="E112" t="s">
        <v>52</v>
      </c>
    </row>
    <row r="113" spans="1:5" x14ac:dyDescent="0.2">
      <c r="A113" s="20">
        <v>46241</v>
      </c>
      <c r="B113">
        <v>19</v>
      </c>
      <c r="C113" t="s">
        <v>1</v>
      </c>
      <c r="D113">
        <v>56</v>
      </c>
      <c r="E113" t="s">
        <v>50</v>
      </c>
    </row>
    <row r="114" spans="1:5" x14ac:dyDescent="0.2">
      <c r="A114" s="20">
        <v>46241</v>
      </c>
      <c r="B114">
        <v>19</v>
      </c>
      <c r="C114" t="s">
        <v>3</v>
      </c>
      <c r="D114">
        <v>57</v>
      </c>
      <c r="E114" t="s">
        <v>52</v>
      </c>
    </row>
    <row r="115" spans="1:5" x14ac:dyDescent="0.2">
      <c r="A115" s="20">
        <v>46241</v>
      </c>
      <c r="B115">
        <v>19</v>
      </c>
      <c r="C115" t="s">
        <v>3</v>
      </c>
      <c r="D115">
        <v>57</v>
      </c>
      <c r="E115" t="s">
        <v>50</v>
      </c>
    </row>
    <row r="116" spans="1:5" x14ac:dyDescent="0.2">
      <c r="A116" s="20">
        <v>46242</v>
      </c>
      <c r="B116">
        <v>20</v>
      </c>
      <c r="C116" t="s">
        <v>0</v>
      </c>
      <c r="D116">
        <v>58</v>
      </c>
      <c r="E116" t="s">
        <v>52</v>
      </c>
    </row>
    <row r="117" spans="1:5" x14ac:dyDescent="0.2">
      <c r="A117" s="20">
        <v>46242</v>
      </c>
      <c r="B117">
        <v>20</v>
      </c>
      <c r="C117" t="s">
        <v>0</v>
      </c>
      <c r="D117">
        <v>58</v>
      </c>
      <c r="E117" t="s">
        <v>50</v>
      </c>
    </row>
    <row r="118" spans="1:5" x14ac:dyDescent="0.2">
      <c r="A118" s="20">
        <v>46242</v>
      </c>
      <c r="B118">
        <v>20</v>
      </c>
      <c r="C118" t="s">
        <v>1</v>
      </c>
      <c r="D118">
        <v>59</v>
      </c>
      <c r="E118" t="s">
        <v>52</v>
      </c>
    </row>
    <row r="119" spans="1:5" x14ac:dyDescent="0.2">
      <c r="A119" s="20">
        <v>46242</v>
      </c>
      <c r="B119">
        <v>20</v>
      </c>
      <c r="C119" t="s">
        <v>1</v>
      </c>
      <c r="D119">
        <v>59</v>
      </c>
      <c r="E119" t="s">
        <v>50</v>
      </c>
    </row>
    <row r="120" spans="1:5" x14ac:dyDescent="0.2">
      <c r="A120" s="20">
        <v>46242</v>
      </c>
      <c r="B120">
        <v>20</v>
      </c>
      <c r="C120" t="s">
        <v>3</v>
      </c>
      <c r="D120">
        <v>60</v>
      </c>
      <c r="E120" t="s">
        <v>52</v>
      </c>
    </row>
    <row r="121" spans="1:5" x14ac:dyDescent="0.2">
      <c r="A121" s="20">
        <v>46242</v>
      </c>
      <c r="B121">
        <v>20</v>
      </c>
      <c r="C121" t="s">
        <v>3</v>
      </c>
      <c r="D121">
        <v>60</v>
      </c>
      <c r="E121" t="s">
        <v>50</v>
      </c>
    </row>
    <row r="122" spans="1:5" x14ac:dyDescent="0.2">
      <c r="A122" s="20">
        <v>46243</v>
      </c>
      <c r="B122">
        <v>21</v>
      </c>
      <c r="C122" t="s">
        <v>0</v>
      </c>
      <c r="D122">
        <v>61</v>
      </c>
      <c r="E122" t="s">
        <v>52</v>
      </c>
    </row>
    <row r="123" spans="1:5" x14ac:dyDescent="0.2">
      <c r="A123" s="20">
        <v>46243</v>
      </c>
      <c r="B123">
        <v>21</v>
      </c>
      <c r="C123" t="s">
        <v>0</v>
      </c>
      <c r="D123">
        <v>61</v>
      </c>
      <c r="E123" t="s">
        <v>50</v>
      </c>
    </row>
    <row r="124" spans="1:5" x14ac:dyDescent="0.2">
      <c r="A124" s="20">
        <v>46243</v>
      </c>
      <c r="B124">
        <v>21</v>
      </c>
      <c r="C124" t="s">
        <v>1</v>
      </c>
      <c r="D124">
        <v>62</v>
      </c>
      <c r="E124" t="s">
        <v>52</v>
      </c>
    </row>
    <row r="125" spans="1:5" x14ac:dyDescent="0.2">
      <c r="A125" s="20">
        <v>46243</v>
      </c>
      <c r="B125">
        <v>21</v>
      </c>
      <c r="C125" t="s">
        <v>1</v>
      </c>
      <c r="D125">
        <v>62</v>
      </c>
      <c r="E125" t="s">
        <v>50</v>
      </c>
    </row>
    <row r="126" spans="1:5" x14ac:dyDescent="0.2">
      <c r="A126" s="20">
        <v>46243</v>
      </c>
      <c r="B126">
        <v>21</v>
      </c>
      <c r="C126" t="s">
        <v>3</v>
      </c>
      <c r="D126">
        <v>63</v>
      </c>
      <c r="E126" t="s">
        <v>52</v>
      </c>
    </row>
    <row r="127" spans="1:5" x14ac:dyDescent="0.2">
      <c r="A127" s="20">
        <v>46243</v>
      </c>
      <c r="B127">
        <v>21</v>
      </c>
      <c r="C127" t="s">
        <v>3</v>
      </c>
      <c r="D127">
        <v>63</v>
      </c>
      <c r="E127" t="s">
        <v>50</v>
      </c>
    </row>
    <row r="128" spans="1:5" x14ac:dyDescent="0.2">
      <c r="A128" s="20">
        <v>46244</v>
      </c>
      <c r="B128">
        <v>22</v>
      </c>
      <c r="C128" t="s">
        <v>0</v>
      </c>
      <c r="D128">
        <v>64</v>
      </c>
      <c r="E128" t="s">
        <v>52</v>
      </c>
    </row>
    <row r="129" spans="1:5" x14ac:dyDescent="0.2">
      <c r="A129" s="20">
        <v>46244</v>
      </c>
      <c r="B129">
        <v>22</v>
      </c>
      <c r="C129" t="s">
        <v>0</v>
      </c>
      <c r="D129">
        <v>64</v>
      </c>
      <c r="E129" t="s">
        <v>50</v>
      </c>
    </row>
    <row r="130" spans="1:5" x14ac:dyDescent="0.2">
      <c r="A130" s="20">
        <v>46244</v>
      </c>
      <c r="B130">
        <v>22</v>
      </c>
      <c r="C130" t="s">
        <v>1</v>
      </c>
      <c r="D130">
        <v>65</v>
      </c>
      <c r="E130" t="s">
        <v>52</v>
      </c>
    </row>
    <row r="131" spans="1:5" x14ac:dyDescent="0.2">
      <c r="A131" s="20">
        <v>46244</v>
      </c>
      <c r="B131">
        <v>22</v>
      </c>
      <c r="C131" t="s">
        <v>1</v>
      </c>
      <c r="D131">
        <v>65</v>
      </c>
      <c r="E131" t="s">
        <v>50</v>
      </c>
    </row>
    <row r="132" spans="1:5" x14ac:dyDescent="0.2">
      <c r="A132" s="20">
        <v>46244</v>
      </c>
      <c r="B132">
        <v>22</v>
      </c>
      <c r="C132" t="s">
        <v>3</v>
      </c>
      <c r="D132">
        <v>66</v>
      </c>
      <c r="E132" t="s">
        <v>52</v>
      </c>
    </row>
    <row r="133" spans="1:5" x14ac:dyDescent="0.2">
      <c r="A133" s="20">
        <v>46244</v>
      </c>
      <c r="B133">
        <v>22</v>
      </c>
      <c r="C133" t="s">
        <v>3</v>
      </c>
      <c r="D133">
        <v>66</v>
      </c>
      <c r="E133" t="s">
        <v>50</v>
      </c>
    </row>
    <row r="134" spans="1:5" x14ac:dyDescent="0.2">
      <c r="A134" s="20">
        <v>46245</v>
      </c>
      <c r="B134">
        <v>23</v>
      </c>
      <c r="C134" t="s">
        <v>0</v>
      </c>
      <c r="D134">
        <v>67</v>
      </c>
      <c r="E134" t="s">
        <v>52</v>
      </c>
    </row>
    <row r="135" spans="1:5" x14ac:dyDescent="0.2">
      <c r="A135" s="20">
        <v>46245</v>
      </c>
      <c r="B135">
        <v>23</v>
      </c>
      <c r="C135" t="s">
        <v>0</v>
      </c>
      <c r="D135">
        <v>67</v>
      </c>
      <c r="E135" t="s">
        <v>50</v>
      </c>
    </row>
    <row r="136" spans="1:5" x14ac:dyDescent="0.2">
      <c r="A136" s="20">
        <v>46245</v>
      </c>
      <c r="B136">
        <v>23</v>
      </c>
      <c r="C136" t="s">
        <v>1</v>
      </c>
      <c r="D136">
        <v>68</v>
      </c>
      <c r="E136" t="s">
        <v>52</v>
      </c>
    </row>
    <row r="137" spans="1:5" x14ac:dyDescent="0.2">
      <c r="A137" s="20">
        <v>46245</v>
      </c>
      <c r="B137">
        <v>23</v>
      </c>
      <c r="C137" t="s">
        <v>1</v>
      </c>
      <c r="D137">
        <v>68</v>
      </c>
      <c r="E137" t="s">
        <v>50</v>
      </c>
    </row>
    <row r="138" spans="1:5" x14ac:dyDescent="0.2">
      <c r="A138" s="20">
        <v>46245</v>
      </c>
      <c r="B138">
        <v>23</v>
      </c>
      <c r="C138" t="s">
        <v>3</v>
      </c>
      <c r="D138">
        <v>69</v>
      </c>
      <c r="E138" t="s">
        <v>52</v>
      </c>
    </row>
    <row r="139" spans="1:5" x14ac:dyDescent="0.2">
      <c r="A139" s="20">
        <v>46245</v>
      </c>
      <c r="B139">
        <v>23</v>
      </c>
      <c r="C139" t="s">
        <v>3</v>
      </c>
      <c r="D139">
        <v>69</v>
      </c>
      <c r="E139" t="s">
        <v>50</v>
      </c>
    </row>
    <row r="140" spans="1:5" x14ac:dyDescent="0.2">
      <c r="A140" s="20">
        <v>46246</v>
      </c>
      <c r="B140">
        <v>24</v>
      </c>
      <c r="C140" t="s">
        <v>0</v>
      </c>
      <c r="D140">
        <v>70</v>
      </c>
      <c r="E140" t="s">
        <v>52</v>
      </c>
    </row>
    <row r="141" spans="1:5" x14ac:dyDescent="0.2">
      <c r="A141" s="20">
        <v>46246</v>
      </c>
      <c r="B141">
        <v>24</v>
      </c>
      <c r="C141" t="s">
        <v>0</v>
      </c>
      <c r="D141">
        <v>70</v>
      </c>
      <c r="E141" t="s">
        <v>50</v>
      </c>
    </row>
    <row r="142" spans="1:5" x14ac:dyDescent="0.2">
      <c r="A142" s="20">
        <v>46246</v>
      </c>
      <c r="B142">
        <v>24</v>
      </c>
      <c r="C142" t="s">
        <v>1</v>
      </c>
      <c r="D142">
        <v>71</v>
      </c>
      <c r="E142" t="s">
        <v>52</v>
      </c>
    </row>
    <row r="143" spans="1:5" x14ac:dyDescent="0.2">
      <c r="A143" s="20">
        <v>46246</v>
      </c>
      <c r="B143">
        <v>24</v>
      </c>
      <c r="C143" t="s">
        <v>1</v>
      </c>
      <c r="D143">
        <v>71</v>
      </c>
      <c r="E143" t="s">
        <v>50</v>
      </c>
    </row>
    <row r="144" spans="1:5" x14ac:dyDescent="0.2">
      <c r="A144" s="20">
        <v>46246</v>
      </c>
      <c r="B144">
        <v>24</v>
      </c>
      <c r="C144" t="s">
        <v>3</v>
      </c>
      <c r="D144">
        <v>72</v>
      </c>
      <c r="E144" t="s">
        <v>52</v>
      </c>
    </row>
    <row r="145" spans="1:5" x14ac:dyDescent="0.2">
      <c r="A145" s="20">
        <v>46246</v>
      </c>
      <c r="B145">
        <v>24</v>
      </c>
      <c r="C145" t="s">
        <v>3</v>
      </c>
      <c r="D145">
        <v>72</v>
      </c>
      <c r="E145" t="s">
        <v>50</v>
      </c>
    </row>
    <row r="146" spans="1:5" x14ac:dyDescent="0.2">
      <c r="A146" s="20">
        <v>46247</v>
      </c>
      <c r="B146">
        <v>25</v>
      </c>
      <c r="C146" t="s">
        <v>0</v>
      </c>
      <c r="D146">
        <v>73</v>
      </c>
      <c r="E146" t="s">
        <v>52</v>
      </c>
    </row>
    <row r="147" spans="1:5" x14ac:dyDescent="0.2">
      <c r="A147" s="20">
        <v>46247</v>
      </c>
      <c r="B147">
        <v>25</v>
      </c>
      <c r="C147" t="s">
        <v>0</v>
      </c>
      <c r="D147">
        <v>73</v>
      </c>
      <c r="E147" t="s">
        <v>50</v>
      </c>
    </row>
    <row r="148" spans="1:5" x14ac:dyDescent="0.2">
      <c r="A148" s="20">
        <v>46247</v>
      </c>
      <c r="B148">
        <v>25</v>
      </c>
      <c r="C148" t="s">
        <v>1</v>
      </c>
      <c r="D148">
        <v>74</v>
      </c>
      <c r="E148" t="s">
        <v>52</v>
      </c>
    </row>
    <row r="149" spans="1:5" x14ac:dyDescent="0.2">
      <c r="A149" s="20">
        <v>46247</v>
      </c>
      <c r="B149">
        <v>25</v>
      </c>
      <c r="C149" t="s">
        <v>1</v>
      </c>
      <c r="D149">
        <v>74</v>
      </c>
      <c r="E149" t="s">
        <v>50</v>
      </c>
    </row>
    <row r="150" spans="1:5" x14ac:dyDescent="0.2">
      <c r="A150" s="20">
        <v>46247</v>
      </c>
      <c r="B150">
        <v>25</v>
      </c>
      <c r="C150" t="s">
        <v>3</v>
      </c>
      <c r="D150">
        <v>75</v>
      </c>
      <c r="E150" t="s">
        <v>52</v>
      </c>
    </row>
    <row r="151" spans="1:5" x14ac:dyDescent="0.2">
      <c r="A151" s="20">
        <v>46247</v>
      </c>
      <c r="B151">
        <v>25</v>
      </c>
      <c r="C151" t="s">
        <v>3</v>
      </c>
      <c r="D151">
        <v>75</v>
      </c>
      <c r="E151" t="s">
        <v>50</v>
      </c>
    </row>
    <row r="152" spans="1:5" x14ac:dyDescent="0.2">
      <c r="A152" s="20">
        <v>46248</v>
      </c>
      <c r="B152">
        <v>26</v>
      </c>
      <c r="C152" t="s">
        <v>0</v>
      </c>
      <c r="D152">
        <v>76</v>
      </c>
      <c r="E152" t="s">
        <v>52</v>
      </c>
    </row>
    <row r="153" spans="1:5" x14ac:dyDescent="0.2">
      <c r="A153" s="20">
        <v>46248</v>
      </c>
      <c r="B153">
        <v>26</v>
      </c>
      <c r="C153" t="s">
        <v>0</v>
      </c>
      <c r="D153">
        <v>76</v>
      </c>
      <c r="E153" t="s">
        <v>50</v>
      </c>
    </row>
    <row r="154" spans="1:5" x14ac:dyDescent="0.2">
      <c r="A154" s="20">
        <v>46248</v>
      </c>
      <c r="B154">
        <v>26</v>
      </c>
      <c r="C154" t="s">
        <v>1</v>
      </c>
      <c r="D154">
        <v>77</v>
      </c>
      <c r="E154" t="s">
        <v>52</v>
      </c>
    </row>
    <row r="155" spans="1:5" x14ac:dyDescent="0.2">
      <c r="A155" s="20">
        <v>46248</v>
      </c>
      <c r="B155">
        <v>26</v>
      </c>
      <c r="C155" t="s">
        <v>1</v>
      </c>
      <c r="D155">
        <v>77</v>
      </c>
      <c r="E155" t="s">
        <v>50</v>
      </c>
    </row>
    <row r="156" spans="1:5" x14ac:dyDescent="0.2">
      <c r="A156" s="20">
        <v>46248</v>
      </c>
      <c r="B156">
        <v>26</v>
      </c>
      <c r="C156" t="s">
        <v>3</v>
      </c>
      <c r="D156">
        <v>78</v>
      </c>
      <c r="E156" t="s">
        <v>52</v>
      </c>
    </row>
    <row r="157" spans="1:5" x14ac:dyDescent="0.2">
      <c r="A157" s="20">
        <v>46248</v>
      </c>
      <c r="B157">
        <v>26</v>
      </c>
      <c r="C157" t="s">
        <v>3</v>
      </c>
      <c r="D157">
        <v>78</v>
      </c>
      <c r="E157" t="s">
        <v>50</v>
      </c>
    </row>
    <row r="158" spans="1:5" x14ac:dyDescent="0.2">
      <c r="A158" s="20">
        <v>46249</v>
      </c>
      <c r="B158">
        <v>27</v>
      </c>
      <c r="C158" t="s">
        <v>0</v>
      </c>
      <c r="D158">
        <v>79</v>
      </c>
      <c r="E158" t="s">
        <v>52</v>
      </c>
    </row>
    <row r="159" spans="1:5" x14ac:dyDescent="0.2">
      <c r="A159" s="20">
        <v>46249</v>
      </c>
      <c r="B159">
        <v>27</v>
      </c>
      <c r="C159" t="s">
        <v>0</v>
      </c>
      <c r="D159">
        <v>79</v>
      </c>
      <c r="E159" t="s">
        <v>50</v>
      </c>
    </row>
    <row r="160" spans="1:5" x14ac:dyDescent="0.2">
      <c r="A160" s="20">
        <v>46249</v>
      </c>
      <c r="B160">
        <v>27</v>
      </c>
      <c r="C160" t="s">
        <v>1</v>
      </c>
      <c r="D160">
        <v>80</v>
      </c>
      <c r="E160" t="s">
        <v>52</v>
      </c>
    </row>
    <row r="161" spans="1:5" x14ac:dyDescent="0.2">
      <c r="A161" s="20">
        <v>46249</v>
      </c>
      <c r="B161">
        <v>27</v>
      </c>
      <c r="C161" t="s">
        <v>1</v>
      </c>
      <c r="D161">
        <v>80</v>
      </c>
      <c r="E161" t="s">
        <v>50</v>
      </c>
    </row>
    <row r="162" spans="1:5" x14ac:dyDescent="0.2">
      <c r="A162" s="20">
        <v>46249</v>
      </c>
      <c r="B162">
        <v>27</v>
      </c>
      <c r="C162" t="s">
        <v>3</v>
      </c>
      <c r="D162">
        <v>81</v>
      </c>
      <c r="E162" t="s">
        <v>52</v>
      </c>
    </row>
    <row r="163" spans="1:5" x14ac:dyDescent="0.2">
      <c r="A163" s="20">
        <v>46249</v>
      </c>
      <c r="B163">
        <v>27</v>
      </c>
      <c r="C163" t="s">
        <v>3</v>
      </c>
      <c r="D163">
        <v>81</v>
      </c>
      <c r="E163" t="s">
        <v>50</v>
      </c>
    </row>
    <row r="164" spans="1:5" x14ac:dyDescent="0.2">
      <c r="A164" s="20">
        <v>46250</v>
      </c>
      <c r="B164">
        <v>28</v>
      </c>
      <c r="C164" t="s">
        <v>0</v>
      </c>
      <c r="D164">
        <v>82</v>
      </c>
      <c r="E164" t="s">
        <v>52</v>
      </c>
    </row>
    <row r="165" spans="1:5" x14ac:dyDescent="0.2">
      <c r="A165" s="20">
        <v>46250</v>
      </c>
      <c r="B165">
        <v>28</v>
      </c>
      <c r="C165" t="s">
        <v>0</v>
      </c>
      <c r="D165">
        <v>82</v>
      </c>
      <c r="E165" t="s">
        <v>50</v>
      </c>
    </row>
    <row r="166" spans="1:5" x14ac:dyDescent="0.2">
      <c r="A166" s="20">
        <v>46250</v>
      </c>
      <c r="B166">
        <v>28</v>
      </c>
      <c r="C166" t="s">
        <v>1</v>
      </c>
      <c r="D166">
        <v>83</v>
      </c>
      <c r="E166" t="s">
        <v>52</v>
      </c>
    </row>
    <row r="167" spans="1:5" x14ac:dyDescent="0.2">
      <c r="A167" s="20">
        <v>46250</v>
      </c>
      <c r="B167">
        <v>28</v>
      </c>
      <c r="C167" t="s">
        <v>1</v>
      </c>
      <c r="D167">
        <v>83</v>
      </c>
      <c r="E167" t="s">
        <v>50</v>
      </c>
    </row>
    <row r="168" spans="1:5" x14ac:dyDescent="0.2">
      <c r="A168" s="20">
        <v>46250</v>
      </c>
      <c r="B168">
        <v>28</v>
      </c>
      <c r="C168" t="s">
        <v>3</v>
      </c>
      <c r="D168">
        <v>84</v>
      </c>
      <c r="E168" t="s">
        <v>52</v>
      </c>
    </row>
    <row r="169" spans="1:5" x14ac:dyDescent="0.2">
      <c r="A169" s="20">
        <v>46250</v>
      </c>
      <c r="B169">
        <v>28</v>
      </c>
      <c r="C169" t="s">
        <v>3</v>
      </c>
      <c r="D169">
        <v>84</v>
      </c>
      <c r="E169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N23" sqref="N23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9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46223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46224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G4" s="20">
        <v>46225</v>
      </c>
      <c r="H4">
        <v>3</v>
      </c>
      <c r="K4" s="1">
        <v>46223</v>
      </c>
    </row>
    <row r="5" spans="1:12" x14ac:dyDescent="0.2">
      <c r="G5" s="20">
        <v>46226</v>
      </c>
      <c r="H5">
        <v>4</v>
      </c>
    </row>
    <row r="6" spans="1:12" x14ac:dyDescent="0.2">
      <c r="G6" s="20">
        <v>46227</v>
      </c>
      <c r="H6">
        <v>5</v>
      </c>
    </row>
    <row r="7" spans="1:12" x14ac:dyDescent="0.2">
      <c r="E7" s="21" t="s">
        <v>51</v>
      </c>
      <c r="G7" s="20">
        <v>46228</v>
      </c>
      <c r="H7">
        <v>6</v>
      </c>
    </row>
    <row r="8" spans="1:12" x14ac:dyDescent="0.2">
      <c r="G8" s="20">
        <v>46229</v>
      </c>
      <c r="H8">
        <v>7</v>
      </c>
      <c r="L8" t="s">
        <v>42</v>
      </c>
    </row>
    <row r="9" spans="1:12" x14ac:dyDescent="0.2">
      <c r="G9" s="20">
        <v>46230</v>
      </c>
      <c r="H9">
        <v>8</v>
      </c>
      <c r="L9" s="1">
        <v>45488</v>
      </c>
    </row>
    <row r="10" spans="1:12" x14ac:dyDescent="0.2">
      <c r="G10" s="20">
        <v>46231</v>
      </c>
      <c r="H10">
        <v>9</v>
      </c>
    </row>
    <row r="11" spans="1:12" x14ac:dyDescent="0.2">
      <c r="G11" s="20">
        <v>46232</v>
      </c>
      <c r="H11">
        <v>10</v>
      </c>
    </row>
    <row r="12" spans="1:12" x14ac:dyDescent="0.2">
      <c r="G12" s="20">
        <v>46233</v>
      </c>
      <c r="H12">
        <v>11</v>
      </c>
    </row>
    <row r="13" spans="1:12" x14ac:dyDescent="0.2">
      <c r="G13" s="20">
        <v>46234</v>
      </c>
      <c r="H13">
        <v>12</v>
      </c>
    </row>
    <row r="14" spans="1:12" x14ac:dyDescent="0.2">
      <c r="G14" s="20">
        <v>46235</v>
      </c>
      <c r="H14">
        <v>13</v>
      </c>
    </row>
    <row r="15" spans="1:12" x14ac:dyDescent="0.2">
      <c r="G15" s="20">
        <v>46236</v>
      </c>
      <c r="H15">
        <v>14</v>
      </c>
    </row>
    <row r="16" spans="1:12" x14ac:dyDescent="0.2">
      <c r="G16" s="20">
        <v>46237</v>
      </c>
      <c r="H16">
        <v>15</v>
      </c>
    </row>
    <row r="17" spans="7:8" x14ac:dyDescent="0.2">
      <c r="G17" s="20">
        <v>46238</v>
      </c>
      <c r="H17">
        <v>16</v>
      </c>
    </row>
    <row r="18" spans="7:8" x14ac:dyDescent="0.2">
      <c r="G18" s="20">
        <v>46239</v>
      </c>
      <c r="H18">
        <v>17</v>
      </c>
    </row>
    <row r="19" spans="7:8" x14ac:dyDescent="0.2">
      <c r="G19" s="20">
        <v>46240</v>
      </c>
      <c r="H19">
        <v>18</v>
      </c>
    </row>
    <row r="20" spans="7:8" x14ac:dyDescent="0.2">
      <c r="G20" s="20">
        <v>46241</v>
      </c>
      <c r="H20">
        <v>19</v>
      </c>
    </row>
    <row r="21" spans="7:8" x14ac:dyDescent="0.2">
      <c r="G21" s="20">
        <v>46242</v>
      </c>
      <c r="H21">
        <v>20</v>
      </c>
    </row>
    <row r="22" spans="7:8" x14ac:dyDescent="0.2">
      <c r="G22" s="20">
        <v>46243</v>
      </c>
      <c r="H22">
        <v>21</v>
      </c>
    </row>
    <row r="23" spans="7:8" x14ac:dyDescent="0.2">
      <c r="G23" s="20">
        <v>46244</v>
      </c>
      <c r="H23">
        <v>22</v>
      </c>
    </row>
    <row r="24" spans="7:8" x14ac:dyDescent="0.2">
      <c r="G24" s="20">
        <v>46245</v>
      </c>
      <c r="H24">
        <v>23</v>
      </c>
    </row>
    <row r="25" spans="7:8" x14ac:dyDescent="0.2">
      <c r="G25" s="20">
        <v>46246</v>
      </c>
      <c r="H25">
        <v>24</v>
      </c>
    </row>
    <row r="26" spans="7:8" x14ac:dyDescent="0.2">
      <c r="G26" s="20">
        <v>46247</v>
      </c>
      <c r="H26">
        <v>25</v>
      </c>
    </row>
    <row r="27" spans="7:8" x14ac:dyDescent="0.2">
      <c r="G27" s="20">
        <v>46248</v>
      </c>
      <c r="H27">
        <v>26</v>
      </c>
    </row>
    <row r="28" spans="7:8" x14ac:dyDescent="0.2">
      <c r="G28" s="20">
        <v>46249</v>
      </c>
      <c r="H28">
        <v>27</v>
      </c>
    </row>
    <row r="29" spans="7:8" x14ac:dyDescent="0.2">
      <c r="G29" s="20">
        <v>46250</v>
      </c>
      <c r="H29">
        <v>28</v>
      </c>
    </row>
  </sheetData>
  <phoneticPr fontId="11" type="noConversion"/>
  <dataValidations count="1">
    <dataValidation type="list" allowBlank="1" showInputMessage="1" showErrorMessage="1" sqref="E2:E3 E7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2026-09-08T23:19:33Z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