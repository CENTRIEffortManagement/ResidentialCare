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centri001.sharepoint.com/sites/WhiddonCENTRI/FROM Whiddon/260729 - Info from Myla/"/>
    </mc:Choice>
  </mc:AlternateContent>
  <xr:revisionPtr revIDLastSave="15" documentId="8_{697A4375-E811-40E2-97D5-FAFCC7F2F61B}" xr6:coauthVersionLast="47" xr6:coauthVersionMax="47" xr10:uidLastSave="{EF9C095D-8BA0-4D3E-9DEB-245E489CB242}"/>
  <bookViews>
    <workbookView xWindow="-15" yWindow="-21720" windowWidth="38640" windowHeight="21120" activeTab="1" xr2:uid="{F6906A7C-4534-474F-945C-679873C997DA}"/>
  </bookViews>
  <sheets>
    <sheet name="with formula" sheetId="1" r:id="rId1"/>
    <sheet name="BD" sheetId="2" r:id="rId2"/>
    <sheet name="JE" sheetId="3" r:id="rId3"/>
    <sheet name="RY" sheetId="4" r:id="rId4"/>
    <sheet name="TE Greenstones" sheetId="5" r:id="rId5"/>
    <sheet name="TE NBL" sheetId="6" r:id="rId6"/>
  </sheets>
  <externalReferences>
    <externalReference r:id="rId7"/>
  </externalReferences>
  <definedNames>
    <definedName name="Site_Name">[1]Variables!$B$1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19" i="1"/>
  <c r="K13" i="6"/>
  <c r="K12" i="6"/>
  <c r="K11" i="6"/>
  <c r="L10" i="6"/>
  <c r="K5" i="6"/>
  <c r="K4" i="6"/>
  <c r="K6" i="6" s="1"/>
  <c r="L3" i="6"/>
  <c r="K12" i="5" l="1"/>
  <c r="K11" i="5"/>
  <c r="K13" i="5" s="1"/>
  <c r="L10" i="5"/>
  <c r="K5" i="5"/>
  <c r="K4" i="5"/>
  <c r="K6" i="5" s="1"/>
  <c r="L3" i="5"/>
  <c r="K12" i="4" l="1"/>
  <c r="K11" i="4"/>
  <c r="K13" i="4" s="1"/>
  <c r="K5" i="4"/>
  <c r="K4" i="4"/>
  <c r="K6" i="4" s="1"/>
  <c r="K12" i="3" l="1"/>
  <c r="K11" i="3"/>
  <c r="K13" i="3" s="1"/>
  <c r="K5" i="3"/>
  <c r="K4" i="3"/>
  <c r="K6" i="3" s="1"/>
  <c r="K12" i="2" l="1"/>
  <c r="K11" i="2"/>
  <c r="K13" i="2" s="1"/>
  <c r="K5" i="2"/>
  <c r="K4" i="2"/>
  <c r="K6" i="2" s="1"/>
  <c r="B22" i="1" a="1"/>
  <c r="B22" i="1" s="1"/>
  <c r="B18" i="1"/>
  <c r="B24" i="1" s="1" a="1"/>
  <c r="B24" i="1" s="1"/>
  <c r="C17" i="1"/>
  <c r="C18" i="1" s="1"/>
  <c r="K12" i="1"/>
  <c r="K11" i="1"/>
  <c r="K13" i="1" s="1"/>
  <c r="K5" i="1"/>
  <c r="D5" i="1"/>
  <c r="E5" i="1" s="1"/>
  <c r="F5" i="1" s="1"/>
  <c r="G5" i="1" s="1"/>
  <c r="H5" i="1" s="1"/>
  <c r="C5" i="1"/>
  <c r="B5" i="1" s="1"/>
  <c r="K4" i="1"/>
  <c r="K6" i="1" s="1"/>
  <c r="D4" i="1"/>
  <c r="D10" i="1" s="1"/>
  <c r="D11" i="1" s="1"/>
  <c r="C4" i="1"/>
  <c r="B4" i="1" s="1"/>
  <c r="B10" i="1" s="1"/>
  <c r="B11" i="1" s="1"/>
  <c r="D3" i="1"/>
  <c r="E3" i="1" s="1"/>
  <c r="C3" i="1"/>
  <c r="C21" i="1" s="1"/>
  <c r="B3" i="1"/>
  <c r="D2" i="1"/>
  <c r="D19" i="1" s="1"/>
  <c r="D36" i="1" s="1"/>
  <c r="C2" i="1"/>
  <c r="C36" i="1" s="1"/>
  <c r="B2" i="1"/>
  <c r="B19" i="1" s="1"/>
  <c r="B36" i="1" s="1"/>
  <c r="B6" i="1" l="1"/>
  <c r="E21" i="1"/>
  <c r="F3" i="1"/>
  <c r="C25" i="1" a="1"/>
  <c r="C25" i="1" s="1"/>
  <c r="C22" i="1" a="1"/>
  <c r="C22" i="1" s="1"/>
  <c r="C29" i="1" s="1"/>
  <c r="C32" i="1" s="1"/>
  <c r="C35" i="1" s="1"/>
  <c r="C20" i="1" a="1"/>
  <c r="C20" i="1" s="1"/>
  <c r="C24" i="1" a="1"/>
  <c r="C24" i="1" s="1"/>
  <c r="D17" i="1"/>
  <c r="D18" i="1" s="1"/>
  <c r="C10" i="1"/>
  <c r="C11" i="1" s="1"/>
  <c r="D6" i="1"/>
  <c r="E4" i="1"/>
  <c r="E6" i="1" s="1"/>
  <c r="E2" i="1"/>
  <c r="B20" i="1" a="1"/>
  <c r="B20" i="1" s="1"/>
  <c r="D21" i="1"/>
  <c r="B25" i="1" a="1"/>
  <c r="B25" i="1" s="1"/>
  <c r="C6" i="1"/>
  <c r="B21" i="1"/>
  <c r="B29" i="1" s="1"/>
  <c r="B32" i="1" s="1"/>
  <c r="B35" i="1" s="1"/>
  <c r="F21" i="1" l="1"/>
  <c r="G3" i="1"/>
  <c r="B37" i="1"/>
  <c r="B28" i="1"/>
  <c r="B31" i="1" s="1"/>
  <c r="B34" i="1" s="1"/>
  <c r="E19" i="1"/>
  <c r="E36" i="1" s="1"/>
  <c r="F2" i="1"/>
  <c r="C28" i="1"/>
  <c r="C31" i="1" s="1"/>
  <c r="C34" i="1" s="1"/>
  <c r="E10" i="1"/>
  <c r="E11" i="1" s="1"/>
  <c r="F4" i="1"/>
  <c r="F6" i="1" s="1"/>
  <c r="E17" i="1"/>
  <c r="E18" i="1" s="1"/>
  <c r="D25" i="1" a="1"/>
  <c r="D25" i="1" s="1"/>
  <c r="D22" i="1" a="1"/>
  <c r="D22" i="1" s="1"/>
  <c r="D29" i="1" s="1"/>
  <c r="D32" i="1" s="1"/>
  <c r="D35" i="1" s="1"/>
  <c r="D24" i="1" a="1"/>
  <c r="D24" i="1" s="1"/>
  <c r="D20" i="1" a="1"/>
  <c r="D20" i="1" s="1"/>
  <c r="E22" i="1" l="1" a="1"/>
  <c r="E22" i="1" s="1"/>
  <c r="E29" i="1" s="1"/>
  <c r="E32" i="1" s="1"/>
  <c r="E35" i="1" s="1"/>
  <c r="E25" i="1" a="1"/>
  <c r="E25" i="1" s="1"/>
  <c r="F17" i="1"/>
  <c r="F18" i="1" s="1"/>
  <c r="E24" i="1" a="1"/>
  <c r="E24" i="1" s="1"/>
  <c r="E20" i="1" a="1"/>
  <c r="E20" i="1" s="1"/>
  <c r="B39" i="1"/>
  <c r="B38" i="1"/>
  <c r="B40" i="1" s="1"/>
  <c r="D37" i="1"/>
  <c r="D28" i="1"/>
  <c r="D31" i="1" s="1"/>
  <c r="D34" i="1" s="1"/>
  <c r="F10" i="1"/>
  <c r="F11" i="1" s="1"/>
  <c r="G4" i="1"/>
  <c r="G21" i="1"/>
  <c r="H3" i="1"/>
  <c r="G6" i="1"/>
  <c r="C39" i="1"/>
  <c r="C38" i="1"/>
  <c r="C40" i="1" s="1"/>
  <c r="G2" i="1"/>
  <c r="F19" i="1"/>
  <c r="F36" i="1" s="1"/>
  <c r="E37" i="1" l="1"/>
  <c r="E28" i="1"/>
  <c r="E31" i="1" s="1"/>
  <c r="E34" i="1" s="1"/>
  <c r="H2" i="1"/>
  <c r="H19" i="1" s="1"/>
  <c r="H36" i="1" s="1"/>
  <c r="G19" i="1"/>
  <c r="G36" i="1" s="1"/>
  <c r="D38" i="1"/>
  <c r="D40" i="1" s="1"/>
  <c r="D39" i="1"/>
  <c r="H6" i="1"/>
  <c r="H21" i="1"/>
  <c r="H4" i="1"/>
  <c r="H10" i="1" s="1"/>
  <c r="G10" i="1"/>
  <c r="G11" i="1" s="1"/>
  <c r="F24" i="1" a="1"/>
  <c r="F24" i="1" s="1"/>
  <c r="F22" i="1" a="1"/>
  <c r="F22" i="1" s="1"/>
  <c r="F29" i="1" s="1"/>
  <c r="F32" i="1" s="1"/>
  <c r="F35" i="1" s="1"/>
  <c r="F25" i="1" a="1"/>
  <c r="F25" i="1" s="1"/>
  <c r="F20" i="1" a="1"/>
  <c r="F20" i="1" s="1"/>
  <c r="G17" i="1"/>
  <c r="G18" i="1" s="1"/>
  <c r="H11" i="1" l="1"/>
  <c r="G25" i="1" a="1"/>
  <c r="G25" i="1" s="1"/>
  <c r="G20" i="1" a="1"/>
  <c r="G20" i="1" s="1"/>
  <c r="H17" i="1"/>
  <c r="H18" i="1" s="1"/>
  <c r="G22" i="1" a="1"/>
  <c r="G22" i="1" s="1"/>
  <c r="G29" i="1" s="1"/>
  <c r="G32" i="1" s="1"/>
  <c r="G35" i="1" s="1"/>
  <c r="G24" i="1" a="1"/>
  <c r="G24" i="1" s="1"/>
  <c r="F28" i="1"/>
  <c r="F31" i="1" s="1"/>
  <c r="F34" i="1" s="1"/>
  <c r="F37" i="1"/>
  <c r="E38" i="1"/>
  <c r="E40" i="1" s="1"/>
  <c r="E39" i="1"/>
  <c r="F38" i="1" l="1"/>
  <c r="F40" i="1" s="1"/>
  <c r="F39" i="1"/>
  <c r="H20" i="1" a="1"/>
  <c r="H20" i="1" s="1"/>
  <c r="H24" i="1" a="1"/>
  <c r="H24" i="1" s="1"/>
  <c r="H22" i="1" a="1"/>
  <c r="H22" i="1" s="1"/>
  <c r="H29" i="1" s="1"/>
  <c r="H32" i="1" s="1"/>
  <c r="H35" i="1" s="1"/>
  <c r="H25" i="1" a="1"/>
  <c r="H25" i="1" s="1"/>
  <c r="G37" i="1"/>
  <c r="G28" i="1"/>
  <c r="G31" i="1" s="1"/>
  <c r="G34" i="1" s="1"/>
  <c r="G39" i="1" l="1"/>
  <c r="G38" i="1"/>
  <c r="G40" i="1" s="1"/>
  <c r="H37" i="1"/>
  <c r="H28" i="1"/>
  <c r="H31" i="1" s="1"/>
  <c r="H34" i="1" s="1"/>
  <c r="H39" i="1" l="1"/>
  <c r="H38" i="1"/>
  <c r="H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<sst xmlns="http://schemas.openxmlformats.org/spreadsheetml/2006/main" count="319" uniqueCount="59">
  <si>
    <t>Meeting Date: - - / - - / - - - -</t>
  </si>
  <si>
    <t>N/A</t>
  </si>
  <si>
    <t>CARE</t>
  </si>
  <si>
    <t>Total Target Minutes PBD</t>
  </si>
  <si>
    <t>Required Hours Qtr.</t>
  </si>
  <si>
    <t>RN Minutes PBD</t>
  </si>
  <si>
    <t>Rostered Hours Qtr.</t>
  </si>
  <si>
    <t>Forecast Occupancy</t>
  </si>
  <si>
    <t>Hrs Variance</t>
  </si>
  <si>
    <t>Master Roster Hours (RN, EN, AIN, Leisure &amp; Therapy Assistant)</t>
  </si>
  <si>
    <t>% variance to target</t>
  </si>
  <si>
    <t>ENs Allocation at 10% of RN Target</t>
  </si>
  <si>
    <t>Wage $ Impact Qtr.</t>
  </si>
  <si>
    <t>Occupancy Impact on Published Roster</t>
  </si>
  <si>
    <t>HF: 97</t>
  </si>
  <si>
    <t>HF: 100</t>
  </si>
  <si>
    <t>HF: 99</t>
  </si>
  <si>
    <t>REGN</t>
  </si>
  <si>
    <t>Actual Occupancy</t>
  </si>
  <si>
    <t>Occupancy Variance (Forecast V Actual)</t>
  </si>
  <si>
    <t>Roster Impact on Occupancy Variance - Hours Per F/T</t>
  </si>
  <si>
    <t>Quarter to Date Care Minute Variance</t>
  </si>
  <si>
    <t>Total Care Quarter To Date Variance</t>
  </si>
  <si>
    <t>RN Quarter To Date Variance</t>
  </si>
  <si>
    <t>until 19/07/2026</t>
  </si>
  <si>
    <t>until 27/07/2026</t>
  </si>
  <si>
    <t>until 10/08/2026</t>
  </si>
  <si>
    <t>until 16/08/2026</t>
  </si>
  <si>
    <t>until 30/08/2026</t>
  </si>
  <si>
    <t>until</t>
  </si>
  <si>
    <t>Roster Period: Start</t>
  </si>
  <si>
    <t>Roster Period: End</t>
  </si>
  <si>
    <t>Total Target Hours At Actual Occupancy</t>
  </si>
  <si>
    <t>Total Published Roster Hours (need to account for % of Leisure &amp; Therapy staff)</t>
  </si>
  <si>
    <t>RN Target Hours AT Actual Occupancy</t>
  </si>
  <si>
    <t>RN Published Roster Hours (need to account for % of RSM &amp; CSM)</t>
  </si>
  <si>
    <t xml:space="preserve">Published Roster Hours - Assigned </t>
  </si>
  <si>
    <t xml:space="preserve">Published Roster Hours - Unassigned </t>
  </si>
  <si>
    <t>Published Roster Variance to Care Minute Target at Actual Occupancy</t>
  </si>
  <si>
    <t>Total Care Fortnightly Variance (Published Rostered Hours V Target Hours At Actual Occupancy)</t>
  </si>
  <si>
    <t>RN Fortnightly Variance (Published Rostered Hours V Target Hours At Actual Occupancy)</t>
  </si>
  <si>
    <t xml:space="preserve">Total Care Net Result (QTR. Total Care Minute Variance + Published Rostered Hours </t>
  </si>
  <si>
    <t xml:space="preserve">RN Net Result (QTR. Total Care Minute Variance + Published Rostered Hours </t>
  </si>
  <si>
    <t>Total Care Roster Impact</t>
  </si>
  <si>
    <t>RN Roster Impact</t>
  </si>
  <si>
    <t xml:space="preserve">Required Hours </t>
  </si>
  <si>
    <t xml:space="preserve">Rostered Hours </t>
  </si>
  <si>
    <t xml:space="preserve">Wage $ Impact </t>
  </si>
  <si>
    <t>HF: 37</t>
  </si>
  <si>
    <t>HF:36</t>
  </si>
  <si>
    <t>until 28/07/2026</t>
  </si>
  <si>
    <t>until 02/08/2026</t>
  </si>
  <si>
    <t>until 09/08/2026</t>
  </si>
  <si>
    <t>THIS IS SAME AS BD</t>
  </si>
  <si>
    <t>HF: 44</t>
  </si>
  <si>
    <t>HF 32</t>
  </si>
  <si>
    <t>26.07.26</t>
  </si>
  <si>
    <t>HF 38</t>
  </si>
  <si>
    <t>HF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</si>
</sst>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_ ;[Red]\-0.00\ "/>
    <numFmt numFmtId="165" formatCode="0.0%"/>
    <numFmt numFmtId="166" formatCode="&quot;$&quot;#,##0.00"/>
    <numFmt numFmtId="167" formatCode="&quot;$&quot;#,##0"/>
    <numFmt numFmtId="168" formatCode="0.00_);[Red]\(0.00\)"/>
    <numFmt numFmtId="169" formatCode="0.00_);\(0.00\)"/>
    <numFmt numFmtId="170" formatCode="d/mm/yyyy;@"/>
    <numFmt numFmtId="171" formatCode="#,##0.00_ ;[Red]\-#,##0.00\ 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14" fontId="0" fillId="2" borderId="1" xfId="0" applyNumberFormat="1" applyFill="1" applyBorder="1" applyAlignment="1">
      <alignment horizontal="right"/>
    </xf>
    <xf numFmtId="14" fontId="0" fillId="2" borderId="1" xfId="0" applyNumberFormat="1" applyFill="1" applyBorder="1"/>
    <xf numFmtId="164" fontId="0" fillId="0" borderId="0" xfId="0" applyNumberFormat="1"/>
    <xf numFmtId="2" fontId="0" fillId="0" borderId="3" xfId="0" applyNumberFormat="1" applyBorder="1"/>
    <xf numFmtId="165" fontId="0" fillId="0" borderId="3" xfId="0" applyNumberFormat="1" applyBorder="1"/>
    <xf numFmtId="0" fontId="0" fillId="4" borderId="0" xfId="0" applyFill="1"/>
    <xf numFmtId="164" fontId="0" fillId="4" borderId="0" xfId="0" applyNumberFormat="1" applyFill="1"/>
    <xf numFmtId="166" fontId="0" fillId="0" borderId="3" xfId="0" applyNumberFormat="1" applyBorder="1"/>
    <xf numFmtId="164" fontId="0" fillId="2" borderId="1" xfId="0" applyNumberFormat="1" applyFill="1" applyBorder="1"/>
    <xf numFmtId="164" fontId="0" fillId="2" borderId="4" xfId="0" applyNumberFormat="1" applyFill="1" applyBorder="1"/>
    <xf numFmtId="164" fontId="0" fillId="5" borderId="4" xfId="0" applyNumberFormat="1" applyFill="1" applyBorder="1"/>
    <xf numFmtId="164" fontId="0" fillId="5" borderId="1" xfId="0" applyNumberFormat="1" applyFill="1" applyBorder="1"/>
    <xf numFmtId="164" fontId="3" fillId="0" borderId="0" xfId="0" applyNumberFormat="1" applyFont="1"/>
    <xf numFmtId="0" fontId="2" fillId="2" borderId="5" xfId="0" applyFont="1" applyFill="1" applyBorder="1"/>
    <xf numFmtId="14" fontId="2" fillId="2" borderId="6" xfId="0" applyNumberFormat="1" applyFont="1" applyFill="1" applyBorder="1" applyAlignment="1">
      <alignment wrapText="1"/>
    </xf>
    <xf numFmtId="0" fontId="2" fillId="2" borderId="7" xfId="0" applyFont="1" applyFill="1" applyBorder="1"/>
    <xf numFmtId="14" fontId="2" fillId="2" borderId="6" xfId="0" applyNumberFormat="1" applyFont="1" applyFill="1" applyBorder="1" applyAlignment="1">
      <alignment horizontal="right" wrapText="1"/>
    </xf>
    <xf numFmtId="164" fontId="0" fillId="6" borderId="1" xfId="0" applyNumberFormat="1" applyFill="1" applyBorder="1"/>
    <xf numFmtId="164" fontId="2" fillId="7" borderId="0" xfId="0" applyNumberFormat="1" applyFont="1" applyFill="1"/>
    <xf numFmtId="166" fontId="2" fillId="0" borderId="0" xfId="0" applyNumberFormat="1" applyFont="1"/>
    <xf numFmtId="167" fontId="2" fillId="0" borderId="0" xfId="0" applyNumberFormat="1" applyFont="1"/>
    <xf numFmtId="14" fontId="0" fillId="0" borderId="3" xfId="0" applyNumberFormat="1" applyBorder="1"/>
    <xf numFmtId="14" fontId="0" fillId="5" borderId="1" xfId="0" applyNumberFormat="1" applyFill="1" applyBorder="1"/>
    <xf numFmtId="2" fontId="0" fillId="0" borderId="0" xfId="0" applyNumberFormat="1"/>
    <xf numFmtId="2" fontId="0" fillId="4" borderId="0" xfId="0" applyNumberFormat="1" applyFill="1"/>
    <xf numFmtId="2" fontId="0" fillId="5" borderId="1" xfId="0" applyNumberFormat="1" applyFill="1" applyBorder="1"/>
    <xf numFmtId="168" fontId="0" fillId="0" borderId="0" xfId="0" applyNumberFormat="1"/>
    <xf numFmtId="168" fontId="0" fillId="5" borderId="4" xfId="0" applyNumberFormat="1" applyFill="1" applyBorder="1"/>
    <xf numFmtId="169" fontId="0" fillId="5" borderId="1" xfId="0" applyNumberFormat="1" applyFill="1" applyBorder="1"/>
    <xf numFmtId="170" fontId="3" fillId="0" borderId="0" xfId="0" applyNumberFormat="1" applyFont="1"/>
    <xf numFmtId="0" fontId="2" fillId="2" borderId="8" xfId="0" applyFont="1" applyFill="1" applyBorder="1"/>
    <xf numFmtId="14" fontId="2" fillId="2" borderId="9" xfId="0" applyNumberFormat="1" applyFont="1" applyFill="1" applyBorder="1" applyAlignment="1">
      <alignment wrapText="1"/>
    </xf>
    <xf numFmtId="14" fontId="2" fillId="2" borderId="10" xfId="0" applyNumberFormat="1" applyFont="1" applyFill="1" applyBorder="1" applyAlignment="1">
      <alignment wrapText="1"/>
    </xf>
    <xf numFmtId="14" fontId="2" fillId="2" borderId="11" xfId="0" applyNumberFormat="1" applyFont="1" applyFill="1" applyBorder="1" applyAlignment="1">
      <alignment wrapText="1"/>
    </xf>
    <xf numFmtId="0" fontId="2" fillId="2" borderId="12" xfId="0" applyFont="1" applyFill="1" applyBorder="1"/>
    <xf numFmtId="14" fontId="2" fillId="2" borderId="13" xfId="0" applyNumberFormat="1" applyFont="1" applyFill="1" applyBorder="1" applyAlignment="1">
      <alignment horizontal="right" wrapText="1"/>
    </xf>
    <xf numFmtId="14" fontId="2" fillId="2" borderId="14" xfId="0" applyNumberFormat="1" applyFont="1" applyFill="1" applyBorder="1" applyAlignment="1">
      <alignment horizontal="right" wrapText="1"/>
    </xf>
    <xf numFmtId="14" fontId="2" fillId="2" borderId="15" xfId="0" applyNumberFormat="1" applyFont="1" applyFill="1" applyBorder="1" applyAlignment="1">
      <alignment horizontal="right" wrapText="1"/>
    </xf>
    <xf numFmtId="2" fontId="0" fillId="8" borderId="1" xfId="0" applyNumberFormat="1" applyFill="1" applyBorder="1"/>
    <xf numFmtId="168" fontId="2" fillId="7" borderId="0" xfId="0" applyNumberFormat="1" applyFont="1" applyFill="1"/>
    <xf numFmtId="14" fontId="0" fillId="5" borderId="1" xfId="0" applyNumberFormat="1" applyFill="1" applyBorder="1" applyAlignment="1">
      <alignment horizontal="right"/>
    </xf>
    <xf numFmtId="168" fontId="0" fillId="5" borderId="1" xfId="0" applyNumberFormat="1" applyFill="1" applyBorder="1"/>
    <xf numFmtId="10" fontId="0" fillId="0" borderId="0" xfId="1" applyNumberFormat="1" applyFon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71" fontId="0" fillId="5" borderId="4" xfId="0" applyNumberFormat="1" applyFill="1" applyBorder="1"/>
    <xf numFmtId="171" fontId="0" fillId="5" borderId="1" xfId="0" applyNumberFormat="1" applyFill="1" applyBorder="1"/>
    <xf numFmtId="2" fontId="2" fillId="0" borderId="0" xfId="0" applyNumberFormat="1" applyFont="1"/>
    <xf numFmtId="168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  <xf numFmtId="164" fontId="0" fillId="9" borderId="1" xfId="0" applyNumberFormat="1" applyFill="1" applyBorder="1"/>
    <xf numFmtId="164" fontId="0" fillId="10" borderId="0" xfId="0" applyNumberFormat="1" applyFill="1"/>
    <xf numFmtId="0" fontId="0" fillId="3" borderId="2" xfId="0" applyFill="1" applyBorder="1" applyAlignment="1">
      <alignment horizontal="center"/>
    </xf>
    <xf numFmtId="2" fontId="0" fillId="11" borderId="0" xfId="0" applyNumberFormat="1" applyFill="1"/>
    <xf numFmtId="2" fontId="5" fillId="8" borderId="1" xfId="0" applyNumberFormat="1" applyFont="1" applyFill="1" applyBorder="1"/>
    <xf numFmtId="0" fontId="0" fillId="11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18</xdr:row>
      <xdr:rowOff>85725</xdr:rowOff>
    </xdr:from>
    <xdr:to>
      <xdr:col>2</xdr:col>
      <xdr:colOff>666750</xdr:colOff>
      <xdr:row>27</xdr:row>
      <xdr:rowOff>85725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68C9A833-4E1F-3FF0-8077-2C4C5FC2EC81}"/>
            </a:ext>
          </a:extLst>
        </xdr:cNvPr>
        <xdr:cNvCxnSpPr/>
      </xdr:nvCxnSpPr>
      <xdr:spPr>
        <a:xfrm flipV="1">
          <a:off x="7953375" y="3419475"/>
          <a:ext cx="485775" cy="1695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419100</xdr:colOff>
      <xdr:row>19</xdr:row>
      <xdr:rowOff>95250</xdr:rowOff>
    </xdr:from>
    <xdr:to>
      <xdr:col>2</xdr:col>
      <xdr:colOff>885825</xdr:colOff>
      <xdr:row>27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A0CEA70-5354-69B3-6297-E76D3398F370}"/>
            </a:ext>
          </a:extLst>
        </xdr:cNvPr>
        <xdr:cNvCxnSpPr/>
      </xdr:nvCxnSpPr>
      <xdr:spPr>
        <a:xfrm flipV="1">
          <a:off x="8191500" y="3619500"/>
          <a:ext cx="466725" cy="1504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hiddoncomau.sharepoint.com/sites/ResidentialCare/Shared%20Documents/Master%20Roster%20and%20Mandated%20Care%20Minutes/Master%20Template%20July26%20-%20Sept%2026/Beaudesert%20Master%20Roster%20Template%20-%20July%20-%20Sept%2026.xlsx" TargetMode="External"/><Relationship Id="rId1" Type="http://schemas.openxmlformats.org/officeDocument/2006/relationships/externalLinkPath" Target="https://whiddoncomau.sharepoint.com/sites/ResidentialCare/Shared%20Documents/Master%20Roster%20and%20Mandated%20Care%20Minutes/Master%20Template%20July26%20-%20Sept%2026/Beaudesert%20Master%20Roster%20Template%20-%20July%20-%20Sept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ontract hours"/>
      <sheetName val="Master Roster"/>
      <sheetName val="Optimal Roster"/>
      <sheetName val="Care Minute reivew"/>
      <sheetName val="Gantt Chart"/>
      <sheetName val="Mandated Care Min."/>
      <sheetName val="Roster_Data"/>
      <sheetName val="Variables"/>
      <sheetName val="notes"/>
      <sheetName val="Beaudesert Master Roster Templa"/>
    </sheetNames>
    <sheetDataSet>
      <sheetData sheetId="0">
        <row r="24">
          <cell r="C24">
            <v>5591.5</v>
          </cell>
        </row>
        <row r="26">
          <cell r="O26">
            <v>101</v>
          </cell>
        </row>
        <row r="32">
          <cell r="B32">
            <v>45.07</v>
          </cell>
        </row>
        <row r="34">
          <cell r="B34">
            <v>222.02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BD: Beaudesert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3FBC-D907-4877-9526-39FF5A5392C9}">
  <dimension ref="A1:K40"/>
  <sheetViews>
    <sheetView workbookViewId="0">
      <selection activeCell="C13" sqref="C13"/>
    </sheetView>
  </sheetViews>
  <sheetFormatPr defaultRowHeight="14.45"/>
  <cols>
    <col min="1" max="1" width="83.7109375" bestFit="1" customWidth="1"/>
    <col min="2" max="2" width="27.5703125" bestFit="1" customWidth="1"/>
    <col min="3" max="3" width="23.5703125" style="4" customWidth="1"/>
    <col min="4" max="5" width="24" customWidth="1"/>
    <col min="6" max="6" width="23.42578125" customWidth="1"/>
    <col min="7" max="7" width="24.42578125" customWidth="1"/>
    <col min="8" max="8" width="24.140625" customWidth="1"/>
    <col min="10" max="10" width="18" bestFit="1" customWidth="1"/>
    <col min="11" max="11" width="10.42578125" bestFit="1" customWidth="1"/>
  </cols>
  <sheetData>
    <row r="1" spans="1:11" ht="15" thickBot="1">
      <c r="A1" s="1" t="s">
        <v>0</v>
      </c>
      <c r="B1" s="2" t="s">
        <v>1</v>
      </c>
      <c r="C1" s="2">
        <v>46231</v>
      </c>
      <c r="D1" s="3"/>
      <c r="E1" s="3"/>
      <c r="F1" s="3"/>
      <c r="G1" s="3"/>
      <c r="H1" s="3"/>
      <c r="J1" s="56" t="s">
        <v>2</v>
      </c>
      <c r="K1" s="56"/>
    </row>
    <row r="2" spans="1:11">
      <c r="A2" t="s">
        <v>3</v>
      </c>
      <c r="B2" s="4">
        <f>C2</f>
        <v>222.02</v>
      </c>
      <c r="C2" s="4">
        <f>[1]Summary!B34</f>
        <v>222.02</v>
      </c>
      <c r="D2" s="4">
        <f>[1]Summary!B34</f>
        <v>222.02</v>
      </c>
      <c r="E2" s="4">
        <f t="shared" ref="E2:H5" si="0">D2</f>
        <v>222.02</v>
      </c>
      <c r="F2" s="4">
        <f t="shared" si="0"/>
        <v>222.02</v>
      </c>
      <c r="G2" s="4">
        <f t="shared" si="0"/>
        <v>222.02</v>
      </c>
      <c r="H2" s="4">
        <f t="shared" si="0"/>
        <v>222.02</v>
      </c>
      <c r="J2" s="5" t="s">
        <v>4</v>
      </c>
      <c r="K2" s="5">
        <v>0</v>
      </c>
    </row>
    <row r="3" spans="1:11">
      <c r="A3" t="s">
        <v>5</v>
      </c>
      <c r="B3" s="4">
        <f>C3</f>
        <v>45.07</v>
      </c>
      <c r="C3" s="4">
        <f>[1]Summary!B32</f>
        <v>45.07</v>
      </c>
      <c r="D3" s="4">
        <f>[1]Summary!B32</f>
        <v>45.07</v>
      </c>
      <c r="E3" s="4">
        <f t="shared" si="0"/>
        <v>45.07</v>
      </c>
      <c r="F3" s="4">
        <f t="shared" si="0"/>
        <v>45.07</v>
      </c>
      <c r="G3" s="4">
        <f t="shared" si="0"/>
        <v>45.07</v>
      </c>
      <c r="H3" s="4">
        <f t="shared" si="0"/>
        <v>45.07</v>
      </c>
      <c r="J3" s="5" t="s">
        <v>6</v>
      </c>
      <c r="K3" s="5">
        <v>0</v>
      </c>
    </row>
    <row r="4" spans="1:11">
      <c r="A4" t="s">
        <v>7</v>
      </c>
      <c r="B4" s="4">
        <f>C4</f>
        <v>101</v>
      </c>
      <c r="C4" s="4">
        <f>[1]Summary!O26</f>
        <v>101</v>
      </c>
      <c r="D4" s="4">
        <f>[1]Summary!O26</f>
        <v>101</v>
      </c>
      <c r="E4" s="4">
        <f t="shared" si="0"/>
        <v>101</v>
      </c>
      <c r="F4" s="4">
        <f t="shared" si="0"/>
        <v>101</v>
      </c>
      <c r="G4" s="4">
        <f t="shared" si="0"/>
        <v>101</v>
      </c>
      <c r="H4" s="4">
        <f t="shared" si="0"/>
        <v>101</v>
      </c>
      <c r="J4" s="5" t="s">
        <v>8</v>
      </c>
      <c r="K4" s="5">
        <f>K3-K2</f>
        <v>0</v>
      </c>
    </row>
    <row r="5" spans="1:11">
      <c r="A5" t="s">
        <v>9</v>
      </c>
      <c r="B5" s="4">
        <f>C5</f>
        <v>5591.5</v>
      </c>
      <c r="C5" s="55">
        <f>[1]Summary!C24</f>
        <v>5591.5</v>
      </c>
      <c r="D5" s="4">
        <f>[1]Summary!C24</f>
        <v>5591.5</v>
      </c>
      <c r="E5" s="4">
        <f t="shared" si="0"/>
        <v>5591.5</v>
      </c>
      <c r="F5" s="4">
        <f t="shared" si="0"/>
        <v>5591.5</v>
      </c>
      <c r="G5" s="4">
        <f t="shared" si="0"/>
        <v>5591.5</v>
      </c>
      <c r="H5" s="4">
        <f t="shared" si="0"/>
        <v>5591.5</v>
      </c>
      <c r="J5" s="5" t="s">
        <v>10</v>
      </c>
      <c r="K5" s="6" t="e">
        <f>(K3-K2)/K2</f>
        <v>#DIV/0!</v>
      </c>
    </row>
    <row r="6" spans="1:11">
      <c r="A6" s="7" t="s">
        <v>11</v>
      </c>
      <c r="B6" s="8">
        <f>(B3*10%)*B4*14/60</f>
        <v>106.21496666666668</v>
      </c>
      <c r="C6" s="8">
        <f>(C3*10%)*C4*14/60</f>
        <v>106.21496666666668</v>
      </c>
      <c r="D6" s="8">
        <f t="shared" ref="D6:H6" si="1">(D3*10%)*D4*14/60</f>
        <v>106.21496666666668</v>
      </c>
      <c r="E6" s="8">
        <f t="shared" si="1"/>
        <v>106.21496666666668</v>
      </c>
      <c r="F6" s="8">
        <f t="shared" si="1"/>
        <v>106.21496666666668</v>
      </c>
      <c r="G6" s="8">
        <f t="shared" si="1"/>
        <v>106.21496666666668</v>
      </c>
      <c r="H6" s="8">
        <f t="shared" si="1"/>
        <v>106.21496666666668</v>
      </c>
      <c r="J6" s="5" t="s">
        <v>12</v>
      </c>
      <c r="K6" s="9">
        <f>K4*45</f>
        <v>0</v>
      </c>
    </row>
    <row r="7" spans="1:11">
      <c r="B7" s="4"/>
      <c r="D7" s="4"/>
      <c r="E7" s="4"/>
      <c r="F7" s="4"/>
      <c r="G7" s="4"/>
      <c r="H7" s="4"/>
    </row>
    <row r="8" spans="1:11" ht="15" thickBot="1">
      <c r="A8" s="1" t="s">
        <v>13</v>
      </c>
      <c r="B8" s="4" t="s">
        <v>14</v>
      </c>
      <c r="C8" s="4" t="s">
        <v>15</v>
      </c>
      <c r="D8" s="4" t="s">
        <v>16</v>
      </c>
      <c r="E8" s="4" t="s">
        <v>16</v>
      </c>
      <c r="F8" s="4" t="s">
        <v>16</v>
      </c>
      <c r="G8" s="4"/>
      <c r="H8" s="4"/>
      <c r="J8" s="56" t="s">
        <v>17</v>
      </c>
      <c r="K8" s="56"/>
    </row>
    <row r="9" spans="1:11" ht="15" thickBot="1">
      <c r="A9" t="s">
        <v>18</v>
      </c>
      <c r="B9" s="10">
        <v>97</v>
      </c>
      <c r="C9" s="10">
        <v>100</v>
      </c>
      <c r="D9" s="10">
        <v>99</v>
      </c>
      <c r="E9" s="10">
        <v>100</v>
      </c>
      <c r="F9" s="10">
        <v>101</v>
      </c>
      <c r="G9" s="10"/>
      <c r="H9" s="10"/>
      <c r="J9" s="5" t="s">
        <v>4</v>
      </c>
      <c r="K9" s="5">
        <v>0</v>
      </c>
    </row>
    <row r="10" spans="1:11">
      <c r="A10" t="s">
        <v>19</v>
      </c>
      <c r="B10" s="4">
        <f>B9-B4</f>
        <v>-4</v>
      </c>
      <c r="C10" s="4">
        <f>C9-C4</f>
        <v>-1</v>
      </c>
      <c r="D10" s="4">
        <f t="shared" ref="D10:H10" si="2">D9-D4</f>
        <v>-2</v>
      </c>
      <c r="E10" s="4">
        <f t="shared" si="2"/>
        <v>-1</v>
      </c>
      <c r="F10" s="4">
        <f>F9-F4</f>
        <v>0</v>
      </c>
      <c r="G10" s="4">
        <f t="shared" si="2"/>
        <v>-101</v>
      </c>
      <c r="H10" s="4">
        <f t="shared" si="2"/>
        <v>-101</v>
      </c>
      <c r="J10" s="5" t="s">
        <v>6</v>
      </c>
      <c r="K10" s="5">
        <v>0</v>
      </c>
    </row>
    <row r="11" spans="1:11">
      <c r="A11" t="s">
        <v>20</v>
      </c>
      <c r="B11" s="4">
        <f>B10*B2*14/60</f>
        <v>-207.21866666666668</v>
      </c>
      <c r="C11" s="4">
        <f>C10*C2*14/60</f>
        <v>-51.80466666666667</v>
      </c>
      <c r="D11" s="4">
        <f t="shared" ref="D11:H11" si="3">D10*D2*14/60</f>
        <v>-103.60933333333334</v>
      </c>
      <c r="E11" s="4">
        <f t="shared" si="3"/>
        <v>-51.80466666666667</v>
      </c>
      <c r="F11" s="4">
        <f t="shared" si="3"/>
        <v>0</v>
      </c>
      <c r="G11" s="4">
        <f t="shared" si="3"/>
        <v>-5232.271333333334</v>
      </c>
      <c r="H11" s="4">
        <f t="shared" si="3"/>
        <v>-5232.271333333334</v>
      </c>
      <c r="J11" s="5" t="s">
        <v>8</v>
      </c>
      <c r="K11" s="5">
        <f>K10-K9</f>
        <v>0</v>
      </c>
    </row>
    <row r="12" spans="1:11">
      <c r="B12" s="4"/>
      <c r="D12" s="4"/>
      <c r="E12" s="4"/>
      <c r="F12" s="4"/>
      <c r="G12" s="4"/>
      <c r="H12" s="4"/>
      <c r="J12" s="5" t="s">
        <v>10</v>
      </c>
      <c r="K12" s="6" t="e">
        <f>(K10-K9)/K9</f>
        <v>#DIV/0!</v>
      </c>
    </row>
    <row r="13" spans="1:11" ht="15" thickBot="1">
      <c r="A13" s="1" t="s">
        <v>21</v>
      </c>
      <c r="B13" s="4"/>
      <c r="D13" s="4"/>
      <c r="E13" s="4"/>
      <c r="F13" s="4"/>
      <c r="G13" s="4"/>
      <c r="H13" s="4"/>
      <c r="J13" s="5" t="s">
        <v>12</v>
      </c>
      <c r="K13" s="9">
        <f>K11*45</f>
        <v>0</v>
      </c>
    </row>
    <row r="14" spans="1:11" ht="15" thickBot="1">
      <c r="A14" t="s">
        <v>22</v>
      </c>
      <c r="B14" s="11">
        <v>18.3</v>
      </c>
      <c r="C14" s="11">
        <v>-84.1</v>
      </c>
      <c r="D14" s="12">
        <v>-98.9</v>
      </c>
      <c r="E14" s="12">
        <v>-8.08</v>
      </c>
      <c r="F14" s="12"/>
      <c r="G14" s="12"/>
      <c r="H14" s="11"/>
    </row>
    <row r="15" spans="1:11" ht="15" thickBot="1">
      <c r="A15" t="s">
        <v>23</v>
      </c>
      <c r="B15" s="10">
        <v>-51.3</v>
      </c>
      <c r="C15" s="10">
        <v>-58.6</v>
      </c>
      <c r="D15" s="13">
        <v>-186</v>
      </c>
      <c r="E15" s="13">
        <v>-79.099999999999994</v>
      </c>
      <c r="F15" s="13"/>
      <c r="G15" s="13"/>
      <c r="H15" s="10"/>
    </row>
    <row r="16" spans="1:11" ht="15" thickBot="1">
      <c r="B16" s="14" t="s">
        <v>24</v>
      </c>
      <c r="C16" s="14" t="s">
        <v>25</v>
      </c>
      <c r="D16" s="14" t="s">
        <v>26</v>
      </c>
      <c r="E16" s="14" t="s">
        <v>27</v>
      </c>
      <c r="F16" s="14" t="s">
        <v>28</v>
      </c>
      <c r="G16" s="14" t="s">
        <v>29</v>
      </c>
      <c r="H16" s="14" t="s">
        <v>29</v>
      </c>
    </row>
    <row r="17" spans="1:8">
      <c r="A17" s="15" t="s">
        <v>30</v>
      </c>
      <c r="B17" s="16">
        <v>46209</v>
      </c>
      <c r="C17" s="16">
        <f>B18+1</f>
        <v>46223</v>
      </c>
      <c r="D17" s="16">
        <f t="shared" ref="D17:H17" si="4">C18+1</f>
        <v>46237</v>
      </c>
      <c r="E17" s="16">
        <f t="shared" si="4"/>
        <v>46251</v>
      </c>
      <c r="F17" s="16">
        <f t="shared" si="4"/>
        <v>46265</v>
      </c>
      <c r="G17" s="16">
        <f t="shared" si="4"/>
        <v>46279</v>
      </c>
      <c r="H17" s="16">
        <f t="shared" si="4"/>
        <v>46293</v>
      </c>
    </row>
    <row r="18" spans="1:8" ht="15" thickBot="1">
      <c r="A18" s="17" t="s">
        <v>31</v>
      </c>
      <c r="B18" s="18">
        <f>B17+13</f>
        <v>46222</v>
      </c>
      <c r="C18" s="18">
        <f>C17+13</f>
        <v>46236</v>
      </c>
      <c r="D18" s="18">
        <f t="shared" ref="D18:H18" si="5">D17+13</f>
        <v>46250</v>
      </c>
      <c r="E18" s="18">
        <f t="shared" si="5"/>
        <v>46264</v>
      </c>
      <c r="F18" s="18">
        <f t="shared" si="5"/>
        <v>46278</v>
      </c>
      <c r="G18" s="18">
        <f t="shared" si="5"/>
        <v>46292</v>
      </c>
      <c r="H18" s="18">
        <f t="shared" si="5"/>
        <v>46306</v>
      </c>
    </row>
    <row r="19" spans="1:8" ht="15" thickBot="1">
      <c r="A19" t="s">
        <v>32</v>
      </c>
      <c r="B19" s="4">
        <f>(B9*B2*14)/60</f>
        <v>5025.0526666666674</v>
      </c>
      <c r="C19" s="4">
        <f>(C9*C2*14)/60</f>
        <v>5180.4666666666662</v>
      </c>
      <c r="D19" s="4">
        <f t="shared" ref="D19:H19" si="6">(D9*D2*14)/60</f>
        <v>5128.6619999999994</v>
      </c>
      <c r="E19" s="4">
        <f t="shared" si="6"/>
        <v>5180.4666666666662</v>
      </c>
      <c r="F19" s="4">
        <f>(F9*F2*14)/60</f>
        <v>5232.271333333334</v>
      </c>
      <c r="G19" s="4">
        <f t="shared" si="6"/>
        <v>0</v>
      </c>
      <c r="H19" s="4">
        <f t="shared" si="6"/>
        <v>0</v>
      </c>
    </row>
    <row r="20" spans="1:8" ht="15" thickBot="1">
      <c r="A20" t="s">
        <v>33</v>
      </c>
      <c r="B20" s="19" t="e" cm="1">
        <f t="array" ref="B20">_xlfn.XLOOKUP(Site_Name&amp;"-"&amp;B$18,[1]!Roster_Data[Location]&amp;"-"&amp;[1]!Roster_Data[Source Date],[1]!Roster_Data[Total],0)</f>
        <v>#REF!</v>
      </c>
      <c r="C20" s="54" t="e" cm="1">
        <f t="array" ref="C20">_xlfn.XLOOKUP(Site_Name&amp;"-"&amp;C$18,[1]!Roster_Data[Location]&amp;"-"&amp;[1]!Roster_Data[Source Date],[1]!Roster_Data[Total],0)</f>
        <v>#REF!</v>
      </c>
      <c r="D20" s="19" t="e" cm="1">
        <f t="array" ref="D20">_xlfn.XLOOKUP(Site_Name&amp;"-"&amp;D$18,[1]!Roster_Data[Location]&amp;"-"&amp;[1]!Roster_Data[Source Date],[1]!Roster_Data[Total],0)</f>
        <v>#REF!</v>
      </c>
      <c r="E20" s="19" t="e" cm="1">
        <f t="array" ref="E20">_xlfn.XLOOKUP(Site_Name&amp;"-"&amp;E$18,[1]!Roster_Data[Location]&amp;"-"&amp;[1]!Roster_Data[Source Date],[1]!Roster_Data[Total],0)</f>
        <v>#REF!</v>
      </c>
      <c r="F20" s="19" t="e" cm="1">
        <f t="array" ref="F20">_xlfn.XLOOKUP(Site_Name&amp;"-"&amp;F$18,[1]!Roster_Data[Location]&amp;"-"&amp;[1]!Roster_Data[Source Date],[1]!Roster_Data[Total],0)</f>
        <v>#REF!</v>
      </c>
      <c r="G20" s="19" t="e" cm="1">
        <f t="array" ref="G20">_xlfn.XLOOKUP(Site_Name&amp;"-"&amp;G$18,[1]!Roster_Data[Location]&amp;"-"&amp;[1]!Roster_Data[Source Date],[1]!Roster_Data[Total],0)</f>
        <v>#REF!</v>
      </c>
      <c r="H20" s="19" t="e" cm="1">
        <f t="array" ref="H20">_xlfn.XLOOKUP(Site_Name&amp;"-"&amp;H$18,[1]!Roster_Data[Location]&amp;"-"&amp;[1]!Roster_Data[Source Date],[1]!Roster_Data[Total],0)</f>
        <v>#REF!</v>
      </c>
    </row>
    <row r="21" spans="1:8" ht="15" thickBot="1">
      <c r="A21" t="s">
        <v>34</v>
      </c>
      <c r="B21" s="4">
        <f>(B9*B3*14)/60</f>
        <v>1020.0843333333333</v>
      </c>
      <c r="C21" s="4">
        <f>(C9*C3*14)/60</f>
        <v>1051.6333333333334</v>
      </c>
      <c r="D21" s="4">
        <f t="shared" ref="D21:H21" si="7">(D9*D3*14)/60</f>
        <v>1041.117</v>
      </c>
      <c r="E21" s="4">
        <f t="shared" si="7"/>
        <v>1051.6333333333334</v>
      </c>
      <c r="F21" s="4">
        <f t="shared" si="7"/>
        <v>1062.1496666666667</v>
      </c>
      <c r="G21" s="4">
        <f t="shared" si="7"/>
        <v>0</v>
      </c>
      <c r="H21" s="4">
        <f t="shared" si="7"/>
        <v>0</v>
      </c>
    </row>
    <row r="22" spans="1:8" ht="15" thickBot="1">
      <c r="A22" t="s">
        <v>35</v>
      </c>
      <c r="B22" s="19" t="e" cm="1">
        <f t="array" ref="B22">_xlfn.XLOOKUP(Site_Name&amp;"-"&amp;B$18,[1]!Roster_Data[Location]&amp;"-"&amp;[1]!Roster_Data[Source Date],[1]!Roster_Data[Total RN],0)</f>
        <v>#REF!</v>
      </c>
      <c r="C22" s="54" t="e" cm="1">
        <f t="array" ref="C22">_xlfn.XLOOKUP(Site_Name&amp;"-"&amp;C$18,[1]!Roster_Data[Location]&amp;"-"&amp;[1]!Roster_Data[Source Date],[1]!Roster_Data[Total RN],0)</f>
        <v>#REF!</v>
      </c>
      <c r="D22" s="19" t="e" cm="1">
        <f t="array" ref="D22">_xlfn.XLOOKUP(Site_Name&amp;"-"&amp;D$18,[1]!Roster_Data[Location]&amp;"-"&amp;[1]!Roster_Data[Source Date],[1]!Roster_Data[Total RN],0)</f>
        <v>#REF!</v>
      </c>
      <c r="E22" s="19" t="e" cm="1">
        <f t="array" ref="E22">_xlfn.XLOOKUP(Site_Name&amp;"-"&amp;E$18,[1]!Roster_Data[Location]&amp;"-"&amp;[1]!Roster_Data[Source Date],[1]!Roster_Data[Total RN],0)</f>
        <v>#REF!</v>
      </c>
      <c r="F22" s="19" t="e" cm="1">
        <f t="array" ref="F22">_xlfn.XLOOKUP(Site_Name&amp;"-"&amp;F$18,[1]!Roster_Data[Location]&amp;"-"&amp;[1]!Roster_Data[Source Date],[1]!Roster_Data[Total RN],0)</f>
        <v>#REF!</v>
      </c>
      <c r="G22" s="19" t="e" cm="1">
        <f t="array" ref="G22">_xlfn.XLOOKUP(Site_Name&amp;"-"&amp;G$18,[1]!Roster_Data[Location]&amp;"-"&amp;[1]!Roster_Data[Source Date],[1]!Roster_Data[Total RN],0)</f>
        <v>#REF!</v>
      </c>
      <c r="H22" s="19" t="e" cm="1">
        <f t="array" ref="H22">_xlfn.XLOOKUP(Site_Name&amp;"-"&amp;H$18,[1]!Roster_Data[Location]&amp;"-"&amp;[1]!Roster_Data[Source Date],[1]!Roster_Data[Total RN],0)</f>
        <v>#REF!</v>
      </c>
    </row>
    <row r="23" spans="1:8" ht="15" thickBot="1">
      <c r="B23" s="4"/>
      <c r="D23" s="4"/>
      <c r="E23" s="4"/>
      <c r="F23" s="4"/>
      <c r="G23" s="4"/>
      <c r="H23" s="4"/>
    </row>
    <row r="24" spans="1:8" ht="15" thickBot="1">
      <c r="A24" t="s">
        <v>36</v>
      </c>
      <c r="B24" s="19" t="e" cm="1">
        <f t="array" ref="B24">_xlfn.XLOOKUP(Site_Name&amp;"-"&amp;B$18,[1]!Roster_Data[Location]&amp;"-"&amp;[1]!Roster_Data[Source Date],[1]!Roster_Data[Total Assigned],0)</f>
        <v>#REF!</v>
      </c>
      <c r="C24" s="54" t="e" cm="1">
        <f t="array" ref="C24">_xlfn.XLOOKUP(Site_Name&amp;"-"&amp;C$18,[1]!Roster_Data[Location]&amp;"-"&amp;[1]!Roster_Data[Source Date],[1]!Roster_Data[Total Assigned],0)</f>
        <v>#REF!</v>
      </c>
      <c r="D24" s="19" t="e" cm="1">
        <f t="array" ref="D24">_xlfn.XLOOKUP(Site_Name&amp;"-"&amp;D$18,[1]!Roster_Data[Location]&amp;"-"&amp;[1]!Roster_Data[Source Date],[1]!Roster_Data[Total Assigned],0)</f>
        <v>#REF!</v>
      </c>
      <c r="E24" s="19" t="e" cm="1">
        <f t="array" ref="E24">_xlfn.XLOOKUP(Site_Name&amp;"-"&amp;E$18,[1]!Roster_Data[Location]&amp;"-"&amp;[1]!Roster_Data[Source Date],[1]!Roster_Data[Total Assigned],0)</f>
        <v>#REF!</v>
      </c>
      <c r="F24" s="19" t="e" cm="1">
        <f t="array" ref="F24">_xlfn.XLOOKUP(Site_Name&amp;"-"&amp;F$18,[1]!Roster_Data[Location]&amp;"-"&amp;[1]!Roster_Data[Source Date],[1]!Roster_Data[Total Assigned],0)</f>
        <v>#REF!</v>
      </c>
      <c r="G24" s="19" t="e" cm="1">
        <f t="array" ref="G24">_xlfn.XLOOKUP(Site_Name&amp;"-"&amp;G$18,[1]!Roster_Data[Location]&amp;"-"&amp;[1]!Roster_Data[Source Date],[1]!Roster_Data[Total Assigned],0)</f>
        <v>#REF!</v>
      </c>
      <c r="H24" s="19" t="e" cm="1">
        <f t="array" ref="H24">_xlfn.XLOOKUP(Site_Name&amp;"-"&amp;H$18,[1]!Roster_Data[Location]&amp;"-"&amp;[1]!Roster_Data[Source Date],[1]!Roster_Data[Total Assigned],0)</f>
        <v>#REF!</v>
      </c>
    </row>
    <row r="25" spans="1:8" ht="15" thickBot="1">
      <c r="A25" t="s">
        <v>37</v>
      </c>
      <c r="B25" s="19" t="e" cm="1">
        <f t="array" ref="B25">_xlfn.XLOOKUP(Site_Name&amp;"-"&amp;B$18,[1]!Roster_Data[Location]&amp;"-"&amp;[1]!Roster_Data[Source Date],[1]!Roster_Data[Total Unassigned],0)</f>
        <v>#REF!</v>
      </c>
      <c r="C25" s="54" t="e" cm="1">
        <f t="array" ref="C25">_xlfn.XLOOKUP(Site_Name&amp;"-"&amp;C$18,[1]!Roster_Data[Location]&amp;"-"&amp;[1]!Roster_Data[Source Date],[1]!Roster_Data[Total Unassigned],0)</f>
        <v>#REF!</v>
      </c>
      <c r="D25" s="19" t="e" cm="1">
        <f t="array" ref="D25">_xlfn.XLOOKUP(Site_Name&amp;"-"&amp;D$18,[1]!Roster_Data[Location]&amp;"-"&amp;[1]!Roster_Data[Source Date],[1]!Roster_Data[Total Unassigned],0)</f>
        <v>#REF!</v>
      </c>
      <c r="E25" s="19" t="e" cm="1">
        <f t="array" ref="E25">_xlfn.XLOOKUP(Site_Name&amp;"-"&amp;E$18,[1]!Roster_Data[Location]&amp;"-"&amp;[1]!Roster_Data[Source Date],[1]!Roster_Data[Total Unassigned],0)</f>
        <v>#REF!</v>
      </c>
      <c r="F25" s="19" t="e" cm="1">
        <f t="array" ref="F25">_xlfn.XLOOKUP(Site_Name&amp;"-"&amp;F$18,[1]!Roster_Data[Location]&amp;"-"&amp;[1]!Roster_Data[Source Date],[1]!Roster_Data[Total Unassigned],0)</f>
        <v>#REF!</v>
      </c>
      <c r="G25" s="19" t="e" cm="1">
        <f t="array" ref="G25">_xlfn.XLOOKUP(Site_Name&amp;"-"&amp;G$18,[1]!Roster_Data[Location]&amp;"-"&amp;[1]!Roster_Data[Source Date],[1]!Roster_Data[Total Unassigned],0)</f>
        <v>#REF!</v>
      </c>
      <c r="H25" s="19" t="e" cm="1">
        <f t="array" ref="H25">_xlfn.XLOOKUP(Site_Name&amp;"-"&amp;H$18,[1]!Roster_Data[Location]&amp;"-"&amp;[1]!Roster_Data[Source Date],[1]!Roster_Data[Total Unassigned],0)</f>
        <v>#REF!</v>
      </c>
    </row>
    <row r="26" spans="1:8">
      <c r="B26" s="4"/>
      <c r="D26" s="4"/>
      <c r="E26" s="4"/>
      <c r="F26" s="4"/>
      <c r="G26" s="4"/>
      <c r="H26" s="4"/>
    </row>
    <row r="27" spans="1:8">
      <c r="A27" s="1" t="s">
        <v>38</v>
      </c>
      <c r="B27" s="4"/>
      <c r="D27" s="4"/>
      <c r="E27" s="4"/>
      <c r="F27" s="4"/>
      <c r="G27" s="4"/>
      <c r="H27" s="4"/>
    </row>
    <row r="28" spans="1:8">
      <c r="A28" t="s">
        <v>39</v>
      </c>
      <c r="B28" s="20" t="e">
        <f>B20-B19</f>
        <v>#REF!</v>
      </c>
      <c r="C28" s="20" t="e">
        <f>C20-C19</f>
        <v>#REF!</v>
      </c>
      <c r="D28" s="20" t="e">
        <f t="shared" ref="D28:H28" si="8">D20-D19</f>
        <v>#REF!</v>
      </c>
      <c r="E28" s="20" t="e">
        <f t="shared" si="8"/>
        <v>#REF!</v>
      </c>
      <c r="F28" s="20" t="e">
        <f t="shared" si="8"/>
        <v>#REF!</v>
      </c>
      <c r="G28" s="20" t="e">
        <f t="shared" si="8"/>
        <v>#REF!</v>
      </c>
      <c r="H28" s="20" t="e">
        <f t="shared" si="8"/>
        <v>#REF!</v>
      </c>
    </row>
    <row r="29" spans="1:8">
      <c r="A29" t="s">
        <v>40</v>
      </c>
      <c r="B29" s="20" t="e">
        <f>B22-B21</f>
        <v>#REF!</v>
      </c>
      <c r="C29" s="20" t="e">
        <f>C22-C21</f>
        <v>#REF!</v>
      </c>
      <c r="D29" s="20" t="e">
        <f t="shared" ref="D29:H29" si="9">D22-D21</f>
        <v>#REF!</v>
      </c>
      <c r="E29" s="20" t="e">
        <f t="shared" si="9"/>
        <v>#REF!</v>
      </c>
      <c r="F29" s="20" t="e">
        <f t="shared" si="9"/>
        <v>#REF!</v>
      </c>
      <c r="G29" s="20" t="e">
        <f t="shared" si="9"/>
        <v>#REF!</v>
      </c>
      <c r="H29" s="20" t="e">
        <f t="shared" si="9"/>
        <v>#REF!</v>
      </c>
    </row>
    <row r="30" spans="1:8">
      <c r="B30" s="4"/>
      <c r="D30" s="4"/>
      <c r="E30" s="4"/>
      <c r="F30" s="4"/>
      <c r="G30" s="4"/>
      <c r="H30" s="4"/>
    </row>
    <row r="31" spans="1:8">
      <c r="A31" s="1" t="s">
        <v>41</v>
      </c>
      <c r="B31" s="20" t="e">
        <f t="shared" ref="B31:H32" si="10">B14+B28</f>
        <v>#REF!</v>
      </c>
      <c r="C31" s="20" t="e">
        <f t="shared" si="10"/>
        <v>#REF!</v>
      </c>
      <c r="D31" s="20" t="e">
        <f t="shared" si="10"/>
        <v>#REF!</v>
      </c>
      <c r="E31" s="20" t="e">
        <f t="shared" si="10"/>
        <v>#REF!</v>
      </c>
      <c r="F31" s="20" t="e">
        <f t="shared" si="10"/>
        <v>#REF!</v>
      </c>
      <c r="G31" s="20" t="e">
        <f t="shared" si="10"/>
        <v>#REF!</v>
      </c>
      <c r="H31" s="20" t="e">
        <f t="shared" si="10"/>
        <v>#REF!</v>
      </c>
    </row>
    <row r="32" spans="1:8">
      <c r="A32" s="1" t="s">
        <v>42</v>
      </c>
      <c r="B32" s="20" t="e">
        <f t="shared" si="10"/>
        <v>#REF!</v>
      </c>
      <c r="C32" s="20" t="e">
        <f t="shared" si="10"/>
        <v>#REF!</v>
      </c>
      <c r="D32" s="20" t="e">
        <f t="shared" si="10"/>
        <v>#REF!</v>
      </c>
      <c r="E32" s="20" t="e">
        <f t="shared" si="10"/>
        <v>#REF!</v>
      </c>
      <c r="F32" s="20" t="e">
        <f t="shared" si="10"/>
        <v>#REF!</v>
      </c>
      <c r="G32" s="20" t="e">
        <f t="shared" si="10"/>
        <v>#REF!</v>
      </c>
      <c r="H32" s="20" t="e">
        <f t="shared" si="10"/>
        <v>#REF!</v>
      </c>
    </row>
    <row r="33" spans="1:8">
      <c r="A33" s="1"/>
      <c r="B33" s="4"/>
      <c r="D33" s="4"/>
      <c r="E33" s="4"/>
      <c r="F33" s="4"/>
      <c r="G33" s="4"/>
      <c r="H33" s="4"/>
    </row>
    <row r="34" spans="1:8">
      <c r="A34" s="1" t="s">
        <v>43</v>
      </c>
      <c r="B34" s="21" t="e">
        <f t="shared" ref="B34:H34" si="11">B31*45</f>
        <v>#REF!</v>
      </c>
      <c r="C34" s="21" t="e">
        <f t="shared" si="11"/>
        <v>#REF!</v>
      </c>
      <c r="D34" s="21" t="e">
        <f t="shared" si="11"/>
        <v>#REF!</v>
      </c>
      <c r="E34" s="21" t="e">
        <f t="shared" si="11"/>
        <v>#REF!</v>
      </c>
      <c r="F34" s="21" t="e">
        <f t="shared" si="11"/>
        <v>#REF!</v>
      </c>
      <c r="G34" s="21" t="e">
        <f t="shared" si="11"/>
        <v>#REF!</v>
      </c>
      <c r="H34" s="21" t="e">
        <f t="shared" si="11"/>
        <v>#REF!</v>
      </c>
    </row>
    <row r="35" spans="1:8">
      <c r="A35" s="1" t="s">
        <v>44</v>
      </c>
      <c r="B35" s="22" t="e">
        <f t="shared" ref="B35:H35" si="12">B32*75</f>
        <v>#REF!</v>
      </c>
      <c r="C35" s="22" t="e">
        <f t="shared" si="12"/>
        <v>#REF!</v>
      </c>
      <c r="D35" s="22" t="e">
        <f t="shared" si="12"/>
        <v>#REF!</v>
      </c>
      <c r="E35" s="22" t="e">
        <f t="shared" si="12"/>
        <v>#REF!</v>
      </c>
      <c r="F35" s="22" t="e">
        <f t="shared" si="12"/>
        <v>#REF!</v>
      </c>
      <c r="G35" s="22" t="e">
        <f t="shared" si="12"/>
        <v>#REF!</v>
      </c>
      <c r="H35" s="22" t="e">
        <f t="shared" si="12"/>
        <v>#REF!</v>
      </c>
    </row>
    <row r="36" spans="1:8">
      <c r="A36" s="23" t="s">
        <v>45</v>
      </c>
      <c r="B36" s="5">
        <f>B19</f>
        <v>5025.0526666666674</v>
      </c>
      <c r="C36" s="5">
        <f t="shared" ref="C36:H37" si="13">C19</f>
        <v>5180.4666666666662</v>
      </c>
      <c r="D36" s="5">
        <f t="shared" si="13"/>
        <v>5128.6619999999994</v>
      </c>
      <c r="E36" s="5">
        <f t="shared" si="13"/>
        <v>5180.4666666666662</v>
      </c>
      <c r="F36" s="5">
        <f t="shared" si="13"/>
        <v>5232.271333333334</v>
      </c>
      <c r="G36" s="5">
        <f t="shared" si="13"/>
        <v>0</v>
      </c>
      <c r="H36" s="5">
        <f t="shared" si="13"/>
        <v>0</v>
      </c>
    </row>
    <row r="37" spans="1:8">
      <c r="A37" s="23" t="s">
        <v>46</v>
      </c>
      <c r="B37" s="5" t="e">
        <f>B20</f>
        <v>#REF!</v>
      </c>
      <c r="C37" s="5" t="e">
        <f>C20</f>
        <v>#REF!</v>
      </c>
      <c r="D37" s="5" t="e">
        <f t="shared" si="13"/>
        <v>#REF!</v>
      </c>
      <c r="E37" s="5" t="e">
        <f t="shared" si="13"/>
        <v>#REF!</v>
      </c>
      <c r="F37" s="5" t="e">
        <f t="shared" si="13"/>
        <v>#REF!</v>
      </c>
      <c r="G37" s="5" t="e">
        <f t="shared" si="13"/>
        <v>#REF!</v>
      </c>
      <c r="H37" s="5" t="e">
        <f t="shared" si="13"/>
        <v>#REF!</v>
      </c>
    </row>
    <row r="38" spans="1:8">
      <c r="A38" s="23" t="s">
        <v>8</v>
      </c>
      <c r="B38" s="5" t="e">
        <f>B37-B36</f>
        <v>#REF!</v>
      </c>
      <c r="C38" s="5" t="e">
        <f t="shared" ref="C38:H38" si="14">C37-C36</f>
        <v>#REF!</v>
      </c>
      <c r="D38" s="5" t="e">
        <f t="shared" si="14"/>
        <v>#REF!</v>
      </c>
      <c r="E38" s="5" t="e">
        <f t="shared" si="14"/>
        <v>#REF!</v>
      </c>
      <c r="F38" s="5" t="e">
        <f t="shared" si="14"/>
        <v>#REF!</v>
      </c>
      <c r="G38" s="5" t="e">
        <f t="shared" si="14"/>
        <v>#REF!</v>
      </c>
      <c r="H38" s="5" t="e">
        <f t="shared" si="14"/>
        <v>#REF!</v>
      </c>
    </row>
    <row r="39" spans="1:8">
      <c r="A39" s="23" t="s">
        <v>10</v>
      </c>
      <c r="B39" s="6" t="e">
        <f>(B37-B36)/B36</f>
        <v>#REF!</v>
      </c>
      <c r="C39" s="6" t="e">
        <f t="shared" ref="C39:H39" si="15">(C37-C36)/C36</f>
        <v>#REF!</v>
      </c>
      <c r="D39" s="6" t="e">
        <f t="shared" si="15"/>
        <v>#REF!</v>
      </c>
      <c r="E39" s="6" t="e">
        <f t="shared" si="15"/>
        <v>#REF!</v>
      </c>
      <c r="F39" s="6" t="e">
        <f t="shared" si="15"/>
        <v>#REF!</v>
      </c>
      <c r="G39" s="6" t="e">
        <f t="shared" si="15"/>
        <v>#REF!</v>
      </c>
      <c r="H39" s="6" t="e">
        <f t="shared" si="15"/>
        <v>#REF!</v>
      </c>
    </row>
    <row r="40" spans="1:8">
      <c r="A40" s="23" t="s">
        <v>47</v>
      </c>
      <c r="B40" s="9" t="e">
        <f>B38*45</f>
        <v>#REF!</v>
      </c>
      <c r="C40" s="9" t="e">
        <f t="shared" ref="C40:H40" si="16">C38*45</f>
        <v>#REF!</v>
      </c>
      <c r="D40" s="9" t="e">
        <f t="shared" si="16"/>
        <v>#REF!</v>
      </c>
      <c r="E40" s="9" t="e">
        <f t="shared" si="16"/>
        <v>#REF!</v>
      </c>
      <c r="F40" s="9" t="e">
        <f t="shared" si="16"/>
        <v>#REF!</v>
      </c>
      <c r="G40" s="9" t="e">
        <f t="shared" si="16"/>
        <v>#REF!</v>
      </c>
      <c r="H40" s="9" t="e">
        <f t="shared" si="16"/>
        <v>#REF!</v>
      </c>
    </row>
  </sheetData>
  <mergeCells count="2">
    <mergeCell ref="J1:K1"/>
    <mergeCell ref="J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E1B6-4E37-49BA-9E3A-E528028DFB93}">
  <dimension ref="A1:K40"/>
  <sheetViews>
    <sheetView tabSelected="1" workbookViewId="0">
      <selection activeCell="C5" sqref="C5"/>
    </sheetView>
  </sheetViews>
  <sheetFormatPr defaultRowHeight="14.45"/>
  <cols>
    <col min="1" max="1" width="83.7109375" bestFit="1" customWidth="1"/>
    <col min="2" max="2" width="27.5703125" bestFit="1" customWidth="1"/>
    <col min="3" max="3" width="23.5703125" style="4" customWidth="1"/>
    <col min="4" max="5" width="24" customWidth="1"/>
    <col min="6" max="6" width="23.42578125" customWidth="1"/>
    <col min="7" max="7" width="24.42578125" customWidth="1"/>
    <col min="8" max="8" width="24.140625" customWidth="1"/>
    <col min="10" max="10" width="18" bestFit="1" customWidth="1"/>
    <col min="11" max="11" width="10.42578125" bestFit="1" customWidth="1"/>
  </cols>
  <sheetData>
    <row r="1" spans="1:11" ht="15" thickBot="1">
      <c r="A1" s="1" t="s">
        <v>0</v>
      </c>
      <c r="B1" s="2" t="s">
        <v>1</v>
      </c>
      <c r="C1" s="2">
        <v>46231</v>
      </c>
      <c r="D1" s="3"/>
      <c r="E1" s="3"/>
      <c r="F1" s="3"/>
      <c r="G1" s="3"/>
      <c r="H1" s="3"/>
      <c r="J1" s="56" t="s">
        <v>2</v>
      </c>
      <c r="K1" s="56"/>
    </row>
    <row r="2" spans="1:11">
      <c r="A2" t="s">
        <v>3</v>
      </c>
      <c r="B2" s="4">
        <v>222.02</v>
      </c>
      <c r="C2" s="4">
        <v>222.02</v>
      </c>
      <c r="D2" s="4">
        <v>222.02</v>
      </c>
      <c r="E2" s="4">
        <v>222.02</v>
      </c>
      <c r="F2" s="4">
        <v>222.02</v>
      </c>
      <c r="G2" s="4">
        <v>222.02</v>
      </c>
      <c r="H2" s="4">
        <v>222.02</v>
      </c>
      <c r="J2" s="5" t="s">
        <v>4</v>
      </c>
      <c r="K2" s="5">
        <v>0</v>
      </c>
    </row>
    <row r="3" spans="1:11">
      <c r="A3" t="s">
        <v>5</v>
      </c>
      <c r="B3" s="4">
        <v>45.07</v>
      </c>
      <c r="C3" s="4">
        <v>45.07</v>
      </c>
      <c r="D3" s="4">
        <v>45.07</v>
      </c>
      <c r="E3" s="4">
        <v>45.07</v>
      </c>
      <c r="F3" s="4">
        <v>45.07</v>
      </c>
      <c r="G3" s="4">
        <v>45.07</v>
      </c>
      <c r="H3" s="4">
        <v>45.07</v>
      </c>
      <c r="J3" s="5" t="s">
        <v>6</v>
      </c>
      <c r="K3" s="5">
        <v>0</v>
      </c>
    </row>
    <row r="4" spans="1:11">
      <c r="A4" t="s">
        <v>7</v>
      </c>
      <c r="B4" s="4">
        <v>101</v>
      </c>
      <c r="C4" s="4">
        <v>101</v>
      </c>
      <c r="D4" s="4">
        <v>101</v>
      </c>
      <c r="E4" s="4">
        <v>101</v>
      </c>
      <c r="F4" s="4">
        <v>101</v>
      </c>
      <c r="G4" s="4">
        <v>101</v>
      </c>
      <c r="H4" s="4">
        <v>101</v>
      </c>
      <c r="J4" s="5" t="s">
        <v>8</v>
      </c>
      <c r="K4" s="5">
        <f>K3-K2</f>
        <v>0</v>
      </c>
    </row>
    <row r="5" spans="1:11">
      <c r="A5" t="s">
        <v>9</v>
      </c>
      <c r="B5" s="4">
        <v>5591.5</v>
      </c>
      <c r="C5" s="4">
        <v>5591.5</v>
      </c>
      <c r="D5" s="4">
        <v>5591.5</v>
      </c>
      <c r="E5" s="4">
        <v>5591.5</v>
      </c>
      <c r="F5" s="4">
        <v>5591.5</v>
      </c>
      <c r="G5" s="4">
        <v>5591.5</v>
      </c>
      <c r="H5" s="4">
        <v>5591.5</v>
      </c>
      <c r="J5" s="5" t="s">
        <v>10</v>
      </c>
      <c r="K5" s="6" t="e">
        <f>(K3-K2)/K2</f>
        <v>#DIV/0!</v>
      </c>
    </row>
    <row r="6" spans="1:11">
      <c r="A6" s="7" t="s">
        <v>11</v>
      </c>
      <c r="B6" s="8">
        <v>106.21496666666668</v>
      </c>
      <c r="C6" s="8">
        <v>106.21496666666668</v>
      </c>
      <c r="D6" s="8">
        <v>106.21496666666668</v>
      </c>
      <c r="E6" s="8">
        <v>106.21496666666668</v>
      </c>
      <c r="F6" s="8">
        <v>106.21496666666668</v>
      </c>
      <c r="G6" s="8">
        <v>106.21496666666668</v>
      </c>
      <c r="H6" s="8">
        <v>106.21496666666668</v>
      </c>
      <c r="J6" s="5" t="s">
        <v>12</v>
      </c>
      <c r="K6" s="9">
        <f>K4*45</f>
        <v>0</v>
      </c>
    </row>
    <row r="7" spans="1:11">
      <c r="B7" s="4"/>
      <c r="D7" s="4"/>
      <c r="E7" s="4"/>
      <c r="F7" s="4"/>
      <c r="G7" s="4"/>
      <c r="H7" s="4"/>
    </row>
    <row r="8" spans="1:11" ht="15" thickBot="1">
      <c r="A8" s="1" t="s">
        <v>13</v>
      </c>
      <c r="B8" s="4" t="s">
        <v>14</v>
      </c>
      <c r="C8" s="4" t="s">
        <v>15</v>
      </c>
      <c r="D8" s="4" t="s">
        <v>16</v>
      </c>
      <c r="E8" s="4" t="s">
        <v>16</v>
      </c>
      <c r="F8" s="4" t="s">
        <v>16</v>
      </c>
      <c r="G8" s="4"/>
      <c r="H8" s="4"/>
      <c r="J8" s="56" t="s">
        <v>17</v>
      </c>
      <c r="K8" s="56"/>
    </row>
    <row r="9" spans="1:11" ht="15" thickBot="1">
      <c r="A9" t="s">
        <v>18</v>
      </c>
      <c r="B9" s="10">
        <v>97</v>
      </c>
      <c r="C9" s="10">
        <v>100</v>
      </c>
      <c r="D9" s="10">
        <v>99</v>
      </c>
      <c r="E9" s="10">
        <v>100</v>
      </c>
      <c r="F9" s="10">
        <v>101</v>
      </c>
      <c r="G9" s="10"/>
      <c r="H9" s="10"/>
      <c r="J9" s="5" t="s">
        <v>4</v>
      </c>
      <c r="K9" s="5">
        <v>0</v>
      </c>
    </row>
    <row r="10" spans="1:11">
      <c r="A10" t="s">
        <v>19</v>
      </c>
      <c r="B10" s="4">
        <v>-4</v>
      </c>
      <c r="C10" s="4">
        <v>-1</v>
      </c>
      <c r="D10" s="4">
        <v>-2</v>
      </c>
      <c r="E10" s="4">
        <v>-1</v>
      </c>
      <c r="F10" s="4">
        <v>0</v>
      </c>
      <c r="G10" s="4">
        <v>-101</v>
      </c>
      <c r="H10" s="4">
        <v>-101</v>
      </c>
      <c r="J10" s="5" t="s">
        <v>6</v>
      </c>
      <c r="K10" s="5">
        <v>0</v>
      </c>
    </row>
    <row r="11" spans="1:11">
      <c r="A11" t="s">
        <v>20</v>
      </c>
      <c r="B11" s="4">
        <v>-207.21866666666668</v>
      </c>
      <c r="C11" s="4">
        <v>-51.80466666666667</v>
      </c>
      <c r="D11" s="4">
        <v>-103.60933333333334</v>
      </c>
      <c r="E11" s="4">
        <v>-51.80466666666667</v>
      </c>
      <c r="F11" s="4">
        <v>0</v>
      </c>
      <c r="G11" s="4">
        <v>-5232.271333333334</v>
      </c>
      <c r="H11" s="4">
        <v>-5232.271333333334</v>
      </c>
      <c r="J11" s="5" t="s">
        <v>8</v>
      </c>
      <c r="K11" s="5">
        <f>K10-K9</f>
        <v>0</v>
      </c>
    </row>
    <row r="12" spans="1:11">
      <c r="B12" s="4"/>
      <c r="D12" s="4"/>
      <c r="E12" s="4"/>
      <c r="F12" s="4"/>
      <c r="G12" s="4"/>
      <c r="H12" s="4"/>
      <c r="J12" s="5" t="s">
        <v>10</v>
      </c>
      <c r="K12" s="6" t="e">
        <f>(K10-K9)/K9</f>
        <v>#DIV/0!</v>
      </c>
    </row>
    <row r="13" spans="1:11" ht="15" thickBot="1">
      <c r="A13" s="1" t="s">
        <v>21</v>
      </c>
      <c r="B13" s="4"/>
      <c r="D13" s="4"/>
      <c r="E13" s="4"/>
      <c r="F13" s="4"/>
      <c r="G13" s="4"/>
      <c r="H13" s="4"/>
      <c r="J13" s="5" t="s">
        <v>12</v>
      </c>
      <c r="K13" s="9">
        <f>K11*45</f>
        <v>0</v>
      </c>
    </row>
    <row r="14" spans="1:11" ht="15" thickBot="1">
      <c r="A14" t="s">
        <v>22</v>
      </c>
      <c r="B14" s="11">
        <v>18.3</v>
      </c>
      <c r="C14" s="11">
        <v>-84.1</v>
      </c>
      <c r="D14" s="12">
        <v>-98.9</v>
      </c>
      <c r="E14" s="12">
        <v>-8.08</v>
      </c>
      <c r="F14" s="12"/>
      <c r="G14" s="12"/>
      <c r="H14" s="11"/>
    </row>
    <row r="15" spans="1:11" ht="15" thickBot="1">
      <c r="A15" t="s">
        <v>23</v>
      </c>
      <c r="B15" s="10">
        <v>-51.3</v>
      </c>
      <c r="C15" s="10">
        <v>-58.6</v>
      </c>
      <c r="D15" s="13">
        <v>-186</v>
      </c>
      <c r="E15" s="13">
        <v>-79.099999999999994</v>
      </c>
      <c r="F15" s="13"/>
      <c r="G15" s="13"/>
      <c r="H15" s="10"/>
    </row>
    <row r="16" spans="1:11" ht="15" thickBot="1">
      <c r="B16" s="14" t="s">
        <v>24</v>
      </c>
      <c r="C16" s="14" t="s">
        <v>25</v>
      </c>
      <c r="D16" s="14" t="s">
        <v>26</v>
      </c>
      <c r="E16" s="14" t="s">
        <v>27</v>
      </c>
      <c r="F16" s="14" t="s">
        <v>28</v>
      </c>
      <c r="G16" s="14" t="s">
        <v>29</v>
      </c>
      <c r="H16" s="14" t="s">
        <v>29</v>
      </c>
    </row>
    <row r="17" spans="1:8">
      <c r="A17" s="15" t="s">
        <v>30</v>
      </c>
      <c r="B17" s="16">
        <v>46209</v>
      </c>
      <c r="C17" s="16">
        <v>46223</v>
      </c>
      <c r="D17" s="16">
        <v>46237</v>
      </c>
      <c r="E17" s="16">
        <v>46251</v>
      </c>
      <c r="F17" s="16">
        <v>46265</v>
      </c>
      <c r="G17" s="16">
        <v>46279</v>
      </c>
      <c r="H17" s="16">
        <v>46293</v>
      </c>
    </row>
    <row r="18" spans="1:8" ht="15" thickBot="1">
      <c r="A18" s="17" t="s">
        <v>31</v>
      </c>
      <c r="B18" s="18">
        <v>46222</v>
      </c>
      <c r="C18" s="18">
        <v>46236</v>
      </c>
      <c r="D18" s="18">
        <v>46250</v>
      </c>
      <c r="E18" s="18">
        <v>46264</v>
      </c>
      <c r="F18" s="18">
        <v>46278</v>
      </c>
      <c r="G18" s="18">
        <v>46292</v>
      </c>
      <c r="H18" s="18">
        <v>46306</v>
      </c>
    </row>
    <row r="19" spans="1:8" ht="15" thickBot="1">
      <c r="A19" t="s">
        <v>32</v>
      </c>
      <c r="B19" s="4">
        <v>5025.0526666666674</v>
      </c>
      <c r="C19" s="4">
        <v>5180.4666666666662</v>
      </c>
      <c r="D19" s="4">
        <v>5128.6619999999994</v>
      </c>
      <c r="E19" s="4">
        <v>5180.4666666666662</v>
      </c>
      <c r="F19" s="4">
        <v>5232.271333333334</v>
      </c>
      <c r="G19" s="4">
        <v>0</v>
      </c>
      <c r="H19" s="4">
        <v>0</v>
      </c>
    </row>
    <row r="20" spans="1:8" ht="15" thickBot="1">
      <c r="A20" t="s">
        <v>33</v>
      </c>
      <c r="B20" s="19">
        <v>5089.891699999991</v>
      </c>
      <c r="C20" s="19">
        <v>5276.0999999999913</v>
      </c>
      <c r="D20" s="19">
        <v>5426.4166999999907</v>
      </c>
      <c r="E20" s="19">
        <v>5574.0999999999904</v>
      </c>
      <c r="F20" s="19">
        <v>5270.5999999999904</v>
      </c>
      <c r="G20" s="19">
        <v>0</v>
      </c>
      <c r="H20" s="19">
        <v>0</v>
      </c>
    </row>
    <row r="21" spans="1:8" ht="15" thickBot="1">
      <c r="A21" t="s">
        <v>34</v>
      </c>
      <c r="B21" s="4">
        <v>1020.0843333333333</v>
      </c>
      <c r="C21" s="4">
        <v>1051.6333333333334</v>
      </c>
      <c r="D21" s="4">
        <v>1041.117</v>
      </c>
      <c r="E21" s="4">
        <v>1051.6333333333334</v>
      </c>
      <c r="F21" s="4">
        <v>1062.1496666666667</v>
      </c>
      <c r="G21" s="4">
        <v>0</v>
      </c>
      <c r="H21" s="4">
        <v>0</v>
      </c>
    </row>
    <row r="22" spans="1:8" ht="15" thickBot="1">
      <c r="A22" t="s">
        <v>35</v>
      </c>
      <c r="B22" s="19">
        <v>977.375</v>
      </c>
      <c r="C22" s="19">
        <v>1069.5999999999999</v>
      </c>
      <c r="D22" s="19">
        <v>1030.7</v>
      </c>
      <c r="E22" s="19">
        <v>987.2</v>
      </c>
      <c r="F22" s="19">
        <v>981.2</v>
      </c>
      <c r="G22" s="19">
        <v>0</v>
      </c>
      <c r="H22" s="19">
        <v>0</v>
      </c>
    </row>
    <row r="23" spans="1:8" ht="15" thickBot="1">
      <c r="B23" s="4"/>
      <c r="D23" s="4"/>
      <c r="E23" s="4"/>
      <c r="F23" s="4"/>
      <c r="G23" s="4"/>
      <c r="H23" s="4"/>
    </row>
    <row r="24" spans="1:8" ht="15" thickBot="1">
      <c r="A24" t="s">
        <v>36</v>
      </c>
      <c r="B24" s="19">
        <v>5074.0916999999918</v>
      </c>
      <c r="C24" s="19">
        <v>5234.1999999999916</v>
      </c>
      <c r="D24" s="19">
        <v>5328.9166999999907</v>
      </c>
      <c r="E24" s="19">
        <v>5422.5999999999904</v>
      </c>
      <c r="F24" s="19">
        <v>5048.4999999999909</v>
      </c>
      <c r="G24" s="19">
        <v>0</v>
      </c>
      <c r="H24" s="19">
        <v>0</v>
      </c>
    </row>
    <row r="25" spans="1:8" ht="15" thickBot="1">
      <c r="A25" t="s">
        <v>37</v>
      </c>
      <c r="B25" s="19">
        <v>15.8</v>
      </c>
      <c r="C25" s="19">
        <v>41.9</v>
      </c>
      <c r="D25" s="19">
        <v>97.5</v>
      </c>
      <c r="E25" s="19">
        <v>151.5</v>
      </c>
      <c r="F25" s="19">
        <v>222.1</v>
      </c>
      <c r="G25" s="19">
        <v>0</v>
      </c>
      <c r="H25" s="19">
        <v>0</v>
      </c>
    </row>
    <row r="26" spans="1:8">
      <c r="B26" s="4"/>
      <c r="D26" s="4"/>
      <c r="E26" s="4"/>
      <c r="F26" s="4"/>
      <c r="G26" s="4"/>
      <c r="H26" s="4"/>
    </row>
    <row r="27" spans="1:8">
      <c r="A27" s="1" t="s">
        <v>38</v>
      </c>
      <c r="B27" s="4"/>
      <c r="D27" s="4"/>
      <c r="E27" s="4"/>
      <c r="F27" s="4"/>
      <c r="G27" s="4"/>
      <c r="H27" s="4"/>
    </row>
    <row r="28" spans="1:8">
      <c r="A28" t="s">
        <v>39</v>
      </c>
      <c r="B28" s="20">
        <v>64.839033333323641</v>
      </c>
      <c r="C28" s="20">
        <v>95.633333333325027</v>
      </c>
      <c r="D28" s="20">
        <v>297.75469999999132</v>
      </c>
      <c r="E28" s="20">
        <v>393.63333333332412</v>
      </c>
      <c r="F28" s="20">
        <v>38.328666666656318</v>
      </c>
      <c r="G28" s="20">
        <v>0</v>
      </c>
      <c r="H28" s="20">
        <v>0</v>
      </c>
    </row>
    <row r="29" spans="1:8">
      <c r="A29" t="s">
        <v>40</v>
      </c>
      <c r="B29" s="20">
        <v>-42.709333333333348</v>
      </c>
      <c r="C29" s="20">
        <v>17.96666666666647</v>
      </c>
      <c r="D29" s="20">
        <v>-10.416999999999916</v>
      </c>
      <c r="E29" s="20">
        <v>-64.433333333333394</v>
      </c>
      <c r="F29" s="20">
        <v>-80.949666666666644</v>
      </c>
      <c r="G29" s="20">
        <v>0</v>
      </c>
      <c r="H29" s="20">
        <v>0</v>
      </c>
    </row>
    <row r="30" spans="1:8">
      <c r="B30" s="4"/>
      <c r="D30" s="4"/>
      <c r="E30" s="4"/>
      <c r="F30" s="4"/>
      <c r="G30" s="4"/>
      <c r="H30" s="4"/>
    </row>
    <row r="31" spans="1:8">
      <c r="A31" s="1" t="s">
        <v>41</v>
      </c>
      <c r="B31" s="20">
        <v>83.139033333323638</v>
      </c>
      <c r="C31" s="20">
        <v>11.533333333325032</v>
      </c>
      <c r="D31" s="20">
        <v>198.85469999999131</v>
      </c>
      <c r="E31" s="20">
        <v>385.55333333332413</v>
      </c>
      <c r="F31" s="20">
        <v>38.328666666656318</v>
      </c>
      <c r="G31" s="20">
        <v>0</v>
      </c>
      <c r="H31" s="20">
        <v>0</v>
      </c>
    </row>
    <row r="32" spans="1:8">
      <c r="A32" s="1" t="s">
        <v>42</v>
      </c>
      <c r="B32" s="20">
        <v>-94.009333333333345</v>
      </c>
      <c r="C32" s="20">
        <v>-40.633333333333532</v>
      </c>
      <c r="D32" s="20">
        <v>-196.41699999999992</v>
      </c>
      <c r="E32" s="20">
        <v>-143.53333333333339</v>
      </c>
      <c r="F32" s="20">
        <v>-80.949666666666644</v>
      </c>
      <c r="G32" s="20">
        <v>0</v>
      </c>
      <c r="H32" s="20">
        <v>0</v>
      </c>
    </row>
    <row r="33" spans="1:8">
      <c r="A33" s="1"/>
      <c r="B33" s="4"/>
      <c r="D33" s="4"/>
      <c r="E33" s="4"/>
      <c r="F33" s="4"/>
      <c r="G33" s="4"/>
      <c r="H33" s="4"/>
    </row>
    <row r="34" spans="1:8">
      <c r="A34" s="1" t="s">
        <v>43</v>
      </c>
      <c r="B34" s="21">
        <v>3741.2564999995639</v>
      </c>
      <c r="C34" s="21">
        <v>518.99999999962643</v>
      </c>
      <c r="D34" s="21">
        <v>8948.4614999996083</v>
      </c>
      <c r="E34" s="21">
        <v>17349.899999999587</v>
      </c>
      <c r="F34" s="21">
        <v>1724.7899999995343</v>
      </c>
      <c r="G34" s="21">
        <v>0</v>
      </c>
      <c r="H34" s="21">
        <v>0</v>
      </c>
    </row>
    <row r="35" spans="1:8">
      <c r="A35" s="1" t="s">
        <v>44</v>
      </c>
      <c r="B35" s="22">
        <v>-7050.7000000000007</v>
      </c>
      <c r="C35" s="22">
        <v>-3047.500000000015</v>
      </c>
      <c r="D35" s="22">
        <v>-14731.274999999994</v>
      </c>
      <c r="E35" s="22">
        <v>-10765.000000000004</v>
      </c>
      <c r="F35" s="22">
        <v>-6071.2249999999985</v>
      </c>
      <c r="G35" s="22">
        <v>0</v>
      </c>
      <c r="H35" s="22">
        <v>0</v>
      </c>
    </row>
    <row r="36" spans="1:8">
      <c r="A36" s="23" t="s">
        <v>45</v>
      </c>
      <c r="B36" s="5">
        <v>5025.0526666666674</v>
      </c>
      <c r="C36" s="5">
        <v>5180.4666666666662</v>
      </c>
      <c r="D36" s="5">
        <v>5128.6619999999994</v>
      </c>
      <c r="E36" s="5">
        <v>5180.4666666666662</v>
      </c>
      <c r="F36" s="5">
        <v>5232.271333333334</v>
      </c>
      <c r="G36" s="5">
        <v>0</v>
      </c>
      <c r="H36" s="5">
        <v>0</v>
      </c>
    </row>
    <row r="37" spans="1:8">
      <c r="A37" s="23" t="s">
        <v>46</v>
      </c>
      <c r="B37" s="5">
        <v>5089.891699999991</v>
      </c>
      <c r="C37" s="5">
        <v>5276.0999999999913</v>
      </c>
      <c r="D37" s="5">
        <v>5426.4166999999907</v>
      </c>
      <c r="E37" s="5">
        <v>5574.0999999999904</v>
      </c>
      <c r="F37" s="5">
        <v>5270.5999999999904</v>
      </c>
      <c r="G37" s="5">
        <v>0</v>
      </c>
      <c r="H37" s="5">
        <v>0</v>
      </c>
    </row>
    <row r="38" spans="1:8">
      <c r="A38" s="23" t="s">
        <v>8</v>
      </c>
      <c r="B38" s="5">
        <v>64.839033333323641</v>
      </c>
      <c r="C38" s="5">
        <v>95.633333333325027</v>
      </c>
      <c r="D38" s="5">
        <v>297.75469999999132</v>
      </c>
      <c r="E38" s="5">
        <v>393.63333333332412</v>
      </c>
      <c r="F38" s="5">
        <v>38.328666666656318</v>
      </c>
      <c r="G38" s="5">
        <v>0</v>
      </c>
      <c r="H38" s="5">
        <v>0</v>
      </c>
    </row>
    <row r="39" spans="1:8">
      <c r="A39" s="23" t="s">
        <v>10</v>
      </c>
      <c r="B39" s="6">
        <v>1.2903154978539588E-2</v>
      </c>
      <c r="C39" s="6">
        <v>1.8460370365602528E-2</v>
      </c>
      <c r="D39" s="6">
        <v>5.8056994202384825E-2</v>
      </c>
      <c r="E39" s="6">
        <v>7.5984145572469172E-2</v>
      </c>
      <c r="F39" s="6">
        <v>7.3254355947626661E-3</v>
      </c>
      <c r="G39" s="6" t="e">
        <v>#DIV/0!</v>
      </c>
      <c r="H39" s="6" t="e">
        <v>#DIV/0!</v>
      </c>
    </row>
    <row r="40" spans="1:8">
      <c r="A40" s="23" t="s">
        <v>47</v>
      </c>
      <c r="B40" s="9">
        <v>2917.7564999995639</v>
      </c>
      <c r="C40" s="9">
        <v>4303.4999999996262</v>
      </c>
      <c r="D40" s="9">
        <v>13398.961499999608</v>
      </c>
      <c r="E40" s="9">
        <v>17713.499999999585</v>
      </c>
      <c r="F40" s="9">
        <v>1724.7899999995343</v>
      </c>
      <c r="G40" s="9">
        <v>0</v>
      </c>
      <c r="H40" s="9">
        <v>0</v>
      </c>
    </row>
  </sheetData>
  <mergeCells count="2">
    <mergeCell ref="J1:K1"/>
    <mergeCell ref="J8:K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FB38-1A7F-42E5-AF6C-4E0251C417F9}">
  <sheetPr>
    <tabColor rgb="FFFF0000"/>
  </sheetPr>
  <dimension ref="A1:K45"/>
  <sheetViews>
    <sheetView workbookViewId="0">
      <selection activeCell="C5" sqref="C5"/>
    </sheetView>
  </sheetViews>
  <sheetFormatPr defaultRowHeight="14.45"/>
  <cols>
    <col min="1" max="1" width="83.7109375" bestFit="1" customWidth="1"/>
    <col min="2" max="8" width="25.140625" bestFit="1" customWidth="1"/>
    <col min="10" max="10" width="18" bestFit="1" customWidth="1"/>
    <col min="11" max="11" width="10.7109375" bestFit="1" customWidth="1"/>
  </cols>
  <sheetData>
    <row r="1" spans="1:11" ht="15" thickBot="1">
      <c r="A1" s="1" t="s">
        <v>0</v>
      </c>
      <c r="B1" s="24" t="s">
        <v>1</v>
      </c>
      <c r="C1" s="24">
        <v>46232</v>
      </c>
      <c r="D1" s="24"/>
      <c r="E1" s="24"/>
      <c r="F1" s="24"/>
      <c r="G1" s="24"/>
      <c r="H1" s="24"/>
      <c r="J1" s="56" t="s">
        <v>2</v>
      </c>
      <c r="K1" s="56"/>
    </row>
    <row r="2" spans="1:11">
      <c r="A2" t="s">
        <v>3</v>
      </c>
      <c r="B2" s="25">
        <v>226.41</v>
      </c>
      <c r="C2" s="25">
        <v>226.41</v>
      </c>
      <c r="D2" s="25">
        <v>226.41</v>
      </c>
      <c r="E2" s="25">
        <v>226.41</v>
      </c>
      <c r="F2" s="25">
        <v>226.41</v>
      </c>
      <c r="G2" s="25">
        <v>226.41</v>
      </c>
      <c r="H2" s="25">
        <v>226.41</v>
      </c>
      <c r="J2" s="5" t="s">
        <v>4</v>
      </c>
      <c r="K2" s="5">
        <v>6503.2</v>
      </c>
    </row>
    <row r="3" spans="1:11">
      <c r="A3" t="s">
        <v>5</v>
      </c>
      <c r="B3" s="25">
        <v>45.79</v>
      </c>
      <c r="C3" s="25">
        <v>45.79</v>
      </c>
      <c r="D3" s="25">
        <v>45.79</v>
      </c>
      <c r="E3" s="25">
        <v>45.79</v>
      </c>
      <c r="F3" s="25">
        <v>45.79</v>
      </c>
      <c r="G3" s="25">
        <v>45.79</v>
      </c>
      <c r="H3" s="25">
        <v>45.79</v>
      </c>
      <c r="J3" s="5" t="s">
        <v>6</v>
      </c>
      <c r="K3" s="5">
        <v>6227.09</v>
      </c>
    </row>
    <row r="4" spans="1:11">
      <c r="A4" t="s">
        <v>7</v>
      </c>
      <c r="B4" s="25">
        <v>35</v>
      </c>
      <c r="C4" s="25">
        <v>35</v>
      </c>
      <c r="D4" s="25">
        <v>35</v>
      </c>
      <c r="E4" s="25">
        <v>35</v>
      </c>
      <c r="F4" s="25">
        <v>35</v>
      </c>
      <c r="G4" s="25">
        <v>35</v>
      </c>
      <c r="H4" s="25">
        <v>35</v>
      </c>
      <c r="J4" s="5" t="s">
        <v>8</v>
      </c>
      <c r="K4" s="5">
        <f>K3-K2</f>
        <v>-276.10999999999967</v>
      </c>
    </row>
    <row r="5" spans="1:11">
      <c r="A5" t="s">
        <v>9</v>
      </c>
      <c r="B5" s="25">
        <v>1931</v>
      </c>
      <c r="C5" s="25">
        <v>1931</v>
      </c>
      <c r="D5" s="25">
        <v>1931</v>
      </c>
      <c r="E5" s="25">
        <v>1931</v>
      </c>
      <c r="F5" s="25">
        <v>1931</v>
      </c>
      <c r="G5" s="25">
        <v>1931</v>
      </c>
      <c r="H5" s="25">
        <v>1931</v>
      </c>
      <c r="J5" s="5" t="s">
        <v>10</v>
      </c>
      <c r="K5" s="6">
        <f>(K3-K2)/K2</f>
        <v>-4.245755935539422E-2</v>
      </c>
    </row>
    <row r="6" spans="1:11">
      <c r="A6" s="7" t="s">
        <v>11</v>
      </c>
      <c r="B6" s="26">
        <v>37.395166666666668</v>
      </c>
      <c r="C6" s="26">
        <v>37.395166666666668</v>
      </c>
      <c r="D6" s="26">
        <v>37.395166666666668</v>
      </c>
      <c r="E6" s="26">
        <v>37.395166666666668</v>
      </c>
      <c r="F6" s="26">
        <v>37.395166666666668</v>
      </c>
      <c r="G6" s="26">
        <v>37.395166666666668</v>
      </c>
      <c r="H6" s="26">
        <v>37.395166666666668</v>
      </c>
      <c r="J6" s="5" t="s">
        <v>12</v>
      </c>
      <c r="K6" s="9">
        <f>K4*45</f>
        <v>-12424.949999999986</v>
      </c>
    </row>
    <row r="7" spans="1:11">
      <c r="B7" s="25"/>
      <c r="C7" s="25"/>
      <c r="D7" s="25"/>
      <c r="E7" s="25"/>
      <c r="F7" s="25"/>
      <c r="G7" s="25"/>
      <c r="H7" s="25"/>
    </row>
    <row r="8" spans="1:11" ht="15" thickBot="1">
      <c r="A8" s="1" t="s">
        <v>13</v>
      </c>
      <c r="B8" s="25" t="s">
        <v>48</v>
      </c>
      <c r="C8" s="25" t="s">
        <v>48</v>
      </c>
      <c r="D8" s="25" t="s">
        <v>48</v>
      </c>
      <c r="E8" s="25" t="s">
        <v>49</v>
      </c>
      <c r="F8" s="25"/>
      <c r="G8" s="25"/>
      <c r="H8" s="25"/>
      <c r="J8" s="56" t="s">
        <v>17</v>
      </c>
      <c r="K8" s="56"/>
    </row>
    <row r="9" spans="1:11" ht="15" thickBot="1">
      <c r="A9" t="s">
        <v>18</v>
      </c>
      <c r="B9" s="27">
        <v>37</v>
      </c>
      <c r="C9" s="27">
        <v>37</v>
      </c>
      <c r="D9" s="27">
        <v>36</v>
      </c>
      <c r="E9" s="27">
        <v>36</v>
      </c>
      <c r="F9" s="27"/>
      <c r="G9" s="27"/>
      <c r="H9" s="27"/>
      <c r="J9" s="5" t="s">
        <v>4</v>
      </c>
      <c r="K9" s="5">
        <v>1312.55</v>
      </c>
    </row>
    <row r="10" spans="1:11">
      <c r="A10" t="s">
        <v>19</v>
      </c>
      <c r="B10" s="28">
        <v>2</v>
      </c>
      <c r="C10" s="28">
        <v>2</v>
      </c>
      <c r="D10" s="28">
        <v>1</v>
      </c>
      <c r="E10" s="28">
        <v>1</v>
      </c>
      <c r="F10" s="28">
        <v>-35</v>
      </c>
      <c r="G10" s="28">
        <v>-35</v>
      </c>
      <c r="H10" s="28">
        <v>-35</v>
      </c>
      <c r="J10" s="5" t="s">
        <v>6</v>
      </c>
      <c r="K10" s="5">
        <v>1484.39</v>
      </c>
    </row>
    <row r="11" spans="1:11">
      <c r="A11" t="s">
        <v>20</v>
      </c>
      <c r="B11" s="28">
        <v>105.65799999999999</v>
      </c>
      <c r="C11" s="28">
        <v>105.65799999999999</v>
      </c>
      <c r="D11" s="28">
        <v>52.828999999999994</v>
      </c>
      <c r="E11" s="28">
        <v>52.828999999999994</v>
      </c>
      <c r="F11" s="28">
        <v>-1849.0149999999999</v>
      </c>
      <c r="G11" s="28">
        <v>-1849.0149999999999</v>
      </c>
      <c r="H11" s="28">
        <v>-1849.0149999999999</v>
      </c>
      <c r="J11" s="5" t="s">
        <v>8</v>
      </c>
      <c r="K11" s="5">
        <f>K10-K9</f>
        <v>171.84000000000015</v>
      </c>
    </row>
    <row r="12" spans="1:11">
      <c r="B12" s="25"/>
      <c r="C12" s="25"/>
      <c r="D12" s="25"/>
      <c r="E12" s="25"/>
      <c r="F12" s="25"/>
      <c r="G12" s="25"/>
      <c r="H12" s="25"/>
      <c r="J12" s="5" t="s">
        <v>10</v>
      </c>
      <c r="K12" s="6">
        <f>(K10-K9)/K9</f>
        <v>0.13092072682945424</v>
      </c>
    </row>
    <row r="13" spans="1:11" ht="15" thickBot="1">
      <c r="A13" s="1" t="s">
        <v>21</v>
      </c>
      <c r="B13" s="25"/>
      <c r="C13" s="25"/>
      <c r="D13" s="25"/>
      <c r="E13" s="25"/>
      <c r="F13" s="25"/>
      <c r="G13" s="25"/>
      <c r="H13" s="25"/>
      <c r="J13" s="5" t="s">
        <v>12</v>
      </c>
      <c r="K13" s="9">
        <f>K11*45</f>
        <v>7732.8000000000065</v>
      </c>
    </row>
    <row r="14" spans="1:11" ht="15" thickBot="1">
      <c r="A14" t="s">
        <v>22</v>
      </c>
      <c r="B14" s="29">
        <v>-21.5</v>
      </c>
      <c r="C14" s="29">
        <v>-68.2</v>
      </c>
      <c r="D14" s="29">
        <v>-90.42</v>
      </c>
      <c r="E14" s="29">
        <v>-55.1</v>
      </c>
      <c r="F14" s="29"/>
      <c r="G14" s="29"/>
      <c r="H14" s="29"/>
    </row>
    <row r="15" spans="1:11" ht="15" thickBot="1">
      <c r="A15" t="s">
        <v>23</v>
      </c>
      <c r="B15" s="30">
        <v>64.900000000000006</v>
      </c>
      <c r="C15" s="30">
        <v>93.8</v>
      </c>
      <c r="D15" s="30">
        <v>147.97999999999999</v>
      </c>
      <c r="E15" s="30">
        <v>127</v>
      </c>
      <c r="F15" s="30"/>
      <c r="G15" s="30"/>
      <c r="H15" s="30"/>
    </row>
    <row r="16" spans="1:11" ht="15" thickBot="1">
      <c r="B16" s="31" t="s">
        <v>24</v>
      </c>
      <c r="C16" s="31" t="s">
        <v>50</v>
      </c>
      <c r="D16" s="31" t="s">
        <v>51</v>
      </c>
      <c r="E16" s="31" t="s">
        <v>52</v>
      </c>
      <c r="F16" s="31"/>
      <c r="G16" s="31"/>
      <c r="H16" s="31"/>
    </row>
    <row r="17" spans="1:8">
      <c r="A17" s="32" t="s">
        <v>30</v>
      </c>
      <c r="B17" s="33">
        <v>46209</v>
      </c>
      <c r="C17" s="34">
        <v>46223</v>
      </c>
      <c r="D17" s="34">
        <v>46237</v>
      </c>
      <c r="E17" s="34">
        <v>46251</v>
      </c>
      <c r="F17" s="34">
        <v>46265</v>
      </c>
      <c r="G17" s="34">
        <v>46279</v>
      </c>
      <c r="H17" s="35">
        <v>46293</v>
      </c>
    </row>
    <row r="18" spans="1:8" ht="15" thickBot="1">
      <c r="A18" s="36" t="s">
        <v>31</v>
      </c>
      <c r="B18" s="37">
        <v>46222</v>
      </c>
      <c r="C18" s="38">
        <v>46236</v>
      </c>
      <c r="D18" s="38">
        <v>46250</v>
      </c>
      <c r="E18" s="38">
        <v>46264</v>
      </c>
      <c r="F18" s="38">
        <v>46278</v>
      </c>
      <c r="G18" s="38">
        <v>46292</v>
      </c>
      <c r="H18" s="39">
        <v>46306</v>
      </c>
    </row>
    <row r="19" spans="1:8" ht="15" thickBot="1">
      <c r="A19" t="s">
        <v>32</v>
      </c>
      <c r="B19" s="4">
        <v>1954.673</v>
      </c>
      <c r="C19" s="4">
        <v>1954.673</v>
      </c>
      <c r="D19" s="4">
        <v>1901.8440000000001</v>
      </c>
      <c r="E19" s="4">
        <v>1901.8440000000001</v>
      </c>
      <c r="F19" s="4">
        <v>0</v>
      </c>
      <c r="G19" s="4">
        <v>0</v>
      </c>
      <c r="H19" s="4">
        <v>0</v>
      </c>
    </row>
    <row r="20" spans="1:8" ht="15" thickBot="1">
      <c r="A20" t="s">
        <v>33</v>
      </c>
      <c r="B20" s="40">
        <v>5089.891699999991</v>
      </c>
      <c r="C20" s="40">
        <v>5276.0999999999913</v>
      </c>
      <c r="D20" s="40">
        <v>5426.4166999999907</v>
      </c>
      <c r="E20" s="40">
        <v>5664.5999999999904</v>
      </c>
      <c r="F20" s="40">
        <v>5285.5999999999904</v>
      </c>
      <c r="G20" s="40">
        <v>0</v>
      </c>
      <c r="H20" s="40">
        <v>0</v>
      </c>
    </row>
    <row r="21" spans="1:8" ht="15" thickBot="1">
      <c r="A21" t="s">
        <v>34</v>
      </c>
      <c r="B21" s="25">
        <v>395.32033333333334</v>
      </c>
      <c r="C21" s="25">
        <v>395.32033333333334</v>
      </c>
      <c r="D21" s="25">
        <v>384.63600000000002</v>
      </c>
      <c r="E21" s="25">
        <v>384.63600000000002</v>
      </c>
      <c r="F21" s="25">
        <v>0</v>
      </c>
      <c r="G21" s="25">
        <v>0</v>
      </c>
      <c r="H21" s="25">
        <v>0</v>
      </c>
    </row>
    <row r="22" spans="1:8" ht="15" thickBot="1">
      <c r="A22" t="s">
        <v>35</v>
      </c>
      <c r="B22" s="40">
        <v>977.375</v>
      </c>
      <c r="C22" s="40">
        <v>1069.5999999999999</v>
      </c>
      <c r="D22" s="40">
        <v>1030.7</v>
      </c>
      <c r="E22" s="40">
        <v>1053.2</v>
      </c>
      <c r="F22" s="40">
        <v>996.2</v>
      </c>
      <c r="G22" s="40">
        <v>0</v>
      </c>
      <c r="H22" s="40">
        <v>0</v>
      </c>
    </row>
    <row r="23" spans="1:8" ht="15" thickBot="1">
      <c r="B23" s="25"/>
      <c r="C23" s="25"/>
      <c r="D23" s="25"/>
      <c r="E23" s="25"/>
      <c r="F23" s="25"/>
      <c r="G23" s="25"/>
      <c r="H23" s="25"/>
    </row>
    <row r="24" spans="1:8" ht="15">
      <c r="A24" t="s">
        <v>36</v>
      </c>
      <c r="B24" s="40">
        <v>5074.0916999999918</v>
      </c>
      <c r="C24" s="58">
        <v>5234.1999999999916</v>
      </c>
      <c r="D24" s="40">
        <v>5328.9166999999907</v>
      </c>
      <c r="E24" s="40">
        <v>5467.0999999999904</v>
      </c>
      <c r="F24" s="40">
        <v>5025.9999999999909</v>
      </c>
      <c r="G24" s="40">
        <v>0</v>
      </c>
      <c r="H24" s="40">
        <v>0</v>
      </c>
    </row>
    <row r="25" spans="1:8" ht="15" thickBot="1">
      <c r="A25" t="s">
        <v>37</v>
      </c>
      <c r="B25" s="40">
        <v>15.8</v>
      </c>
      <c r="C25" s="40">
        <v>41.9</v>
      </c>
      <c r="D25" s="40">
        <v>97.5</v>
      </c>
      <c r="E25" s="40">
        <v>197.5</v>
      </c>
      <c r="F25" s="40">
        <v>259.60000000000002</v>
      </c>
      <c r="G25" s="40">
        <v>0</v>
      </c>
      <c r="H25" s="40">
        <v>0</v>
      </c>
    </row>
    <row r="26" spans="1:8">
      <c r="B26" s="25"/>
      <c r="C26" s="25"/>
      <c r="D26" s="25"/>
      <c r="E26" s="25"/>
      <c r="F26" s="25"/>
      <c r="G26" s="25"/>
      <c r="H26" s="25"/>
    </row>
    <row r="27" spans="1:8">
      <c r="A27" s="1" t="s">
        <v>38</v>
      </c>
      <c r="B27" s="25"/>
      <c r="C27" s="25"/>
      <c r="D27" s="25"/>
      <c r="E27" s="25"/>
      <c r="F27" s="25"/>
      <c r="G27" s="25"/>
      <c r="H27" s="25"/>
    </row>
    <row r="28" spans="1:8">
      <c r="A28" t="s">
        <v>39</v>
      </c>
      <c r="B28" s="41">
        <v>3135.2186999999913</v>
      </c>
      <c r="C28" s="41">
        <v>3321.4269999999915</v>
      </c>
      <c r="D28" s="41">
        <v>3524.5726999999906</v>
      </c>
      <c r="E28" s="41">
        <v>3762.7559999999903</v>
      </c>
      <c r="F28" s="41">
        <v>5285.5999999999904</v>
      </c>
      <c r="G28" s="41">
        <v>0</v>
      </c>
      <c r="H28" s="41">
        <v>0</v>
      </c>
    </row>
    <row r="29" spans="1:8">
      <c r="A29" t="s">
        <v>40</v>
      </c>
      <c r="B29" s="41">
        <v>582.05466666666666</v>
      </c>
      <c r="C29" s="41">
        <v>674.27966666666657</v>
      </c>
      <c r="D29" s="41">
        <v>646.06400000000008</v>
      </c>
      <c r="E29" s="41">
        <v>668.56400000000008</v>
      </c>
      <c r="F29" s="41">
        <v>996.2</v>
      </c>
      <c r="G29" s="41">
        <v>0</v>
      </c>
      <c r="H29" s="41">
        <v>0</v>
      </c>
    </row>
    <row r="30" spans="1:8">
      <c r="B30" s="25"/>
      <c r="C30" s="25"/>
      <c r="D30" s="25"/>
      <c r="E30" s="25"/>
      <c r="F30" s="25"/>
      <c r="G30" s="25"/>
      <c r="H30" s="25"/>
    </row>
    <row r="31" spans="1:8">
      <c r="A31" s="1" t="s">
        <v>41</v>
      </c>
      <c r="B31" s="41">
        <v>3113.7186999999913</v>
      </c>
      <c r="C31" s="41">
        <v>3253.2269999999917</v>
      </c>
      <c r="D31" s="41">
        <v>3434.1526999999905</v>
      </c>
      <c r="E31" s="41">
        <v>3707.6559999999904</v>
      </c>
      <c r="F31" s="41">
        <v>5285.5999999999904</v>
      </c>
      <c r="G31" s="41">
        <v>0</v>
      </c>
      <c r="H31" s="41">
        <v>0</v>
      </c>
    </row>
    <row r="32" spans="1:8">
      <c r="A32" s="1" t="s">
        <v>42</v>
      </c>
      <c r="B32" s="41">
        <v>646.95466666666664</v>
      </c>
      <c r="C32" s="41">
        <v>768.07966666666653</v>
      </c>
      <c r="D32" s="41">
        <v>794.0440000000001</v>
      </c>
      <c r="E32" s="41">
        <v>795.56400000000008</v>
      </c>
      <c r="F32" s="41">
        <v>996.2</v>
      </c>
      <c r="G32" s="41">
        <v>0</v>
      </c>
      <c r="H32" s="41">
        <v>0</v>
      </c>
    </row>
    <row r="33" spans="1:8">
      <c r="A33" s="1"/>
      <c r="B33" s="28"/>
      <c r="C33" s="28"/>
      <c r="D33" s="28"/>
      <c r="E33" s="28"/>
      <c r="F33" s="28"/>
      <c r="G33" s="28"/>
      <c r="H33" s="28"/>
    </row>
    <row r="34" spans="1:8">
      <c r="A34" s="1" t="s">
        <v>43</v>
      </c>
      <c r="B34" s="21">
        <v>140117.3414999996</v>
      </c>
      <c r="C34" s="21">
        <v>146395.21499999962</v>
      </c>
      <c r="D34" s="21">
        <v>154536.87149999957</v>
      </c>
      <c r="E34" s="21">
        <v>166844.51999999958</v>
      </c>
      <c r="F34" s="21">
        <v>237851.99999999956</v>
      </c>
      <c r="G34" s="21">
        <v>0</v>
      </c>
      <c r="H34" s="21">
        <v>0</v>
      </c>
    </row>
    <row r="35" spans="1:8">
      <c r="A35" s="1" t="s">
        <v>44</v>
      </c>
      <c r="B35" s="22">
        <v>48521.599999999999</v>
      </c>
      <c r="C35" s="22">
        <v>57605.974999999991</v>
      </c>
      <c r="D35" s="22">
        <v>59553.30000000001</v>
      </c>
      <c r="E35" s="22">
        <v>59667.3</v>
      </c>
      <c r="F35" s="22">
        <v>74715</v>
      </c>
      <c r="G35" s="22">
        <v>0</v>
      </c>
      <c r="H35" s="22">
        <v>0</v>
      </c>
    </row>
    <row r="36" spans="1:8">
      <c r="A36" s="23" t="s">
        <v>45</v>
      </c>
      <c r="B36" s="5">
        <v>1954.673</v>
      </c>
      <c r="C36" s="5">
        <v>1954.673</v>
      </c>
      <c r="D36" s="5">
        <v>1901.8440000000001</v>
      </c>
      <c r="E36" s="5">
        <v>1901.8440000000001</v>
      </c>
      <c r="F36" s="5">
        <v>0</v>
      </c>
      <c r="G36" s="5">
        <v>0</v>
      </c>
      <c r="H36" s="5">
        <v>0</v>
      </c>
    </row>
    <row r="37" spans="1:8">
      <c r="A37" s="23" t="s">
        <v>46</v>
      </c>
      <c r="B37" s="5">
        <v>5089.891699999991</v>
      </c>
      <c r="C37" s="5">
        <v>5276.0999999999913</v>
      </c>
      <c r="D37" s="5">
        <v>5426.4166999999907</v>
      </c>
      <c r="E37" s="5">
        <v>5664.5999999999904</v>
      </c>
      <c r="F37" s="5">
        <v>5285.5999999999904</v>
      </c>
      <c r="G37" s="5">
        <v>0</v>
      </c>
      <c r="H37" s="5">
        <v>0</v>
      </c>
    </row>
    <row r="38" spans="1:8">
      <c r="A38" s="23" t="s">
        <v>8</v>
      </c>
      <c r="B38" s="5">
        <v>3135.2186999999913</v>
      </c>
      <c r="C38" s="5">
        <v>3321.4269999999915</v>
      </c>
      <c r="D38" s="5">
        <v>3524.5726999999906</v>
      </c>
      <c r="E38" s="5">
        <v>3762.7559999999903</v>
      </c>
      <c r="F38" s="5">
        <v>5285.5999999999904</v>
      </c>
      <c r="G38" s="5">
        <v>0</v>
      </c>
      <c r="H38" s="5">
        <v>0</v>
      </c>
    </row>
    <row r="39" spans="1:8">
      <c r="A39" s="23" t="s">
        <v>10</v>
      </c>
      <c r="B39" s="6">
        <v>1.6039607136334268</v>
      </c>
      <c r="C39" s="6">
        <v>1.6992238599499718</v>
      </c>
      <c r="D39" s="6">
        <v>1.8532396453126494</v>
      </c>
      <c r="E39" s="6">
        <v>1.978477730034635</v>
      </c>
      <c r="F39" s="6" t="e">
        <v>#DIV/0!</v>
      </c>
      <c r="G39" s="6" t="e">
        <v>#DIV/0!</v>
      </c>
      <c r="H39" s="6" t="e">
        <v>#DIV/0!</v>
      </c>
    </row>
    <row r="40" spans="1:8">
      <c r="A40" s="23" t="s">
        <v>47</v>
      </c>
      <c r="B40" s="9">
        <v>141084.8414999996</v>
      </c>
      <c r="C40" s="9">
        <v>149464.21499999962</v>
      </c>
      <c r="D40" s="9">
        <v>158605.77149999957</v>
      </c>
      <c r="E40" s="9">
        <v>169324.01999999955</v>
      </c>
      <c r="F40" s="9">
        <v>237851.99999999956</v>
      </c>
      <c r="G40" s="9">
        <v>0</v>
      </c>
      <c r="H40" s="9">
        <v>0</v>
      </c>
    </row>
    <row r="45" spans="1:8">
      <c r="B45" s="59" t="s">
        <v>53</v>
      </c>
    </row>
  </sheetData>
  <mergeCells count="2">
    <mergeCell ref="J1:K1"/>
    <mergeCell ref="J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9ADD-116A-480E-B441-AD6BB0585831}">
  <dimension ref="A1:K40"/>
  <sheetViews>
    <sheetView workbookViewId="0">
      <selection activeCell="C20" sqref="C20"/>
    </sheetView>
  </sheetViews>
  <sheetFormatPr defaultRowHeight="14.45"/>
  <cols>
    <col min="1" max="1" width="82.5703125" bestFit="1" customWidth="1"/>
    <col min="2" max="5" width="25.140625" bestFit="1" customWidth="1"/>
    <col min="6" max="6" width="26.28515625" bestFit="1" customWidth="1"/>
    <col min="7" max="8" width="25.140625" bestFit="1" customWidth="1"/>
    <col min="10" max="10" width="18" bestFit="1" customWidth="1"/>
    <col min="11" max="11" width="11.140625" bestFit="1" customWidth="1"/>
  </cols>
  <sheetData>
    <row r="1" spans="1:11" ht="15" thickBot="1">
      <c r="A1" s="1" t="s">
        <v>0</v>
      </c>
      <c r="B1" s="24" t="s">
        <v>1</v>
      </c>
      <c r="C1" s="42">
        <v>46232</v>
      </c>
      <c r="D1" s="24"/>
      <c r="E1" s="24"/>
      <c r="F1" s="24"/>
      <c r="G1" s="24"/>
      <c r="H1" s="24"/>
      <c r="J1" s="56" t="s">
        <v>2</v>
      </c>
      <c r="K1" s="56"/>
    </row>
    <row r="2" spans="1:11">
      <c r="A2" t="s">
        <v>3</v>
      </c>
      <c r="B2" s="25">
        <v>218.59</v>
      </c>
      <c r="C2" s="25">
        <v>218.59</v>
      </c>
      <c r="D2" s="25">
        <v>218.59</v>
      </c>
      <c r="E2" s="25">
        <v>218.59</v>
      </c>
      <c r="F2" s="25">
        <v>218.59</v>
      </c>
      <c r="G2" s="25">
        <v>218.59</v>
      </c>
      <c r="H2" s="25">
        <v>218.59</v>
      </c>
      <c r="J2" s="5" t="s">
        <v>4</v>
      </c>
      <c r="K2" s="5">
        <v>7227.49</v>
      </c>
    </row>
    <row r="3" spans="1:11">
      <c r="A3" t="s">
        <v>5</v>
      </c>
      <c r="B3" s="25">
        <v>45.03</v>
      </c>
      <c r="C3" s="25">
        <v>45.03</v>
      </c>
      <c r="D3" s="25">
        <v>45.03</v>
      </c>
      <c r="E3" s="25">
        <v>45.03</v>
      </c>
      <c r="F3" s="25">
        <v>45.03</v>
      </c>
      <c r="G3" s="25">
        <v>45.03</v>
      </c>
      <c r="H3" s="25">
        <v>45.03</v>
      </c>
      <c r="J3" s="5" t="s">
        <v>6</v>
      </c>
      <c r="K3" s="5">
        <v>7217.33</v>
      </c>
    </row>
    <row r="4" spans="1:11">
      <c r="A4" t="s">
        <v>7</v>
      </c>
      <c r="B4" s="25">
        <v>44</v>
      </c>
      <c r="C4" s="25">
        <v>44</v>
      </c>
      <c r="D4" s="25">
        <v>44</v>
      </c>
      <c r="E4" s="25">
        <v>44</v>
      </c>
      <c r="F4" s="25">
        <v>44</v>
      </c>
      <c r="G4" s="25">
        <v>44</v>
      </c>
      <c r="H4" s="25">
        <v>44</v>
      </c>
      <c r="J4" s="5" t="s">
        <v>8</v>
      </c>
      <c r="K4" s="5">
        <f>K3-K2</f>
        <v>-10.159999999999854</v>
      </c>
    </row>
    <row r="5" spans="1:11">
      <c r="A5" t="s">
        <v>9</v>
      </c>
      <c r="B5" s="25">
        <v>2445.5</v>
      </c>
      <c r="C5" s="25">
        <v>2445.5</v>
      </c>
      <c r="D5" s="25">
        <v>2445.5</v>
      </c>
      <c r="E5" s="25">
        <v>2445.5</v>
      </c>
      <c r="F5" s="25">
        <v>2445.5</v>
      </c>
      <c r="G5" s="25">
        <v>2445.5</v>
      </c>
      <c r="H5" s="25">
        <v>2445.5</v>
      </c>
      <c r="J5" s="5" t="s">
        <v>10</v>
      </c>
      <c r="K5" s="6">
        <f>(K3-K2)/K2</f>
        <v>-1.4057439027933426E-3</v>
      </c>
    </row>
    <row r="6" spans="1:11">
      <c r="A6" t="s">
        <v>11</v>
      </c>
      <c r="B6" s="25">
        <v>46.230800000000002</v>
      </c>
      <c r="C6" s="25">
        <v>46.230800000000002</v>
      </c>
      <c r="D6" s="25">
        <v>46.230800000000002</v>
      </c>
      <c r="E6" s="25">
        <v>46.230800000000002</v>
      </c>
      <c r="F6" s="25">
        <v>46.230800000000002</v>
      </c>
      <c r="G6" s="25">
        <v>46.230800000000002</v>
      </c>
      <c r="H6" s="25">
        <v>46.230800000000002</v>
      </c>
      <c r="J6" s="5" t="s">
        <v>12</v>
      </c>
      <c r="K6" s="9">
        <f>K4*45</f>
        <v>-457.19999999999345</v>
      </c>
    </row>
    <row r="7" spans="1:11">
      <c r="B7" s="25"/>
      <c r="C7" s="25"/>
      <c r="D7" s="25"/>
      <c r="E7" s="25"/>
      <c r="F7" s="25"/>
      <c r="G7" s="25"/>
      <c r="H7" s="25"/>
    </row>
    <row r="8" spans="1:11" ht="15" thickBot="1">
      <c r="A8" s="1" t="s">
        <v>13</v>
      </c>
      <c r="B8" s="25" t="s">
        <v>54</v>
      </c>
      <c r="C8" s="25" t="s">
        <v>54</v>
      </c>
      <c r="D8" s="25" t="s">
        <v>54</v>
      </c>
      <c r="E8" s="25" t="s">
        <v>54</v>
      </c>
      <c r="F8" s="25"/>
      <c r="G8" s="25"/>
      <c r="H8" s="25"/>
      <c r="J8" s="56" t="s">
        <v>17</v>
      </c>
      <c r="K8" s="56"/>
    </row>
    <row r="9" spans="1:11" ht="15" thickBot="1">
      <c r="A9" t="s">
        <v>18</v>
      </c>
      <c r="B9" s="27">
        <v>44</v>
      </c>
      <c r="C9" s="27">
        <v>43</v>
      </c>
      <c r="D9" s="27">
        <v>44</v>
      </c>
      <c r="E9" s="27">
        <v>44</v>
      </c>
      <c r="F9" s="27"/>
      <c r="G9" s="27"/>
      <c r="H9" s="27"/>
      <c r="J9" s="5" t="s">
        <v>4</v>
      </c>
      <c r="K9" s="5">
        <v>1489.9</v>
      </c>
    </row>
    <row r="10" spans="1:11">
      <c r="A10" t="s">
        <v>19</v>
      </c>
      <c r="B10" s="28">
        <v>0</v>
      </c>
      <c r="C10" s="28">
        <v>-1</v>
      </c>
      <c r="D10" s="28">
        <v>0</v>
      </c>
      <c r="E10" s="28">
        <v>0</v>
      </c>
      <c r="F10" s="28">
        <v>-44</v>
      </c>
      <c r="G10" s="28">
        <v>-44</v>
      </c>
      <c r="H10" s="28">
        <v>-44</v>
      </c>
      <c r="J10" s="5" t="s">
        <v>6</v>
      </c>
      <c r="K10" s="5">
        <v>1425.83</v>
      </c>
    </row>
    <row r="11" spans="1:11">
      <c r="A11" t="s">
        <v>20</v>
      </c>
      <c r="B11" s="28">
        <v>0</v>
      </c>
      <c r="C11" s="28">
        <v>-51.004333333333335</v>
      </c>
      <c r="D11" s="28">
        <v>0</v>
      </c>
      <c r="E11" s="28">
        <v>0</v>
      </c>
      <c r="F11" s="28">
        <v>-2244.1906666666669</v>
      </c>
      <c r="G11" s="28">
        <v>-2244.1906666666669</v>
      </c>
      <c r="H11" s="28">
        <v>-2244.1906666666669</v>
      </c>
      <c r="J11" s="5" t="s">
        <v>8</v>
      </c>
      <c r="K11" s="5">
        <f>K10-K9</f>
        <v>-64.070000000000164</v>
      </c>
    </row>
    <row r="12" spans="1:11">
      <c r="B12" s="25"/>
      <c r="C12" s="25"/>
      <c r="D12" s="25"/>
      <c r="E12" s="25"/>
      <c r="F12" s="25"/>
      <c r="G12" s="25"/>
      <c r="H12" s="25"/>
      <c r="J12" s="5" t="s">
        <v>10</v>
      </c>
      <c r="K12" s="6">
        <f>(K10-K9)/K9</f>
        <v>-4.3002886099738347E-2</v>
      </c>
    </row>
    <row r="13" spans="1:11" ht="15" thickBot="1">
      <c r="A13" s="1" t="s">
        <v>21</v>
      </c>
      <c r="B13" s="25"/>
      <c r="C13" s="25"/>
      <c r="D13" s="25"/>
      <c r="E13" s="25"/>
      <c r="F13" s="25"/>
      <c r="G13" s="25"/>
      <c r="H13" s="25"/>
      <c r="J13" s="5" t="s">
        <v>12</v>
      </c>
      <c r="K13" s="9">
        <f>K11*45</f>
        <v>-2883.1500000000074</v>
      </c>
    </row>
    <row r="14" spans="1:11" ht="15" thickBot="1">
      <c r="A14" t="s">
        <v>22</v>
      </c>
      <c r="B14" s="29">
        <v>12.6</v>
      </c>
      <c r="C14" s="29">
        <v>40.200000000000003</v>
      </c>
      <c r="D14" s="43">
        <v>80.209999999999994</v>
      </c>
      <c r="E14" s="43">
        <v>27.5</v>
      </c>
      <c r="F14" s="43"/>
      <c r="G14" s="43"/>
      <c r="H14" s="43"/>
    </row>
    <row r="15" spans="1:11" ht="15" thickBot="1">
      <c r="A15" t="s">
        <v>23</v>
      </c>
      <c r="B15" s="30">
        <v>4.63</v>
      </c>
      <c r="C15" s="43">
        <v>8.27</v>
      </c>
      <c r="D15" s="43">
        <v>4.66</v>
      </c>
      <c r="E15" s="43">
        <v>10.7</v>
      </c>
      <c r="F15" s="43"/>
      <c r="G15" s="43"/>
      <c r="H15" s="43"/>
    </row>
    <row r="16" spans="1:11" ht="15" customHeight="1" thickBot="1">
      <c r="B16" s="31" t="s">
        <v>24</v>
      </c>
      <c r="C16" s="31" t="s">
        <v>50</v>
      </c>
      <c r="D16" s="31" t="s">
        <v>51</v>
      </c>
      <c r="E16" s="31" t="s">
        <v>52</v>
      </c>
      <c r="F16" s="31"/>
      <c r="G16" s="31"/>
      <c r="H16" s="31"/>
    </row>
    <row r="17" spans="1:8">
      <c r="A17" s="32" t="s">
        <v>30</v>
      </c>
      <c r="B17" s="33">
        <v>46209</v>
      </c>
      <c r="C17" s="34">
        <v>46223</v>
      </c>
      <c r="D17" s="34">
        <v>46237</v>
      </c>
      <c r="E17" s="34">
        <v>46251</v>
      </c>
      <c r="F17" s="34">
        <v>46265</v>
      </c>
      <c r="G17" s="34">
        <v>46279</v>
      </c>
      <c r="H17" s="35">
        <v>46293</v>
      </c>
    </row>
    <row r="18" spans="1:8" ht="15" thickBot="1">
      <c r="A18" s="36" t="s">
        <v>31</v>
      </c>
      <c r="B18" s="37">
        <v>46222</v>
      </c>
      <c r="C18" s="38">
        <v>46236</v>
      </c>
      <c r="D18" s="38">
        <v>46250</v>
      </c>
      <c r="E18" s="38">
        <v>46264</v>
      </c>
      <c r="F18" s="38">
        <v>46278</v>
      </c>
      <c r="G18" s="38">
        <v>46292</v>
      </c>
      <c r="H18" s="39">
        <v>46306</v>
      </c>
    </row>
    <row r="19" spans="1:8" ht="15" thickBot="1">
      <c r="A19" t="s">
        <v>32</v>
      </c>
      <c r="B19" s="25">
        <v>2244.1906666666669</v>
      </c>
      <c r="C19" s="25">
        <v>2193.1863333333336</v>
      </c>
      <c r="D19" s="25">
        <v>2244.1906666666669</v>
      </c>
      <c r="E19" s="25">
        <v>2244.1906666666669</v>
      </c>
      <c r="F19" s="25">
        <v>0</v>
      </c>
      <c r="G19" s="25">
        <v>0</v>
      </c>
      <c r="H19" s="25">
        <v>0</v>
      </c>
    </row>
    <row r="20" spans="1:8" ht="15" thickBot="1">
      <c r="A20" t="s">
        <v>33</v>
      </c>
      <c r="B20" s="40">
        <v>5089.891699999991</v>
      </c>
      <c r="C20" s="40">
        <v>5276.0999999999913</v>
      </c>
      <c r="D20" s="40">
        <v>5426.4166999999907</v>
      </c>
      <c r="E20" s="40">
        <v>5524.8499999999904</v>
      </c>
      <c r="F20" s="40">
        <v>5273.5999999999904</v>
      </c>
      <c r="G20" s="40">
        <v>0</v>
      </c>
      <c r="H20" s="40">
        <v>0</v>
      </c>
    </row>
    <row r="21" spans="1:8" ht="15" thickBot="1">
      <c r="A21" t="s">
        <v>34</v>
      </c>
      <c r="B21" s="25">
        <v>462.30800000000005</v>
      </c>
      <c r="C21" s="25">
        <v>451.80099999999999</v>
      </c>
      <c r="D21" s="25">
        <v>462.30800000000005</v>
      </c>
      <c r="E21" s="25">
        <v>462.30800000000005</v>
      </c>
      <c r="F21" s="25">
        <v>0</v>
      </c>
      <c r="G21" s="25">
        <v>0</v>
      </c>
      <c r="H21" s="25">
        <v>0</v>
      </c>
    </row>
    <row r="22" spans="1:8" ht="15" thickBot="1">
      <c r="A22" t="s">
        <v>35</v>
      </c>
      <c r="B22" s="40">
        <v>977.375</v>
      </c>
      <c r="C22" s="40">
        <v>1069.5999999999999</v>
      </c>
      <c r="D22" s="40">
        <v>1030.7</v>
      </c>
      <c r="E22" s="40">
        <v>962.7</v>
      </c>
      <c r="F22" s="40">
        <v>984.7</v>
      </c>
      <c r="G22" s="40">
        <v>0</v>
      </c>
      <c r="H22" s="40">
        <v>0</v>
      </c>
    </row>
    <row r="23" spans="1:8" ht="15" thickBot="1">
      <c r="B23" s="25"/>
      <c r="C23" s="25"/>
      <c r="D23" s="25"/>
      <c r="E23" s="25"/>
      <c r="F23" s="25"/>
      <c r="G23" s="25"/>
      <c r="H23" s="25"/>
    </row>
    <row r="24" spans="1:8" ht="15" thickBot="1">
      <c r="A24" t="s">
        <v>36</v>
      </c>
      <c r="B24" s="40">
        <v>5074.0916999999918</v>
      </c>
      <c r="C24" s="40">
        <v>5234.1999999999916</v>
      </c>
      <c r="D24" s="40">
        <v>5328.9166999999907</v>
      </c>
      <c r="E24" s="40">
        <v>5449.3499999999904</v>
      </c>
      <c r="F24" s="40">
        <v>5003.9999999999909</v>
      </c>
      <c r="G24" s="40">
        <v>0</v>
      </c>
      <c r="H24" s="40">
        <v>0</v>
      </c>
    </row>
    <row r="25" spans="1:8" ht="15" thickBot="1">
      <c r="A25" t="s">
        <v>37</v>
      </c>
      <c r="B25" s="40">
        <v>15.8</v>
      </c>
      <c r="C25" s="40">
        <v>41.9</v>
      </c>
      <c r="D25" s="40">
        <v>97.5</v>
      </c>
      <c r="E25" s="40">
        <v>75.5</v>
      </c>
      <c r="F25" s="40">
        <v>269.60000000000002</v>
      </c>
      <c r="G25" s="40">
        <v>0</v>
      </c>
      <c r="H25" s="40">
        <v>0</v>
      </c>
    </row>
    <row r="26" spans="1:8">
      <c r="B26" s="25"/>
      <c r="C26" s="25"/>
      <c r="D26" s="25"/>
      <c r="E26" s="25"/>
      <c r="F26" s="25"/>
      <c r="G26" s="25"/>
      <c r="H26" s="25"/>
    </row>
    <row r="27" spans="1:8">
      <c r="A27" s="1" t="s">
        <v>38</v>
      </c>
      <c r="B27" s="25"/>
      <c r="C27" s="25"/>
      <c r="D27" s="25"/>
      <c r="E27" s="25"/>
      <c r="F27" s="25"/>
      <c r="G27" s="25"/>
      <c r="H27" s="25"/>
    </row>
    <row r="28" spans="1:8">
      <c r="A28" t="s">
        <v>39</v>
      </c>
      <c r="B28" s="41">
        <v>2845.7010333333242</v>
      </c>
      <c r="C28" s="41">
        <v>3082.9136666666577</v>
      </c>
      <c r="D28" s="41">
        <v>3182.2260333333238</v>
      </c>
      <c r="E28" s="41">
        <v>3280.6593333333235</v>
      </c>
      <c r="F28" s="41">
        <v>5273.5999999999904</v>
      </c>
      <c r="G28" s="41">
        <v>0</v>
      </c>
      <c r="H28" s="41">
        <v>0</v>
      </c>
    </row>
    <row r="29" spans="1:8">
      <c r="A29" t="s">
        <v>40</v>
      </c>
      <c r="B29" s="41">
        <v>515.06700000000001</v>
      </c>
      <c r="C29" s="41">
        <v>617.79899999999998</v>
      </c>
      <c r="D29" s="41">
        <v>568.39200000000005</v>
      </c>
      <c r="E29" s="41">
        <v>500.392</v>
      </c>
      <c r="F29" s="41">
        <v>984.7</v>
      </c>
      <c r="G29" s="41">
        <v>0</v>
      </c>
      <c r="H29" s="41">
        <v>0</v>
      </c>
    </row>
    <row r="30" spans="1:8">
      <c r="B30" s="25"/>
      <c r="C30" s="25"/>
      <c r="D30" s="25"/>
      <c r="E30" s="25"/>
      <c r="F30" s="25"/>
      <c r="G30" s="25"/>
      <c r="H30" s="25"/>
    </row>
    <row r="31" spans="1:8">
      <c r="A31" s="1" t="s">
        <v>41</v>
      </c>
      <c r="B31" s="41">
        <v>2858.3010333333241</v>
      </c>
      <c r="C31" s="41">
        <v>3123.1136666666575</v>
      </c>
      <c r="D31" s="41">
        <v>3262.4360333333238</v>
      </c>
      <c r="E31" s="41">
        <v>3308.1593333333235</v>
      </c>
      <c r="F31" s="41">
        <v>5273.5999999999904</v>
      </c>
      <c r="G31" s="41">
        <v>0</v>
      </c>
      <c r="H31" s="41">
        <v>0</v>
      </c>
    </row>
    <row r="32" spans="1:8">
      <c r="A32" s="1" t="s">
        <v>42</v>
      </c>
      <c r="B32" s="41">
        <v>519.697</v>
      </c>
      <c r="C32" s="41">
        <v>626.06899999999996</v>
      </c>
      <c r="D32" s="41">
        <v>573.05200000000002</v>
      </c>
      <c r="E32" s="41">
        <v>511.09199999999998</v>
      </c>
      <c r="F32" s="41">
        <v>984.7</v>
      </c>
      <c r="G32" s="41">
        <v>0</v>
      </c>
      <c r="H32" s="41">
        <v>0</v>
      </c>
    </row>
    <row r="33" spans="1:8">
      <c r="A33" s="1"/>
      <c r="B33" s="28"/>
      <c r="C33" s="28"/>
      <c r="D33" s="28"/>
      <c r="E33" s="28"/>
      <c r="F33" s="28"/>
      <c r="G33" s="28"/>
      <c r="H33" s="28"/>
    </row>
    <row r="34" spans="1:8">
      <c r="A34" s="1" t="s">
        <v>43</v>
      </c>
      <c r="B34" s="21">
        <v>128623.54649999959</v>
      </c>
      <c r="C34" s="21">
        <v>140540.11499999958</v>
      </c>
      <c r="D34" s="21">
        <v>146809.62149999957</v>
      </c>
      <c r="E34" s="21">
        <v>148867.16999999955</v>
      </c>
      <c r="F34" s="21">
        <v>237311.99999999956</v>
      </c>
      <c r="G34" s="21">
        <v>0</v>
      </c>
      <c r="H34" s="21">
        <v>0</v>
      </c>
    </row>
    <row r="35" spans="1:8">
      <c r="A35" s="1" t="s">
        <v>44</v>
      </c>
      <c r="B35" s="22">
        <v>38977.275000000001</v>
      </c>
      <c r="C35" s="22">
        <v>46955.174999999996</v>
      </c>
      <c r="D35" s="22">
        <v>42978.9</v>
      </c>
      <c r="E35" s="22">
        <v>38331.9</v>
      </c>
      <c r="F35" s="22">
        <v>73852.5</v>
      </c>
      <c r="G35" s="22">
        <v>0</v>
      </c>
      <c r="H35" s="22">
        <v>0</v>
      </c>
    </row>
    <row r="36" spans="1:8">
      <c r="A36" s="23" t="s">
        <v>45</v>
      </c>
      <c r="B36" s="5">
        <v>2244.1906666666669</v>
      </c>
      <c r="C36" s="5">
        <v>2193.1863333333336</v>
      </c>
      <c r="D36" s="5">
        <v>2244.1906666666669</v>
      </c>
      <c r="E36" s="5">
        <v>2244.1906666666669</v>
      </c>
      <c r="F36" s="5">
        <v>0</v>
      </c>
      <c r="G36" s="5">
        <v>0</v>
      </c>
      <c r="H36" s="5">
        <v>0</v>
      </c>
    </row>
    <row r="37" spans="1:8">
      <c r="A37" s="23" t="s">
        <v>46</v>
      </c>
      <c r="B37" s="5">
        <v>5089.891699999991</v>
      </c>
      <c r="C37" s="5">
        <v>5276.0999999999913</v>
      </c>
      <c r="D37" s="5">
        <v>5426.4166999999907</v>
      </c>
      <c r="E37" s="5">
        <v>5524.8499999999904</v>
      </c>
      <c r="F37" s="5">
        <v>5273.5999999999904</v>
      </c>
      <c r="G37" s="5">
        <v>0</v>
      </c>
      <c r="H37" s="5">
        <v>0</v>
      </c>
    </row>
    <row r="38" spans="1:8">
      <c r="A38" s="23" t="s">
        <v>8</v>
      </c>
      <c r="B38" s="5">
        <v>2845.7010333333242</v>
      </c>
      <c r="C38" s="5">
        <v>3082.9136666666577</v>
      </c>
      <c r="D38" s="5">
        <v>3182.2260333333238</v>
      </c>
      <c r="E38" s="5">
        <v>3280.6593333333235</v>
      </c>
      <c r="F38" s="5">
        <v>5273.5999999999904</v>
      </c>
      <c r="G38" s="5">
        <v>0</v>
      </c>
      <c r="H38" s="5">
        <v>0</v>
      </c>
    </row>
    <row r="39" spans="1:8">
      <c r="A39" s="23" t="s">
        <v>10</v>
      </c>
      <c r="B39" s="6">
        <v>1.2680299742802561</v>
      </c>
      <c r="C39" s="6">
        <v>1.4056779489324394</v>
      </c>
      <c r="D39" s="6">
        <v>1.417983810644724</v>
      </c>
      <c r="E39" s="6">
        <v>1.4618451908126597</v>
      </c>
      <c r="F39" s="6" t="e">
        <v>#DIV/0!</v>
      </c>
      <c r="G39" s="6" t="e">
        <v>#DIV/0!</v>
      </c>
      <c r="H39" s="6" t="e">
        <v>#DIV/0!</v>
      </c>
    </row>
    <row r="40" spans="1:8">
      <c r="A40" s="23" t="s">
        <v>47</v>
      </c>
      <c r="B40" s="9">
        <v>128056.54649999959</v>
      </c>
      <c r="C40" s="9">
        <v>138731.11499999958</v>
      </c>
      <c r="D40" s="9">
        <v>143200.17149999956</v>
      </c>
      <c r="E40" s="9">
        <v>147629.66999999955</v>
      </c>
      <c r="F40" s="9">
        <v>237311.99999999956</v>
      </c>
      <c r="G40" s="9">
        <v>0</v>
      </c>
      <c r="H40" s="9">
        <v>0</v>
      </c>
    </row>
  </sheetData>
  <mergeCells count="2">
    <mergeCell ref="J1:K1"/>
    <mergeCell ref="J8:K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2A43-3861-426F-ABF2-21D7ABF063C7}">
  <dimension ref="A1:L40"/>
  <sheetViews>
    <sheetView workbookViewId="0">
      <selection activeCell="C20" sqref="C20"/>
    </sheetView>
  </sheetViews>
  <sheetFormatPr defaultRowHeight="14.45"/>
  <cols>
    <col min="1" max="1" width="83.7109375" bestFit="1" customWidth="1"/>
    <col min="2" max="2" width="25.140625" bestFit="1" customWidth="1"/>
    <col min="3" max="3" width="23.28515625" style="25" bestFit="1" customWidth="1"/>
    <col min="4" max="8" width="25.140625" bestFit="1" customWidth="1"/>
    <col min="10" max="10" width="20" customWidth="1"/>
    <col min="11" max="11" width="16.42578125" customWidth="1"/>
    <col min="12" max="12" width="21.42578125" style="44" bestFit="1" customWidth="1"/>
  </cols>
  <sheetData>
    <row r="1" spans="1:12" ht="15" thickBot="1">
      <c r="A1" s="1" t="s">
        <v>0</v>
      </c>
      <c r="B1" s="24"/>
      <c r="C1" s="24"/>
      <c r="D1" s="24"/>
      <c r="E1" s="24">
        <v>46253</v>
      </c>
      <c r="F1" s="24"/>
      <c r="G1" s="24"/>
      <c r="H1" s="24"/>
      <c r="J1" s="56" t="s">
        <v>2</v>
      </c>
      <c r="K1" s="56"/>
    </row>
    <row r="2" spans="1:12">
      <c r="A2" t="s">
        <v>3</v>
      </c>
      <c r="B2" s="25">
        <v>209.82</v>
      </c>
      <c r="C2" s="25">
        <v>209.82</v>
      </c>
      <c r="D2" s="25">
        <v>209.82</v>
      </c>
      <c r="E2" s="25">
        <v>209.82</v>
      </c>
      <c r="F2" s="25">
        <v>209.82</v>
      </c>
      <c r="G2" s="25">
        <v>209.82</v>
      </c>
      <c r="H2" s="25">
        <v>209.82</v>
      </c>
      <c r="J2" s="5" t="s">
        <v>4</v>
      </c>
      <c r="K2" s="5">
        <v>5367.9</v>
      </c>
    </row>
    <row r="3" spans="1:12">
      <c r="A3" t="s">
        <v>5</v>
      </c>
      <c r="B3" s="25">
        <v>43.63</v>
      </c>
      <c r="C3" s="25">
        <v>43.63</v>
      </c>
      <c r="D3" s="25">
        <v>43.63</v>
      </c>
      <c r="E3" s="25">
        <v>43.63</v>
      </c>
      <c r="F3" s="25">
        <v>43.63</v>
      </c>
      <c r="G3" s="25">
        <v>43.63</v>
      </c>
      <c r="H3" s="25">
        <v>43.63</v>
      </c>
      <c r="J3" s="5" t="s">
        <v>6</v>
      </c>
      <c r="K3" s="5">
        <v>5569.61</v>
      </c>
      <c r="L3" s="44">
        <f>K3/K2</f>
        <v>1.0375770785595857</v>
      </c>
    </row>
    <row r="4" spans="1:12">
      <c r="A4" t="s">
        <v>7</v>
      </c>
      <c r="B4" s="25">
        <v>34</v>
      </c>
      <c r="C4" s="25">
        <v>34</v>
      </c>
      <c r="D4" s="25">
        <v>34</v>
      </c>
      <c r="E4" s="25">
        <v>34</v>
      </c>
      <c r="F4" s="25">
        <v>34</v>
      </c>
      <c r="G4" s="25">
        <v>34</v>
      </c>
      <c r="H4" s="25">
        <v>34</v>
      </c>
      <c r="J4" s="5" t="s">
        <v>8</v>
      </c>
      <c r="K4" s="5">
        <f>K3-K2</f>
        <v>201.71000000000004</v>
      </c>
    </row>
    <row r="5" spans="1:12">
      <c r="A5" t="s">
        <v>9</v>
      </c>
      <c r="B5" s="25">
        <v>1667</v>
      </c>
      <c r="C5" s="25">
        <v>1667</v>
      </c>
      <c r="D5" s="25">
        <v>1667</v>
      </c>
      <c r="E5" s="25">
        <v>1667</v>
      </c>
      <c r="F5" s="25">
        <v>1667</v>
      </c>
      <c r="G5" s="25">
        <v>1667</v>
      </c>
      <c r="H5" s="25">
        <v>1667</v>
      </c>
      <c r="J5" s="5" t="s">
        <v>10</v>
      </c>
      <c r="K5" s="6">
        <f>(K3-K2)/K2</f>
        <v>3.7577078559585697E-2</v>
      </c>
    </row>
    <row r="6" spans="1:12">
      <c r="A6" s="7" t="s">
        <v>11</v>
      </c>
      <c r="B6" s="26">
        <v>34.61313333333333</v>
      </c>
      <c r="C6" s="26">
        <v>34.61313333333333</v>
      </c>
      <c r="D6" s="26">
        <v>34.61313333333333</v>
      </c>
      <c r="E6" s="26">
        <v>34.61313333333333</v>
      </c>
      <c r="F6" s="26">
        <v>34.61313333333333</v>
      </c>
      <c r="G6" s="26">
        <v>34.61313333333333</v>
      </c>
      <c r="H6" s="26">
        <v>34.61313333333333</v>
      </c>
      <c r="J6" s="5" t="s">
        <v>12</v>
      </c>
      <c r="K6" s="9">
        <f>K4*45</f>
        <v>9076.9500000000007</v>
      </c>
    </row>
    <row r="7" spans="1:12">
      <c r="B7" s="25"/>
      <c r="D7" s="25"/>
      <c r="E7" s="25"/>
      <c r="F7" s="25"/>
      <c r="G7" s="25"/>
      <c r="H7" s="25"/>
    </row>
    <row r="8" spans="1:12" ht="15" thickBot="1">
      <c r="A8" s="1" t="s">
        <v>13</v>
      </c>
      <c r="B8" s="25"/>
      <c r="C8" s="25" t="s">
        <v>55</v>
      </c>
      <c r="D8" s="25"/>
      <c r="E8" s="25" t="s">
        <v>55</v>
      </c>
      <c r="F8" s="25"/>
      <c r="G8" s="25"/>
      <c r="H8" s="25"/>
      <c r="J8" s="56" t="s">
        <v>17</v>
      </c>
      <c r="K8" s="56"/>
    </row>
    <row r="9" spans="1:12" ht="15" thickBot="1">
      <c r="A9" t="s">
        <v>18</v>
      </c>
      <c r="B9" s="27"/>
      <c r="C9" s="27">
        <v>33</v>
      </c>
      <c r="D9" s="27">
        <v>33</v>
      </c>
      <c r="E9" s="27">
        <v>32</v>
      </c>
      <c r="F9" s="27"/>
      <c r="G9" s="27"/>
      <c r="H9" s="27"/>
      <c r="J9" s="5" t="s">
        <v>4</v>
      </c>
      <c r="K9" s="5">
        <v>1116.2</v>
      </c>
    </row>
    <row r="10" spans="1:12">
      <c r="A10" t="s">
        <v>19</v>
      </c>
      <c r="B10" s="28">
        <v>-34</v>
      </c>
      <c r="C10" s="28">
        <v>-1</v>
      </c>
      <c r="D10" s="28">
        <v>-1</v>
      </c>
      <c r="E10" s="28">
        <v>-2</v>
      </c>
      <c r="F10" s="28">
        <v>-34</v>
      </c>
      <c r="G10" s="28">
        <v>-34</v>
      </c>
      <c r="H10" s="28">
        <v>-34</v>
      </c>
      <c r="J10" s="5" t="s">
        <v>6</v>
      </c>
      <c r="K10" s="5">
        <v>1480.92</v>
      </c>
      <c r="L10" s="44">
        <f>K10/K9</f>
        <v>1.3267514782297078</v>
      </c>
    </row>
    <row r="11" spans="1:12">
      <c r="A11" t="s">
        <v>20</v>
      </c>
      <c r="B11" s="28">
        <v>-1664.5720000000001</v>
      </c>
      <c r="C11" s="28">
        <v>-48.957999999999998</v>
      </c>
      <c r="D11" s="28">
        <v>-48.957999999999998</v>
      </c>
      <c r="E11" s="28">
        <v>-97.915999999999997</v>
      </c>
      <c r="F11" s="28">
        <v>-1664.5720000000001</v>
      </c>
      <c r="G11" s="28">
        <v>-1664.5720000000001</v>
      </c>
      <c r="H11" s="28">
        <v>-1664.5720000000001</v>
      </c>
      <c r="J11" s="5" t="s">
        <v>8</v>
      </c>
      <c r="K11" s="5">
        <f>K10-K9</f>
        <v>364.72</v>
      </c>
    </row>
    <row r="12" spans="1:12">
      <c r="B12" s="28"/>
      <c r="C12" s="28"/>
      <c r="D12" s="28"/>
      <c r="E12" s="28"/>
      <c r="F12" s="28"/>
      <c r="G12" s="28"/>
      <c r="H12" s="28"/>
      <c r="J12" s="5" t="s">
        <v>10</v>
      </c>
      <c r="K12" s="6">
        <f>(K10-K9)/K9</f>
        <v>0.32675147822970796</v>
      </c>
    </row>
    <row r="13" spans="1:12" ht="15" thickBot="1">
      <c r="A13" s="1" t="s">
        <v>21</v>
      </c>
      <c r="B13" s="25"/>
      <c r="D13" s="25"/>
      <c r="E13" s="25"/>
      <c r="F13" s="25"/>
      <c r="G13" s="25"/>
      <c r="H13" s="25"/>
      <c r="J13" s="5" t="s">
        <v>12</v>
      </c>
      <c r="K13" s="9">
        <f>K11*45</f>
        <v>16412.400000000001</v>
      </c>
    </row>
    <row r="14" spans="1:12" ht="15" thickBot="1">
      <c r="A14" t="s">
        <v>22</v>
      </c>
      <c r="B14" s="29">
        <v>-11.2</v>
      </c>
      <c r="C14" s="29">
        <v>186</v>
      </c>
      <c r="D14" s="29"/>
      <c r="E14" s="29">
        <v>202</v>
      </c>
      <c r="F14" s="29"/>
      <c r="G14" s="29"/>
      <c r="H14" s="29"/>
    </row>
    <row r="15" spans="1:12" ht="15" thickBot="1">
      <c r="A15" t="s">
        <v>23</v>
      </c>
      <c r="B15" s="30">
        <v>23.8</v>
      </c>
      <c r="C15" s="30">
        <v>215</v>
      </c>
      <c r="D15" s="30"/>
      <c r="E15" s="30">
        <v>365</v>
      </c>
      <c r="F15" s="30"/>
      <c r="G15" s="30"/>
      <c r="H15" s="30"/>
    </row>
    <row r="16" spans="1:12" ht="15" customHeight="1" thickBot="1">
      <c r="B16" s="31"/>
      <c r="C16" s="31" t="s">
        <v>56</v>
      </c>
      <c r="D16" s="31"/>
      <c r="E16" s="31">
        <v>46251</v>
      </c>
      <c r="F16" s="31"/>
      <c r="G16" s="31"/>
      <c r="H16" s="31"/>
    </row>
    <row r="17" spans="1:8">
      <c r="A17" s="32" t="s">
        <v>30</v>
      </c>
      <c r="B17" s="33">
        <v>46209</v>
      </c>
      <c r="C17" s="34">
        <v>46223</v>
      </c>
      <c r="D17" s="34">
        <v>46237</v>
      </c>
      <c r="E17" s="34">
        <v>46251</v>
      </c>
      <c r="F17" s="34">
        <v>46265</v>
      </c>
      <c r="G17" s="34">
        <v>46279</v>
      </c>
      <c r="H17" s="35">
        <v>46293</v>
      </c>
    </row>
    <row r="18" spans="1:8" ht="15" thickBot="1">
      <c r="A18" s="36" t="s">
        <v>31</v>
      </c>
      <c r="B18" s="37">
        <v>46222</v>
      </c>
      <c r="C18" s="38">
        <v>46236</v>
      </c>
      <c r="D18" s="38">
        <v>46250</v>
      </c>
      <c r="E18" s="38">
        <v>46264</v>
      </c>
      <c r="F18" s="38">
        <v>46278</v>
      </c>
      <c r="G18" s="38">
        <v>46292</v>
      </c>
      <c r="H18" s="39">
        <v>46306</v>
      </c>
    </row>
    <row r="19" spans="1:8" ht="15" thickBot="1">
      <c r="A19" t="s">
        <v>32</v>
      </c>
      <c r="B19" s="25">
        <v>0</v>
      </c>
      <c r="C19" s="25">
        <v>1615.614</v>
      </c>
      <c r="D19" s="25">
        <v>1615.614</v>
      </c>
      <c r="E19" s="25">
        <v>1566.6559999999999</v>
      </c>
      <c r="F19" s="25">
        <v>0</v>
      </c>
      <c r="G19" s="25">
        <v>0</v>
      </c>
      <c r="H19" s="25">
        <v>0</v>
      </c>
    </row>
    <row r="20" spans="1:8" ht="15" thickBot="1">
      <c r="A20" t="s">
        <v>33</v>
      </c>
      <c r="B20" s="40">
        <v>1590.55</v>
      </c>
      <c r="C20" s="40">
        <v>1652.85</v>
      </c>
      <c r="D20" s="40">
        <v>1593.8499999999997</v>
      </c>
      <c r="E20" s="40">
        <v>1563.2499999999995</v>
      </c>
      <c r="F20" s="40">
        <v>1603.7999999999995</v>
      </c>
      <c r="G20" s="40">
        <v>0</v>
      </c>
      <c r="H20" s="40">
        <v>0</v>
      </c>
    </row>
    <row r="21" spans="1:8" ht="15" thickBot="1">
      <c r="A21" t="s">
        <v>34</v>
      </c>
      <c r="B21" s="25">
        <v>0</v>
      </c>
      <c r="C21" s="25">
        <v>335.95100000000002</v>
      </c>
      <c r="D21" s="25">
        <v>335.95100000000002</v>
      </c>
      <c r="E21" s="25">
        <v>325.77066666666667</v>
      </c>
      <c r="F21" s="25">
        <v>0</v>
      </c>
      <c r="G21" s="25">
        <v>0</v>
      </c>
      <c r="H21" s="25">
        <v>0</v>
      </c>
    </row>
    <row r="22" spans="1:8" ht="15" thickBot="1">
      <c r="A22" t="s">
        <v>35</v>
      </c>
      <c r="B22" s="40">
        <v>407.5</v>
      </c>
      <c r="C22" s="40">
        <v>460.25000000000006</v>
      </c>
      <c r="D22" s="40">
        <v>429.25000000000006</v>
      </c>
      <c r="E22" s="40">
        <v>408.25000000000006</v>
      </c>
      <c r="F22" s="40">
        <v>469.80000000000007</v>
      </c>
      <c r="G22" s="40">
        <v>0</v>
      </c>
      <c r="H22" s="40">
        <v>0</v>
      </c>
    </row>
    <row r="23" spans="1:8" ht="15" thickBot="1">
      <c r="B23" s="25"/>
      <c r="D23" s="25"/>
      <c r="E23" s="25"/>
      <c r="F23" s="25"/>
      <c r="G23" s="25"/>
      <c r="H23" s="25"/>
    </row>
    <row r="24" spans="1:8" ht="15" thickBot="1">
      <c r="A24" t="s">
        <v>36</v>
      </c>
      <c r="B24" s="40">
        <v>1590.55</v>
      </c>
      <c r="C24" s="40">
        <v>1496.85</v>
      </c>
      <c r="D24" s="40">
        <v>1457.85</v>
      </c>
      <c r="E24" s="40">
        <v>1303.75</v>
      </c>
      <c r="F24" s="40">
        <v>1392.8000000000002</v>
      </c>
      <c r="G24" s="40">
        <v>0</v>
      </c>
      <c r="H24" s="40">
        <v>0</v>
      </c>
    </row>
    <row r="25" spans="1:8" ht="15" thickBot="1">
      <c r="A25" t="s">
        <v>37</v>
      </c>
      <c r="B25" s="40">
        <v>0</v>
      </c>
      <c r="C25" s="40">
        <v>156</v>
      </c>
      <c r="D25" s="40">
        <v>136</v>
      </c>
      <c r="E25" s="40">
        <v>259.5</v>
      </c>
      <c r="F25" s="40">
        <v>211</v>
      </c>
      <c r="G25" s="40">
        <v>0</v>
      </c>
      <c r="H25" s="40">
        <v>0</v>
      </c>
    </row>
    <row r="26" spans="1:8">
      <c r="B26" s="25"/>
      <c r="D26" s="25"/>
      <c r="E26" s="25"/>
      <c r="F26" s="25"/>
      <c r="G26" s="25"/>
      <c r="H26" s="25"/>
    </row>
    <row r="27" spans="1:8">
      <c r="A27" s="1" t="s">
        <v>38</v>
      </c>
      <c r="B27" s="25"/>
      <c r="D27" s="25"/>
      <c r="E27" s="25"/>
      <c r="F27" s="25"/>
      <c r="G27" s="25"/>
      <c r="H27" s="25"/>
    </row>
    <row r="28" spans="1:8">
      <c r="A28" t="s">
        <v>39</v>
      </c>
      <c r="B28" s="41">
        <v>1590.55</v>
      </c>
      <c r="C28" s="41">
        <v>37.235999999999876</v>
      </c>
      <c r="D28" s="41">
        <v>-21.764000000000351</v>
      </c>
      <c r="E28" s="41">
        <v>-3.4060000000004038</v>
      </c>
      <c r="F28" s="41">
        <v>1603.7999999999995</v>
      </c>
      <c r="G28" s="41">
        <v>0</v>
      </c>
      <c r="H28" s="41">
        <v>0</v>
      </c>
    </row>
    <row r="29" spans="1:8">
      <c r="A29" t="s">
        <v>40</v>
      </c>
      <c r="B29" s="41">
        <v>407.5</v>
      </c>
      <c r="C29" s="41">
        <v>124.29900000000004</v>
      </c>
      <c r="D29" s="41">
        <v>93.299000000000035</v>
      </c>
      <c r="E29" s="41">
        <v>82.479333333333386</v>
      </c>
      <c r="F29" s="41">
        <v>469.80000000000007</v>
      </c>
      <c r="G29" s="41">
        <v>0</v>
      </c>
      <c r="H29" s="41">
        <v>0</v>
      </c>
    </row>
    <row r="30" spans="1:8">
      <c r="B30" s="25"/>
      <c r="D30" s="25"/>
      <c r="E30" s="25"/>
      <c r="F30" s="25"/>
      <c r="G30" s="25"/>
      <c r="H30" s="25"/>
    </row>
    <row r="31" spans="1:8">
      <c r="A31" s="1" t="s">
        <v>41</v>
      </c>
      <c r="B31" s="41">
        <v>1579.35</v>
      </c>
      <c r="C31" s="41">
        <v>223.23599999999988</v>
      </c>
      <c r="D31" s="41">
        <v>-21.764000000000351</v>
      </c>
      <c r="E31" s="41">
        <v>198.5939999999996</v>
      </c>
      <c r="F31" s="41">
        <v>1603.7999999999995</v>
      </c>
      <c r="G31" s="41">
        <v>0</v>
      </c>
      <c r="H31" s="41">
        <v>0</v>
      </c>
    </row>
    <row r="32" spans="1:8">
      <c r="A32" s="1" t="s">
        <v>42</v>
      </c>
      <c r="B32" s="41">
        <v>431.3</v>
      </c>
      <c r="C32" s="41">
        <v>339.29900000000004</v>
      </c>
      <c r="D32" s="41">
        <v>93.299000000000035</v>
      </c>
      <c r="E32" s="41">
        <v>447.47933333333339</v>
      </c>
      <c r="F32" s="41">
        <v>469.80000000000007</v>
      </c>
      <c r="G32" s="41">
        <v>0</v>
      </c>
      <c r="H32" s="41">
        <v>0</v>
      </c>
    </row>
    <row r="33" spans="1:11">
      <c r="A33" s="1"/>
      <c r="B33" s="28"/>
      <c r="C33" s="28"/>
      <c r="D33" s="28"/>
      <c r="E33" s="28"/>
      <c r="F33" s="28"/>
      <c r="G33" s="28"/>
      <c r="H33" s="28"/>
    </row>
    <row r="34" spans="1:11">
      <c r="A34" s="1" t="s">
        <v>43</v>
      </c>
      <c r="B34" s="21">
        <v>71070.75</v>
      </c>
      <c r="C34" s="21">
        <v>10045.619999999995</v>
      </c>
      <c r="D34" s="21">
        <v>-979.3800000000158</v>
      </c>
      <c r="E34" s="21">
        <v>8936.7299999999814</v>
      </c>
      <c r="F34" s="21">
        <v>72170.999999999971</v>
      </c>
      <c r="G34" s="21">
        <v>0</v>
      </c>
      <c r="H34" s="21">
        <v>0</v>
      </c>
    </row>
    <row r="35" spans="1:11">
      <c r="A35" s="1" t="s">
        <v>44</v>
      </c>
      <c r="B35" s="22">
        <v>32347.5</v>
      </c>
      <c r="C35" s="22">
        <v>25447.425000000003</v>
      </c>
      <c r="D35" s="22">
        <v>6997.4250000000029</v>
      </c>
      <c r="E35" s="22">
        <v>33560.950000000004</v>
      </c>
      <c r="F35" s="22">
        <v>35235.000000000007</v>
      </c>
      <c r="G35" s="22">
        <v>0</v>
      </c>
      <c r="H35" s="22">
        <v>0</v>
      </c>
    </row>
    <row r="36" spans="1:11">
      <c r="A36" s="23" t="s">
        <v>45</v>
      </c>
      <c r="B36" s="5">
        <v>0</v>
      </c>
      <c r="C36" s="5">
        <v>1615.614</v>
      </c>
      <c r="D36" s="5">
        <v>1615.614</v>
      </c>
      <c r="E36" s="5">
        <v>1566.6559999999999</v>
      </c>
      <c r="F36" s="5">
        <v>0</v>
      </c>
      <c r="G36" s="5">
        <v>0</v>
      </c>
      <c r="H36" s="5">
        <v>0</v>
      </c>
      <c r="J36" s="45"/>
      <c r="K36" s="25"/>
    </row>
    <row r="37" spans="1:11">
      <c r="A37" s="23" t="s">
        <v>46</v>
      </c>
      <c r="B37" s="5">
        <v>1590.55</v>
      </c>
      <c r="C37" s="5">
        <v>1652.85</v>
      </c>
      <c r="D37" s="5">
        <v>1593.8499999999997</v>
      </c>
      <c r="E37" s="5">
        <v>1563.2499999999995</v>
      </c>
      <c r="F37" s="5">
        <v>1603.7999999999995</v>
      </c>
      <c r="G37" s="5">
        <v>0</v>
      </c>
      <c r="H37" s="5">
        <v>0</v>
      </c>
      <c r="J37" s="45"/>
      <c r="K37" s="25"/>
    </row>
    <row r="38" spans="1:11">
      <c r="A38" s="23" t="s">
        <v>8</v>
      </c>
      <c r="B38" s="5">
        <v>1590.55</v>
      </c>
      <c r="C38" s="5">
        <v>37.235999999999876</v>
      </c>
      <c r="D38" s="5">
        <v>-21.764000000000351</v>
      </c>
      <c r="E38" s="5">
        <v>-3.4060000000004038</v>
      </c>
      <c r="F38" s="5">
        <v>1603.7999999999995</v>
      </c>
      <c r="G38" s="5">
        <v>0</v>
      </c>
      <c r="H38" s="5">
        <v>0</v>
      </c>
      <c r="J38" s="45"/>
      <c r="K38" s="25"/>
    </row>
    <row r="39" spans="1:11">
      <c r="A39" s="23" t="s">
        <v>10</v>
      </c>
      <c r="B39" s="6" t="e">
        <v>#DIV/0!</v>
      </c>
      <c r="C39" s="6">
        <v>2.3047584385874273E-2</v>
      </c>
      <c r="D39" s="6">
        <v>-1.3471039493344543E-2</v>
      </c>
      <c r="E39" s="6">
        <v>-2.1740573552843788E-3</v>
      </c>
      <c r="F39" s="6" t="e">
        <v>#DIV/0!</v>
      </c>
      <c r="G39" s="6" t="e">
        <v>#DIV/0!</v>
      </c>
      <c r="H39" s="6" t="e">
        <v>#DIV/0!</v>
      </c>
      <c r="J39" s="45"/>
      <c r="K39" s="46"/>
    </row>
    <row r="40" spans="1:11">
      <c r="A40" s="23" t="s">
        <v>47</v>
      </c>
      <c r="B40" s="9">
        <v>71574.75</v>
      </c>
      <c r="C40" s="9">
        <v>1675.6199999999944</v>
      </c>
      <c r="D40" s="9">
        <v>-979.3800000000158</v>
      </c>
      <c r="E40" s="9">
        <v>-153.27000000001817</v>
      </c>
      <c r="F40" s="9">
        <v>72170.999999999971</v>
      </c>
      <c r="G40" s="9">
        <v>0</v>
      </c>
      <c r="H40" s="9">
        <v>0</v>
      </c>
      <c r="J40" s="45"/>
      <c r="K40" s="47"/>
    </row>
  </sheetData>
  <mergeCells count="2">
    <mergeCell ref="J1:K1"/>
    <mergeCell ref="J8:K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D266-A74E-47A6-834A-25866157D352}">
  <dimension ref="A1:L60"/>
  <sheetViews>
    <sheetView workbookViewId="0">
      <selection activeCell="C25" sqref="C25"/>
    </sheetView>
  </sheetViews>
  <sheetFormatPr defaultRowHeight="14.45"/>
  <cols>
    <col min="1" max="1" width="83.7109375" bestFit="1" customWidth="1"/>
    <col min="2" max="2" width="24.42578125" customWidth="1"/>
    <col min="3" max="3" width="23.28515625" style="25" bestFit="1" customWidth="1"/>
    <col min="4" max="4" width="25.140625" bestFit="1" customWidth="1"/>
    <col min="5" max="5" width="24.28515625" customWidth="1"/>
    <col min="6" max="6" width="25.85546875" customWidth="1"/>
    <col min="7" max="8" width="25.140625" bestFit="1" customWidth="1"/>
    <col min="10" max="10" width="20" customWidth="1"/>
    <col min="11" max="11" width="16.42578125" customWidth="1"/>
    <col min="12" max="12" width="21.42578125" style="44" bestFit="1" customWidth="1"/>
  </cols>
  <sheetData>
    <row r="1" spans="1:12" ht="15" thickBot="1">
      <c r="A1" s="1" t="s">
        <v>0</v>
      </c>
      <c r="B1" s="24"/>
      <c r="C1" s="24"/>
      <c r="D1" s="24"/>
      <c r="E1" s="24">
        <v>46253</v>
      </c>
      <c r="F1" s="24"/>
      <c r="G1" s="24"/>
      <c r="H1" s="24"/>
      <c r="J1" s="56" t="s">
        <v>2</v>
      </c>
      <c r="K1" s="56"/>
    </row>
    <row r="2" spans="1:12">
      <c r="A2" t="s">
        <v>3</v>
      </c>
      <c r="B2" s="25">
        <v>224.62</v>
      </c>
      <c r="C2" s="25">
        <v>224.62</v>
      </c>
      <c r="D2" s="25">
        <v>224.62</v>
      </c>
      <c r="E2" s="25">
        <v>224.62</v>
      </c>
      <c r="F2" s="25">
        <v>224.62</v>
      </c>
      <c r="G2" s="25">
        <v>224.62</v>
      </c>
      <c r="H2" s="25">
        <v>224.62</v>
      </c>
      <c r="J2" s="5" t="s">
        <v>4</v>
      </c>
      <c r="K2" s="5">
        <v>6776.04</v>
      </c>
    </row>
    <row r="3" spans="1:12">
      <c r="A3" t="s">
        <v>5</v>
      </c>
      <c r="B3" s="25">
        <v>45.49</v>
      </c>
      <c r="C3" s="25">
        <v>45.49</v>
      </c>
      <c r="D3" s="25">
        <v>45.49</v>
      </c>
      <c r="E3" s="25">
        <v>45.49</v>
      </c>
      <c r="F3" s="25">
        <v>45.49</v>
      </c>
      <c r="G3" s="25">
        <v>45.49</v>
      </c>
      <c r="H3" s="25">
        <v>45.49</v>
      </c>
      <c r="J3" s="5" t="s">
        <v>6</v>
      </c>
      <c r="K3" s="5">
        <v>7238.11</v>
      </c>
      <c r="L3" s="44">
        <f>K3/K2</f>
        <v>1.0681917462116517</v>
      </c>
    </row>
    <row r="4" spans="1:12">
      <c r="A4" t="s">
        <v>7</v>
      </c>
      <c r="B4" s="25">
        <v>38</v>
      </c>
      <c r="C4" s="25">
        <v>38</v>
      </c>
      <c r="D4" s="25">
        <v>38</v>
      </c>
      <c r="E4" s="25">
        <v>38</v>
      </c>
      <c r="F4" s="25">
        <v>38</v>
      </c>
      <c r="G4" s="25">
        <v>38</v>
      </c>
      <c r="H4" s="25">
        <v>38</v>
      </c>
      <c r="J4" s="5" t="s">
        <v>8</v>
      </c>
      <c r="K4" s="5">
        <f>K3-K2</f>
        <v>462.06999999999971</v>
      </c>
    </row>
    <row r="5" spans="1:12">
      <c r="A5" t="s">
        <v>9</v>
      </c>
      <c r="B5" s="25">
        <v>2179.5</v>
      </c>
      <c r="C5" s="25">
        <v>2179.5</v>
      </c>
      <c r="D5" s="25">
        <v>2179.5</v>
      </c>
      <c r="E5" s="25">
        <v>2179.5</v>
      </c>
      <c r="F5" s="25">
        <v>2179.5</v>
      </c>
      <c r="G5" s="25">
        <v>2179.5</v>
      </c>
      <c r="H5" s="25">
        <v>2179.5</v>
      </c>
      <c r="J5" s="5" t="s">
        <v>10</v>
      </c>
      <c r="K5" s="6">
        <f>(K3-K2)/K2</f>
        <v>6.8191746211651597E-2</v>
      </c>
    </row>
    <row r="6" spans="1:12">
      <c r="A6" t="s">
        <v>11</v>
      </c>
      <c r="B6" s="25">
        <v>40.334466666666671</v>
      </c>
      <c r="C6" s="25">
        <v>40.334466666666671</v>
      </c>
      <c r="D6" s="25">
        <v>40.334466666666671</v>
      </c>
      <c r="E6" s="25">
        <v>40.334466666666671</v>
      </c>
      <c r="F6" s="25">
        <v>40.334466666666671</v>
      </c>
      <c r="G6" s="25">
        <v>40.334466666666671</v>
      </c>
      <c r="H6" s="25">
        <v>40.334466666666671</v>
      </c>
      <c r="J6" s="5" t="s">
        <v>12</v>
      </c>
      <c r="K6" s="9">
        <f>K4*45</f>
        <v>20793.149999999987</v>
      </c>
    </row>
    <row r="7" spans="1:12" ht="15" thickBot="1">
      <c r="B7" s="25"/>
      <c r="C7" s="25" t="s">
        <v>57</v>
      </c>
      <c r="D7" s="25" t="s">
        <v>57</v>
      </c>
      <c r="E7" s="25" t="s">
        <v>58</v>
      </c>
      <c r="F7" s="25"/>
      <c r="G7" s="25"/>
      <c r="H7" s="25"/>
    </row>
    <row r="8" spans="1:12" ht="15" thickBot="1">
      <c r="A8" t="s">
        <v>18</v>
      </c>
      <c r="B8" s="27"/>
      <c r="C8" s="27"/>
      <c r="D8" s="27">
        <v>38</v>
      </c>
      <c r="E8" s="27">
        <v>37</v>
      </c>
      <c r="F8" s="27"/>
      <c r="G8" s="27"/>
      <c r="H8" s="27"/>
      <c r="J8" s="56" t="s">
        <v>17</v>
      </c>
      <c r="K8" s="56"/>
    </row>
    <row r="9" spans="1:12">
      <c r="A9" t="s">
        <v>19</v>
      </c>
      <c r="B9" s="28">
        <v>-38</v>
      </c>
      <c r="C9" s="28">
        <v>-38</v>
      </c>
      <c r="D9" s="28">
        <v>0</v>
      </c>
      <c r="E9" s="28">
        <v>-1</v>
      </c>
      <c r="F9" s="28">
        <v>-38</v>
      </c>
      <c r="G9" s="28">
        <v>-38</v>
      </c>
      <c r="H9" s="28">
        <v>-38</v>
      </c>
      <c r="J9" s="5" t="s">
        <v>4</v>
      </c>
      <c r="K9" s="5">
        <v>1372.28</v>
      </c>
    </row>
    <row r="10" spans="1:12">
      <c r="A10" t="s">
        <v>20</v>
      </c>
      <c r="B10" s="28">
        <v>-1991.6306666666667</v>
      </c>
      <c r="C10" s="28">
        <v>-1991.6306666666667</v>
      </c>
      <c r="D10" s="28">
        <v>0</v>
      </c>
      <c r="E10" s="28">
        <v>-52.411333333333339</v>
      </c>
      <c r="F10" s="28">
        <v>-1991.6306666666667</v>
      </c>
      <c r="G10" s="28">
        <v>-1991.6306666666667</v>
      </c>
      <c r="H10" s="28">
        <v>-1991.6306666666667</v>
      </c>
      <c r="J10" s="5" t="s">
        <v>6</v>
      </c>
      <c r="K10" s="5">
        <v>1516.15</v>
      </c>
      <c r="L10" s="44">
        <f>K10/K9</f>
        <v>1.1048401200921096</v>
      </c>
    </row>
    <row r="11" spans="1:12" ht="15" thickBot="1">
      <c r="B11" s="25"/>
      <c r="D11" s="25"/>
      <c r="E11" s="25"/>
      <c r="F11" s="25"/>
      <c r="G11" s="25"/>
      <c r="H11" s="25"/>
      <c r="J11" s="5" t="s">
        <v>8</v>
      </c>
      <c r="K11" s="5">
        <f>K10-K9</f>
        <v>143.87000000000012</v>
      </c>
    </row>
    <row r="12" spans="1:12" ht="15" thickBot="1">
      <c r="A12" t="s">
        <v>22</v>
      </c>
      <c r="B12" s="48">
        <v>-2.4</v>
      </c>
      <c r="C12" s="48">
        <v>267</v>
      </c>
      <c r="D12" s="48"/>
      <c r="E12" s="48">
        <v>462</v>
      </c>
      <c r="F12" s="48"/>
      <c r="G12" s="48"/>
      <c r="H12" s="48"/>
      <c r="J12" s="5" t="s">
        <v>10</v>
      </c>
      <c r="K12" s="6">
        <f>(K10-K9)/K9</f>
        <v>0.10484012009210956</v>
      </c>
    </row>
    <row r="13" spans="1:12" ht="15" thickBot="1">
      <c r="A13" t="s">
        <v>23</v>
      </c>
      <c r="B13" s="49">
        <v>-8.43</v>
      </c>
      <c r="C13" s="49">
        <v>106</v>
      </c>
      <c r="D13" s="49"/>
      <c r="E13" s="49">
        <v>144</v>
      </c>
      <c r="F13" s="49"/>
      <c r="G13" s="49"/>
      <c r="H13" s="49"/>
      <c r="J13" s="5" t="s">
        <v>12</v>
      </c>
      <c r="K13" s="9">
        <f>K11*45</f>
        <v>6474.1500000000051</v>
      </c>
    </row>
    <row r="14" spans="1:12" ht="16.5" customHeight="1" thickBot="1">
      <c r="B14" s="31"/>
      <c r="C14" s="31" t="s">
        <v>56</v>
      </c>
      <c r="D14" s="31"/>
      <c r="E14" s="31">
        <v>46251</v>
      </c>
      <c r="F14" s="31"/>
      <c r="G14" s="31"/>
      <c r="H14" s="31"/>
    </row>
    <row r="15" spans="1:12" ht="18" customHeight="1">
      <c r="A15" s="32" t="s">
        <v>30</v>
      </c>
      <c r="B15" s="33">
        <v>46209</v>
      </c>
      <c r="C15" s="34">
        <v>46223</v>
      </c>
      <c r="D15" s="34">
        <v>46237</v>
      </c>
      <c r="E15" s="34">
        <v>46251</v>
      </c>
      <c r="F15" s="34">
        <v>46265</v>
      </c>
      <c r="G15" s="34">
        <v>46279</v>
      </c>
      <c r="H15" s="35">
        <v>46293</v>
      </c>
    </row>
    <row r="16" spans="1:12" ht="17.25" customHeight="1" thickBot="1">
      <c r="A16" s="36" t="s">
        <v>31</v>
      </c>
      <c r="B16" s="37">
        <v>46222</v>
      </c>
      <c r="C16" s="38">
        <v>46236</v>
      </c>
      <c r="D16" s="38">
        <v>46250</v>
      </c>
      <c r="E16" s="38">
        <v>46264</v>
      </c>
      <c r="F16" s="38">
        <v>46278</v>
      </c>
      <c r="G16" s="38">
        <v>46292</v>
      </c>
      <c r="H16" s="39">
        <v>46306</v>
      </c>
    </row>
    <row r="17" spans="1:8" ht="15" thickBot="1">
      <c r="A17" t="s">
        <v>32</v>
      </c>
      <c r="B17" s="25">
        <v>0</v>
      </c>
      <c r="C17" s="57">
        <v>0</v>
      </c>
      <c r="D17" s="25">
        <v>1991.6306666666667</v>
      </c>
      <c r="E17" s="25">
        <v>1939.2193333333335</v>
      </c>
      <c r="F17" s="25">
        <v>0</v>
      </c>
      <c r="G17" s="25">
        <v>0</v>
      </c>
      <c r="H17" s="25">
        <v>0</v>
      </c>
    </row>
    <row r="18" spans="1:8" ht="15" thickBot="1">
      <c r="A18" t="s">
        <v>33</v>
      </c>
      <c r="B18" s="40">
        <v>2190.8500000000008</v>
      </c>
      <c r="C18" s="40">
        <v>2178.7500000000023</v>
      </c>
      <c r="D18" s="40">
        <v>2043.0999999999992</v>
      </c>
      <c r="E18" s="40">
        <v>1963.9499999999996</v>
      </c>
      <c r="F18" s="40">
        <v>1938.65</v>
      </c>
      <c r="G18" s="40">
        <v>0</v>
      </c>
      <c r="H18" s="40">
        <v>0</v>
      </c>
    </row>
    <row r="19" spans="1:8" ht="15" thickBot="1">
      <c r="A19" t="s">
        <v>34</v>
      </c>
      <c r="B19" s="25">
        <v>0</v>
      </c>
      <c r="C19" s="25">
        <v>0</v>
      </c>
      <c r="D19" s="25">
        <v>403.34466666666668</v>
      </c>
      <c r="E19" s="25">
        <v>392.73033333333331</v>
      </c>
      <c r="F19" s="25">
        <v>0</v>
      </c>
      <c r="G19" s="25">
        <v>0</v>
      </c>
      <c r="H19" s="25">
        <v>0</v>
      </c>
    </row>
    <row r="20" spans="1:8" ht="15" thickBot="1">
      <c r="A20" t="s">
        <v>35</v>
      </c>
      <c r="B20" s="40">
        <v>427.45</v>
      </c>
      <c r="C20" s="40">
        <v>440.9500000000001</v>
      </c>
      <c r="D20" s="40">
        <v>419.7000000000001</v>
      </c>
      <c r="E20" s="40">
        <v>424.9500000000001</v>
      </c>
      <c r="F20" s="40">
        <v>410.65000000000009</v>
      </c>
      <c r="G20" s="40">
        <v>0</v>
      </c>
      <c r="H20" s="40">
        <v>0</v>
      </c>
    </row>
    <row r="21" spans="1:8" ht="15" thickBot="1">
      <c r="B21" s="25"/>
      <c r="D21" s="25"/>
      <c r="E21" s="25"/>
      <c r="F21" s="25"/>
      <c r="G21" s="25"/>
      <c r="H21" s="25"/>
    </row>
    <row r="22" spans="1:8" ht="15" thickBot="1">
      <c r="A22" t="s">
        <v>36</v>
      </c>
      <c r="B22" s="40">
        <v>2190.8500000000008</v>
      </c>
      <c r="C22" s="40">
        <v>2031.15</v>
      </c>
      <c r="D22" s="40">
        <v>1917.0999999999997</v>
      </c>
      <c r="E22" s="40">
        <v>1630.95</v>
      </c>
      <c r="F22" s="40">
        <v>1704.65</v>
      </c>
      <c r="G22" s="40">
        <v>0</v>
      </c>
      <c r="H22" s="40">
        <v>0</v>
      </c>
    </row>
    <row r="23" spans="1:8" ht="15" thickBot="1">
      <c r="A23" t="s">
        <v>37</v>
      </c>
      <c r="B23" s="40">
        <v>0</v>
      </c>
      <c r="C23" s="40">
        <v>147.60000000000002</v>
      </c>
      <c r="D23" s="40">
        <v>126</v>
      </c>
      <c r="E23" s="40">
        <v>333</v>
      </c>
      <c r="F23" s="40">
        <v>234</v>
      </c>
      <c r="G23" s="40">
        <v>0</v>
      </c>
      <c r="H23" s="40">
        <v>0</v>
      </c>
    </row>
    <row r="24" spans="1:8">
      <c r="B24" s="25"/>
      <c r="D24" s="25"/>
      <c r="E24" s="25"/>
      <c r="F24" s="25"/>
      <c r="G24" s="25"/>
      <c r="H24" s="25"/>
    </row>
    <row r="25" spans="1:8">
      <c r="A25" t="s">
        <v>39</v>
      </c>
      <c r="B25" s="41">
        <v>2190.8500000000008</v>
      </c>
      <c r="C25" s="41">
        <v>2178.7500000000023</v>
      </c>
      <c r="D25" s="41">
        <v>51.469333333332543</v>
      </c>
      <c r="E25" s="41">
        <v>24.730666666666139</v>
      </c>
      <c r="F25" s="41">
        <v>1938.65</v>
      </c>
      <c r="G25" s="41">
        <v>0</v>
      </c>
      <c r="H25" s="41">
        <v>0</v>
      </c>
    </row>
    <row r="26" spans="1:8">
      <c r="A26" t="s">
        <v>40</v>
      </c>
      <c r="B26" s="41">
        <v>427.45</v>
      </c>
      <c r="C26" s="41">
        <v>440.9500000000001</v>
      </c>
      <c r="D26" s="41">
        <v>16.355333333333419</v>
      </c>
      <c r="E26" s="41">
        <v>32.219666666666797</v>
      </c>
      <c r="F26" s="41">
        <v>410.65000000000009</v>
      </c>
      <c r="G26" s="41">
        <v>0</v>
      </c>
      <c r="H26" s="41">
        <v>0</v>
      </c>
    </row>
    <row r="27" spans="1:8">
      <c r="B27" s="50"/>
      <c r="C27" s="50"/>
      <c r="D27" s="50"/>
      <c r="E27" s="50"/>
      <c r="F27" s="50"/>
      <c r="G27" s="50"/>
      <c r="H27" s="50"/>
    </row>
    <row r="28" spans="1:8">
      <c r="A28" s="1" t="s">
        <v>41</v>
      </c>
      <c r="B28" s="41">
        <v>2188.4500000000007</v>
      </c>
      <c r="C28" s="41">
        <v>2445.7500000000023</v>
      </c>
      <c r="D28" s="41">
        <v>51.469333333332543</v>
      </c>
      <c r="E28" s="41">
        <v>486.73066666666614</v>
      </c>
      <c r="F28" s="41">
        <v>1938.65</v>
      </c>
      <c r="G28" s="41">
        <v>0</v>
      </c>
      <c r="H28" s="41">
        <v>0</v>
      </c>
    </row>
    <row r="29" spans="1:8">
      <c r="A29" s="1" t="s">
        <v>42</v>
      </c>
      <c r="B29" s="41">
        <v>419.02</v>
      </c>
      <c r="C29" s="41">
        <v>546.95000000000005</v>
      </c>
      <c r="D29" s="41">
        <v>16.355333333333419</v>
      </c>
      <c r="E29" s="41">
        <v>176.2196666666668</v>
      </c>
      <c r="F29" s="41">
        <v>410.65000000000009</v>
      </c>
      <c r="G29" s="41">
        <v>0</v>
      </c>
      <c r="H29" s="41">
        <v>0</v>
      </c>
    </row>
    <row r="30" spans="1:8">
      <c r="C30"/>
    </row>
    <row r="31" spans="1:8">
      <c r="A31" s="1" t="s">
        <v>43</v>
      </c>
      <c r="B31" s="21">
        <v>98480.250000000029</v>
      </c>
      <c r="C31" s="21">
        <v>110058.7500000001</v>
      </c>
      <c r="D31" s="21">
        <v>2316.1199999999644</v>
      </c>
      <c r="E31" s="21">
        <v>21902.879999999976</v>
      </c>
      <c r="F31" s="21">
        <v>87239.25</v>
      </c>
      <c r="G31" s="21">
        <v>0</v>
      </c>
      <c r="H31" s="21">
        <v>0</v>
      </c>
    </row>
    <row r="32" spans="1:8">
      <c r="A32" s="1" t="s">
        <v>44</v>
      </c>
      <c r="B32" s="22">
        <v>31426.5</v>
      </c>
      <c r="C32" s="22">
        <v>41021.25</v>
      </c>
      <c r="D32" s="22">
        <v>1226.6500000000065</v>
      </c>
      <c r="E32" s="22">
        <v>13216.475000000009</v>
      </c>
      <c r="F32" s="22">
        <v>30798.750000000007</v>
      </c>
      <c r="G32" s="22">
        <v>0</v>
      </c>
      <c r="H32" s="22">
        <v>0</v>
      </c>
    </row>
    <row r="34" spans="1:11">
      <c r="A34" s="23" t="s">
        <v>45</v>
      </c>
      <c r="B34" s="5">
        <v>0</v>
      </c>
      <c r="C34" s="5">
        <v>0</v>
      </c>
      <c r="D34" s="5">
        <v>1991.6306666666667</v>
      </c>
      <c r="E34" s="5">
        <v>1939.2193333333335</v>
      </c>
      <c r="F34" s="5">
        <v>0</v>
      </c>
      <c r="G34" s="5">
        <v>0</v>
      </c>
      <c r="H34" s="5">
        <v>0</v>
      </c>
    </row>
    <row r="35" spans="1:11">
      <c r="A35" s="23" t="s">
        <v>46</v>
      </c>
      <c r="B35" s="5">
        <v>2190.8500000000008</v>
      </c>
      <c r="C35" s="5">
        <v>2178.7500000000023</v>
      </c>
      <c r="D35" s="5">
        <v>2043.0999999999992</v>
      </c>
      <c r="E35" s="5">
        <v>1963.9499999999996</v>
      </c>
      <c r="F35" s="5">
        <v>1938.65</v>
      </c>
      <c r="G35" s="5">
        <v>0</v>
      </c>
      <c r="H35" s="5">
        <v>0</v>
      </c>
    </row>
    <row r="36" spans="1:11">
      <c r="A36" s="23" t="s">
        <v>8</v>
      </c>
      <c r="B36" s="5">
        <v>2190.8500000000008</v>
      </c>
      <c r="C36" s="5">
        <v>2178.7500000000023</v>
      </c>
      <c r="D36" s="5">
        <v>51.469333333332543</v>
      </c>
      <c r="E36" s="5">
        <v>24.730666666666139</v>
      </c>
      <c r="F36" s="5">
        <v>1938.65</v>
      </c>
      <c r="G36" s="5">
        <v>0</v>
      </c>
      <c r="H36" s="5">
        <v>0</v>
      </c>
      <c r="J36" s="45"/>
      <c r="K36" s="25"/>
    </row>
    <row r="37" spans="1:11">
      <c r="A37" s="23" t="s">
        <v>10</v>
      </c>
      <c r="B37" s="6" t="e">
        <v>#DIV/0!</v>
      </c>
      <c r="C37" s="6" t="e">
        <v>#DIV/0!</v>
      </c>
      <c r="D37" s="6">
        <v>2.5842810213138185E-2</v>
      </c>
      <c r="E37" s="6">
        <v>1.2752898159362137E-2</v>
      </c>
      <c r="F37" s="6" t="e">
        <v>#DIV/0!</v>
      </c>
      <c r="G37" s="6" t="e">
        <v>#DIV/0!</v>
      </c>
      <c r="H37" s="6" t="e">
        <v>#DIV/0!</v>
      </c>
      <c r="J37" s="45"/>
      <c r="K37" s="25"/>
    </row>
    <row r="38" spans="1:11">
      <c r="A38" s="23" t="s">
        <v>47</v>
      </c>
      <c r="B38" s="9">
        <v>98588.250000000044</v>
      </c>
      <c r="C38" s="9">
        <v>98043.750000000102</v>
      </c>
      <c r="D38" s="9">
        <v>2316.1199999999644</v>
      </c>
      <c r="E38" s="9">
        <v>1112.8799999999762</v>
      </c>
      <c r="F38" s="9">
        <v>87239.25</v>
      </c>
      <c r="G38" s="9">
        <v>0</v>
      </c>
      <c r="H38" s="9">
        <v>0</v>
      </c>
      <c r="J38" s="45"/>
      <c r="K38" s="25"/>
    </row>
    <row r="39" spans="1:11">
      <c r="A39" s="25"/>
      <c r="J39" s="45"/>
      <c r="K39" s="46"/>
    </row>
    <row r="40" spans="1:11">
      <c r="A40" s="25"/>
      <c r="J40" s="45"/>
      <c r="K40" s="47"/>
    </row>
    <row r="41" spans="1:11">
      <c r="A41" s="25"/>
    </row>
    <row r="42" spans="1:11">
      <c r="A42" s="25"/>
    </row>
    <row r="43" spans="1:11">
      <c r="A43" s="25"/>
    </row>
    <row r="44" spans="1:11">
      <c r="A44" s="25"/>
    </row>
    <row r="45" spans="1:11">
      <c r="A45" s="51"/>
    </row>
    <row r="46" spans="1:11">
      <c r="A46" s="51"/>
    </row>
    <row r="47" spans="1:11">
      <c r="A47" s="50"/>
    </row>
    <row r="48" spans="1:11">
      <c r="A48" s="51"/>
    </row>
    <row r="49" spans="1:1">
      <c r="A49" s="51"/>
    </row>
    <row r="51" spans="1:1">
      <c r="A51" s="1"/>
    </row>
    <row r="54" spans="1:1">
      <c r="A54" s="52"/>
    </row>
    <row r="57" spans="1:1">
      <c r="A57" s="53"/>
    </row>
    <row r="58" spans="1:1">
      <c r="A58" s="52"/>
    </row>
    <row r="60" spans="1:1">
      <c r="A60" s="52"/>
    </row>
  </sheetData>
  <mergeCells count="2">
    <mergeCell ref="J1:K1"/>
    <mergeCell ref="J8:K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3C4B4B985DC047AFEA68DF36D58D51" ma:contentTypeVersion="3" ma:contentTypeDescription="Create a new document." ma:contentTypeScope="" ma:versionID="d360f5dc7999c4102f8046183451a4b4">
  <xsd:schema xmlns:xsd="http://www.w3.org/2001/XMLSchema" xmlns:xs="http://www.w3.org/2001/XMLSchema" xmlns:p="http://schemas.microsoft.com/office/2006/metadata/properties" xmlns:ns2="bb8eb3e6-0186-42c5-acc5-9f218125e59a" targetNamespace="http://schemas.microsoft.com/office/2006/metadata/properties" ma:root="true" ma:fieldsID="9bb908efd9230364b4e858ded2fc503b" ns2:_="">
    <xsd:import namespace="bb8eb3e6-0186-42c5-acc5-9f218125e5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eb3e6-0186-42c5-acc5-9f218125e5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77A236-FC2D-4243-80B4-A47C72FAB735}"/>
</file>

<file path=customXml/itemProps2.xml><?xml version="1.0" encoding="utf-8"?>
<ds:datastoreItem xmlns:ds="http://schemas.openxmlformats.org/officeDocument/2006/customXml" ds:itemID="{6E15C071-25E8-42AC-A94A-3BC6850BD3B1}"/>
</file>

<file path=customXml/itemProps3.xml><?xml version="1.0" encoding="utf-8"?>
<ds:datastoreItem xmlns:ds="http://schemas.openxmlformats.org/officeDocument/2006/customXml" ds:itemID="{33461B0A-E2C1-417C-A1B6-565D73909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Joanne Webster</dc:creator>
  <cp:keywords/>
  <dc:description/>
  <cp:lastModifiedBy>Alex James</cp:lastModifiedBy>
  <cp:revision/>
  <dcterms:created xsi:type="dcterms:W3CDTF">2026-08-19T03:35:47Z</dcterms:created>
  <dcterms:modified xsi:type="dcterms:W3CDTF">2026-08-21T04:03:38Z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0x0101003D3C4B4B985DC047AFEA68DF36D58D51</vt:lpwstr>
  </property>
</Properties>
</file>