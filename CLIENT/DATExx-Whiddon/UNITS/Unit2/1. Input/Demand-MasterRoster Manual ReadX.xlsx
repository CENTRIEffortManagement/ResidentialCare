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14"/>
  <workbookPr/>
  <mc:AlternateContent xmlns:mc="http://schemas.openxmlformats.org/markup-compatibility/2006">
    <mc:Choice Requires="x15">
      <x15ac:absPath xmlns:x15ac="http://schemas.microsoft.com/office/spreadsheetml/2010/11/ac" url="https://centri001.sharepoint.com/sites/4.Production/Shared Documents/WFEffectiveness/4.1.1 AGED CARE/01 Christadelphian Aged Care/240715/FACILITIES/ASHB/1. Input/"/>
    </mc:Choice>
  </mc:AlternateContent>
  <xr:revisionPtr revIDLastSave="214" documentId="8_{C5941554-0B86-4B2B-BF94-0DCF6710D4FC}" xr6:coauthVersionLast="47" xr6:coauthVersionMax="47" xr10:uidLastSave="{825FEB9E-8A7C-4794-83F5-609E81EF4BAF}"/>
  <bookViews>
    <workbookView xWindow="-2040" yWindow="300" windowWidth="22320" windowHeight="20685" activeTab="1" xr2:uid="{00000000-000D-0000-FFFF-FFFF00000000}"/>
  </bookViews>
  <sheets>
    <sheet name="Assumed" sheetId="2" r:id="rId1"/>
    <sheet name="Actual" sheetId="1" r:id="rId2"/>
  </sheets>
  <definedNames>
    <definedName name="_xlnm.Print_Area" localSheetId="1">Actual!$A$1:$S$36</definedName>
    <definedName name="_xlnm.Print_Area" localSheetId="0">Assumed!$A$1:$S$35</definedName>
  </definedNames>
  <calcPr calcId="191029" iterateDelta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3" i="1" l="1"/>
  <c r="P33" i="1"/>
  <c r="R33" i="1"/>
  <c r="Q28" i="1"/>
  <c r="P27" i="1"/>
  <c r="O27" i="1"/>
  <c r="Q27" i="1"/>
  <c r="R27" i="1"/>
  <c r="H26" i="2"/>
  <c r="I26" i="2" s="1"/>
  <c r="J26" i="2" s="1"/>
  <c r="O13" i="2"/>
  <c r="P13" i="2"/>
  <c r="Q13" i="2"/>
  <c r="Q33" i="2" s="1"/>
  <c r="O14" i="2"/>
  <c r="P14" i="2"/>
  <c r="Q14" i="2"/>
  <c r="Q34" i="2" s="1"/>
  <c r="O15" i="2"/>
  <c r="P15" i="2"/>
  <c r="Q15" i="2"/>
  <c r="R5" i="2"/>
  <c r="R13" i="2" s="1"/>
  <c r="R6" i="2"/>
  <c r="R14" i="2" s="1"/>
  <c r="K7" i="2"/>
  <c r="H27" i="2" s="1"/>
  <c r="R7" i="2"/>
  <c r="R15" i="2" s="1"/>
  <c r="R8" i="2"/>
  <c r="Q9" i="2"/>
  <c r="P9" i="2"/>
  <c r="O9" i="2"/>
  <c r="P15" i="1"/>
  <c r="Q15" i="1"/>
  <c r="O15" i="1"/>
  <c r="K7" i="1"/>
  <c r="H28" i="1" s="1"/>
  <c r="I28" i="1" s="1"/>
  <c r="J28" i="1" s="1"/>
  <c r="H27" i="1"/>
  <c r="O14" i="1"/>
  <c r="P14" i="1"/>
  <c r="Q14" i="1"/>
  <c r="P13" i="1"/>
  <c r="Q13" i="1"/>
  <c r="I27" i="2" l="1"/>
  <c r="J27" i="2" s="1"/>
  <c r="H28" i="2"/>
  <c r="I28" i="2" s="1"/>
  <c r="J28" i="2" s="1"/>
  <c r="P19" i="2"/>
  <c r="Q19" i="2"/>
  <c r="O19" i="2"/>
  <c r="Q17" i="2"/>
  <c r="P18" i="2"/>
  <c r="Q18" i="2"/>
  <c r="O17" i="2"/>
  <c r="J29" i="2"/>
  <c r="P26" i="2"/>
  <c r="P33" i="2" s="1"/>
  <c r="O26" i="2"/>
  <c r="P17" i="2"/>
  <c r="O18" i="2"/>
  <c r="R9" i="2"/>
  <c r="H29" i="1"/>
  <c r="I29" i="1" s="1"/>
  <c r="J29" i="1" s="1"/>
  <c r="Q28" i="2" l="1"/>
  <c r="R26" i="2"/>
  <c r="O33" i="2"/>
  <c r="P27" i="2"/>
  <c r="P34" i="2" s="1"/>
  <c r="O27" i="2"/>
  <c r="Q35" i="2" l="1"/>
  <c r="O28" i="2"/>
  <c r="P28" i="2"/>
  <c r="P35" i="2" s="1"/>
  <c r="R27" i="2"/>
  <c r="R34" i="2" s="1"/>
  <c r="O34" i="2"/>
  <c r="R33" i="2"/>
  <c r="R28" i="2"/>
  <c r="O35" i="2"/>
  <c r="I27" i="1"/>
  <c r="J27" i="1" s="1"/>
  <c r="O13" i="1"/>
  <c r="Q9" i="1"/>
  <c r="P9" i="1"/>
  <c r="O9" i="1"/>
  <c r="R8" i="1"/>
  <c r="R7" i="1"/>
  <c r="R15" i="1" s="1"/>
  <c r="R6" i="1"/>
  <c r="R14" i="1" s="1"/>
  <c r="R5" i="1"/>
  <c r="R35" i="2" l="1"/>
  <c r="R30" i="2"/>
  <c r="R9" i="1"/>
  <c r="R13" i="1"/>
  <c r="J31" i="1"/>
  <c r="O18" i="1"/>
  <c r="Q18" i="1"/>
  <c r="P18" i="1"/>
  <c r="O19" i="1"/>
  <c r="O29" i="1" s="1"/>
  <c r="Q19" i="1"/>
  <c r="Q29" i="1" s="1"/>
  <c r="P19" i="1"/>
  <c r="P29" i="1" s="1"/>
  <c r="O17" i="1"/>
  <c r="O28" i="1" l="1"/>
  <c r="P28" i="1"/>
  <c r="P34" i="1" s="1"/>
  <c r="R29" i="1"/>
  <c r="R28" i="1"/>
  <c r="R34" i="1" s="1"/>
  <c r="O34" i="1"/>
  <c r="O35" i="1"/>
  <c r="Q35" i="1"/>
  <c r="Q17" i="1"/>
  <c r="P17" i="1"/>
  <c r="R30" i="1" l="1"/>
  <c r="P35" i="1"/>
  <c r="R35" i="1"/>
</calcChain>
</file>

<file path=xl/sharedStrings.xml><?xml version="1.0" encoding="utf-8"?>
<sst xmlns="http://schemas.openxmlformats.org/spreadsheetml/2006/main" count="101" uniqueCount="29">
  <si>
    <t>RN</t>
  </si>
  <si>
    <t>CertIV</t>
  </si>
  <si>
    <t>AM</t>
  </si>
  <si>
    <t>PM</t>
  </si>
  <si>
    <t>NIGHT</t>
  </si>
  <si>
    <t>Role</t>
  </si>
  <si>
    <t>Assistant in Nursing</t>
  </si>
  <si>
    <t>Ashburn</t>
  </si>
  <si>
    <t>EN</t>
  </si>
  <si>
    <t>ACTUAL</t>
  </si>
  <si>
    <t>Master Roster Count</t>
  </si>
  <si>
    <t>Total</t>
  </si>
  <si>
    <t>2 Roles (ex EN)</t>
  </si>
  <si>
    <t>Carer</t>
  </si>
  <si>
    <t>Proportions</t>
  </si>
  <si>
    <t>Target</t>
  </si>
  <si>
    <t>AN-ACC BUDGET</t>
  </si>
  <si>
    <t>AN-ACC Hrs</t>
  </si>
  <si>
    <t>Shifts</t>
  </si>
  <si>
    <t>FTE Per Day</t>
  </si>
  <si>
    <t>Hrs /shift</t>
  </si>
  <si>
    <t>Days/week</t>
  </si>
  <si>
    <t>FTE Shift Distribution (Demand)</t>
  </si>
  <si>
    <t>Ability Rostered</t>
  </si>
  <si>
    <t>AINC4</t>
  </si>
  <si>
    <t>AIN</t>
  </si>
  <si>
    <t>AINC4:AIN</t>
  </si>
  <si>
    <t>1:6</t>
  </si>
  <si>
    <t>Ashburn House AN-ACC Model.xlsx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</si>
</sst>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i/>
      <sz val="11"/>
      <color theme="9" tint="-0.249977111117893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theme="4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17">
    <xf numFmtId="0" fontId="0" fillId="0" borderId="0" xfId="0"/>
    <xf numFmtId="0" fontId="0" fillId="2" borderId="1" xfId="0" applyFill="1" applyBorder="1"/>
    <xf numFmtId="9" fontId="0" fillId="0" borderId="0" xfId="1" applyFont="1"/>
    <xf numFmtId="0" fontId="0" fillId="0" borderId="1" xfId="0" applyBorder="1"/>
    <xf numFmtId="164" fontId="0" fillId="0" borderId="0" xfId="0" applyNumberFormat="1"/>
    <xf numFmtId="1" fontId="0" fillId="0" borderId="0" xfId="0" applyNumberFormat="1"/>
    <xf numFmtId="0" fontId="0" fillId="3" borderId="0" xfId="0" applyFill="1"/>
    <xf numFmtId="0" fontId="2" fillId="3" borderId="0" xfId="0" applyFont="1" applyFill="1"/>
    <xf numFmtId="20" fontId="0" fillId="0" borderId="0" xfId="0" quotePrefix="1" applyNumberFormat="1"/>
    <xf numFmtId="0" fontId="3" fillId="0" borderId="0" xfId="2"/>
    <xf numFmtId="164" fontId="4" fillId="0" borderId="0" xfId="0" applyNumberFormat="1" applyFont="1"/>
    <xf numFmtId="0" fontId="5" fillId="4" borderId="1" xfId="0" applyFont="1" applyFill="1" applyBorder="1"/>
    <xf numFmtId="0" fontId="5" fillId="4" borderId="2" xfId="0" applyFont="1" applyFill="1" applyBorder="1"/>
    <xf numFmtId="0" fontId="5" fillId="4" borderId="3" xfId="0" applyFont="1" applyFill="1" applyBorder="1"/>
    <xf numFmtId="0" fontId="5" fillId="4" borderId="0" xfId="0" applyFont="1" applyFill="1" applyBorder="1"/>
    <xf numFmtId="164" fontId="6" fillId="0" borderId="0" xfId="0" applyNumberFormat="1" applyFont="1"/>
    <xf numFmtId="164" fontId="7" fillId="0" borderId="0" xfId="0" applyNumberFormat="1" applyFont="1"/>
  </cellXfs>
  <cellStyles count="3">
    <cellStyle name="Hyperlink" xfId="2" builtinId="8"/>
    <cellStyle name="Normal" xfId="0" builtinId="0"/>
    <cellStyle name="Percent" xfId="1" builtinId="5"/>
  </cellStyles>
  <dxfs count="11">
    <dxf>
      <font>
        <strike val="0"/>
        <outline val="0"/>
        <shadow val="0"/>
        <u val="none"/>
        <vertAlign val="baseline"/>
        <sz val="11"/>
        <color theme="9" tint="-0.249977111117893"/>
        <name val="Calibri"/>
        <family val="2"/>
        <scheme val="minor"/>
      </font>
      <numFmt numFmtId="164" formatCode="0.0"/>
    </dxf>
    <dxf>
      <numFmt numFmtId="164" formatCode="0.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  <dxf>
      <border outline="0">
        <bottom style="thin">
          <color theme="4" tint="0.39997558519241921"/>
        </bottom>
      </border>
    </dxf>
    <dxf>
      <numFmt numFmtId="164" formatCode="0.0"/>
    </dxf>
    <dxf>
      <numFmt numFmtId="164" formatCode="0.0"/>
    </dxf>
    <dxf>
      <numFmt numFmtId="0" formatCode="General"/>
    </dxf>
    <dxf>
      <numFmt numFmtId="164" formatCode="0.0"/>
    </dxf>
    <dxf>
      <numFmt numFmtId="164" formatCode="0.0"/>
    </dxf>
    <dxf>
      <numFmt numFmtId="164" formatCode="0.0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152400</xdr:colOff>
      <xdr:row>26</xdr:row>
      <xdr:rowOff>171450</xdr:rowOff>
    </xdr:from>
    <xdr:to>
      <xdr:col>12</xdr:col>
      <xdr:colOff>342900</xdr:colOff>
      <xdr:row>26</xdr:row>
      <xdr:rowOff>171450</xdr:rowOff>
    </xdr:to>
    <xdr:cxnSp macro="">
      <xdr:nvCxnSpPr>
        <xdr:cNvPr id="5" name="Straight Arrow Connector 1">
          <a:extLst>
            <a:ext uri="{FF2B5EF4-FFF2-40B4-BE49-F238E27FC236}">
              <a16:creationId xmlns:a16="http://schemas.microsoft.com/office/drawing/2014/main" id="{C4773CB5-81D8-43B1-91D4-85B81BBB4891}"/>
            </a:ext>
          </a:extLst>
        </xdr:cNvPr>
        <xdr:cNvCxnSpPr/>
      </xdr:nvCxnSpPr>
      <xdr:spPr>
        <a:xfrm>
          <a:off x="6381750" y="5124450"/>
          <a:ext cx="14097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495300</xdr:colOff>
      <xdr:row>20</xdr:row>
      <xdr:rowOff>47625</xdr:rowOff>
    </xdr:from>
    <xdr:to>
      <xdr:col>15</xdr:col>
      <xdr:colOff>495300</xdr:colOff>
      <xdr:row>23</xdr:row>
      <xdr:rowOff>38100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BE6DF4D4-7EAF-43DD-AF4B-C816D9DCF1F5}"/>
            </a:ext>
          </a:extLst>
        </xdr:cNvPr>
        <xdr:cNvCxnSpPr/>
      </xdr:nvCxnSpPr>
      <xdr:spPr>
        <a:xfrm>
          <a:off x="9772650" y="3857625"/>
          <a:ext cx="0" cy="5619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152400</xdr:colOff>
      <xdr:row>27</xdr:row>
      <xdr:rowOff>171450</xdr:rowOff>
    </xdr:from>
    <xdr:to>
      <xdr:col>12</xdr:col>
      <xdr:colOff>323850</xdr:colOff>
      <xdr:row>28</xdr:row>
      <xdr:rowOff>9525</xdr:rowOff>
    </xdr:to>
    <xdr:cxnSp macro="">
      <xdr:nvCxnSpPr>
        <xdr:cNvPr id="6" name="Straight Arrow Connector 2">
          <a:extLst>
            <a:ext uri="{FF2B5EF4-FFF2-40B4-BE49-F238E27FC236}">
              <a16:creationId xmlns:a16="http://schemas.microsoft.com/office/drawing/2014/main" id="{F6A0F917-D4D2-3D61-3E6E-7A643CEF2E00}"/>
            </a:ext>
          </a:extLst>
        </xdr:cNvPr>
        <xdr:cNvCxnSpPr/>
      </xdr:nvCxnSpPr>
      <xdr:spPr>
        <a:xfrm>
          <a:off x="6248400" y="5124450"/>
          <a:ext cx="1390650" cy="285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495300</xdr:colOff>
      <xdr:row>20</xdr:row>
      <xdr:rowOff>47625</xdr:rowOff>
    </xdr:from>
    <xdr:to>
      <xdr:col>15</xdr:col>
      <xdr:colOff>495300</xdr:colOff>
      <xdr:row>23</xdr:row>
      <xdr:rowOff>38100</xdr:rowOff>
    </xdr:to>
    <xdr:cxnSp macro="">
      <xdr:nvCxnSpPr>
        <xdr:cNvPr id="4" name="Straight Arrow Connector 4">
          <a:extLst>
            <a:ext uri="{FF2B5EF4-FFF2-40B4-BE49-F238E27FC236}">
              <a16:creationId xmlns:a16="http://schemas.microsoft.com/office/drawing/2014/main" id="{9AFE3797-F419-5305-EFCF-4EF70BAD49DA}"/>
            </a:ext>
          </a:extLst>
        </xdr:cNvPr>
        <xdr:cNvCxnSpPr/>
      </xdr:nvCxnSpPr>
      <xdr:spPr>
        <a:xfrm>
          <a:off x="5981700" y="3476625"/>
          <a:ext cx="0" cy="5619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495300</xdr:colOff>
      <xdr:row>20</xdr:row>
      <xdr:rowOff>47625</xdr:rowOff>
    </xdr:from>
    <xdr:to>
      <xdr:col>23</xdr:col>
      <xdr:colOff>495300</xdr:colOff>
      <xdr:row>23</xdr:row>
      <xdr:rowOff>38100</xdr:rowOff>
    </xdr:to>
    <xdr:cxnSp macro="">
      <xdr:nvCxnSpPr>
        <xdr:cNvPr id="2" name="Straight Arrow Connector 1">
          <a:extLst>
            <a:ext uri="{FF2B5EF4-FFF2-40B4-BE49-F238E27FC236}">
              <a16:creationId xmlns:a16="http://schemas.microsoft.com/office/drawing/2014/main" id="{C7E1EBBE-08B4-46EB-9F25-CB78D2EC05D6}"/>
            </a:ext>
          </a:extLst>
        </xdr:cNvPr>
        <xdr:cNvCxnSpPr/>
      </xdr:nvCxnSpPr>
      <xdr:spPr>
        <a:xfrm>
          <a:off x="5981700" y="3476625"/>
          <a:ext cx="0" cy="5619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D4B26FB-6D4B-4AB5-9717-4D1216E86EE3}" name="Table153" displayName="Table153" ref="N4:R9" totalsRowCount="1">
  <autoFilter ref="N4:R8" xr:uid="{F1F90594-87F6-44CB-97E9-919817A50E9C}"/>
  <tableColumns count="5">
    <tableColumn id="1" xr3:uid="{5BFED6A2-13D6-472C-BCB0-083C63E3EC9A}" name="Role"/>
    <tableColumn id="2" xr3:uid="{6959521D-1A97-4FEC-B378-A12B9CE76D6C}" name="AM" totalsRowFunction="sum"/>
    <tableColumn id="3" xr3:uid="{4090E321-B26E-4B51-8147-C1E67D33C613}" name="PM" totalsRowFunction="sum"/>
    <tableColumn id="4" xr3:uid="{58286652-6A82-4ABA-AFD5-79F5A61EE5E4}" name="NIGHT" totalsRowFunction="sum"/>
    <tableColumn id="5" xr3:uid="{1133CE4E-1F19-4781-9D1E-E1824C22FBC7}" name="Total" totalsRowFunction="sum" dataDxfId="10">
      <calculatedColumnFormula>SUM(Table153[[#This Row],[AM]:[NIGHT]])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350634D-9AC0-43EC-B0E6-9816DE29E6ED}" name="RoleShiftDemandANACC" displayName="RoleShiftDemandANACC" ref="N25:R29" totalsRowShown="0">
  <autoFilter ref="N25:R29" xr:uid="{C350634D-9AC0-43EC-B0E6-9816DE29E6ED}"/>
  <tableColumns count="5">
    <tableColumn id="1" xr3:uid="{FA531F07-F8C0-49BF-A13D-4165CF7D5EC0}" name="Role"/>
    <tableColumn id="2" xr3:uid="{D99CCEF1-1021-49B3-99F4-E0A29D58FF7C}" name="AM" dataDxfId="9"/>
    <tableColumn id="3" xr3:uid="{1BBF5F97-7658-4C91-989B-0616236316E1}" name="PM" dataDxfId="8"/>
    <tableColumn id="4" xr3:uid="{31F59E6F-27E4-4E4C-B74B-AF2889907CF6}" name="NIGHT"/>
    <tableColumn id="5" xr3:uid="{2B9E68F2-C8F5-4E3F-ADC7-D76D846D5D09}" name="Total" dataDxfId="7">
      <calculatedColumnFormula>SUM(O26:Q26)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1F90594-87F6-44CB-97E9-919817A50E9C}" name="Table15" displayName="Table15" ref="N4:R9" totalsRowCount="1">
  <autoFilter ref="N4:R8" xr:uid="{F1F90594-87F6-44CB-97E9-919817A50E9C}"/>
  <tableColumns count="5">
    <tableColumn id="1" xr3:uid="{1B5B9247-7F1E-4440-B210-8398FDEC3E7E}" name="Role"/>
    <tableColumn id="2" xr3:uid="{DB728A31-AE2E-4AAE-BD77-A78C59ADB849}" name="AM" totalsRowFunction="sum"/>
    <tableColumn id="3" xr3:uid="{13287B97-1CDA-4D5E-808A-491E618AC75C}" name="PM" totalsRowFunction="sum"/>
    <tableColumn id="4" xr3:uid="{07E78299-7296-43EA-B9B2-0DEC4242145C}" name="NIGHT" totalsRowFunction="sum"/>
    <tableColumn id="5" xr3:uid="{6A6C9AA9-1948-4090-A8DF-637B8785745A}" name="Total" totalsRowFunction="sum" dataDxfId="6">
      <calculatedColumnFormula>SUM(Table15[[#This Row],[AM]:[NIGHT]])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4C588AB-32D8-4DC8-87E0-D520FCFBA009}" name="Table1" displayName="Table1" ref="N26:R29" totalsRowShown="0" headerRowDxfId="2" headerRowBorderDxfId="3">
  <autoFilter ref="N26:R29" xr:uid="{B4C588AB-32D8-4DC8-87E0-D520FCFBA009}"/>
  <tableColumns count="5">
    <tableColumn id="1" xr3:uid="{98879E29-E7E8-41B9-9013-8651997D7A28}" name="Role"/>
    <tableColumn id="2" xr3:uid="{4E4E83ED-0179-4154-B7D6-801AF4ECE171}" name="AM" dataDxfId="5">
      <calculatedColumnFormula>$J$28*O18</calculatedColumnFormula>
    </tableColumn>
    <tableColumn id="3" xr3:uid="{71258650-BD93-40F3-B404-E4E0801444C6}" name="PM" dataDxfId="4">
      <calculatedColumnFormula>$J$28*P18</calculatedColumnFormula>
    </tableColumn>
    <tableColumn id="4" xr3:uid="{F4C27055-CCD9-423B-9206-BAB00C27CF00}" name="NIGHT" dataDxfId="1">
      <calculatedColumnFormula>$J$28*Q18</calculatedColumnFormula>
    </tableColumn>
    <tableColumn id="5" xr3:uid="{ABDC9520-D11A-4454-878D-21C880A915DA}" name="Total" dataDxfId="0">
      <calculatedColumnFormula>SUM(O27:Q27)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../../../../../../../../../../:x:/s/4.Production/EbVtfdnmhZ5Ps5rvA-PWT1gBbsehH7ogMw0q_F2Yqv0hIQ?e=dwZLS0" TargetMode="External"/><Relationship Id="rId5" Type="http://schemas.openxmlformats.org/officeDocument/2006/relationships/table" Target="../tables/table2.xml"/><Relationship Id="rId4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../../../../../../../../../../:x:/s/4.Production/EbVtfdnmhZ5Ps5rvA-PWT1gBbsehH7ogMw0q_F2Yqv0hIQ?e=dwZLS0" TargetMode="Externa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A9CE4B-3BFD-4A1D-8EF5-533F7FA0D56E}">
  <sheetPr>
    <pageSetUpPr fitToPage="1"/>
  </sheetPr>
  <dimension ref="A1:AL35"/>
  <sheetViews>
    <sheetView workbookViewId="0">
      <selection activeCell="B21" sqref="B21:B28"/>
    </sheetView>
  </sheetViews>
  <sheetFormatPr defaultRowHeight="15" x14ac:dyDescent="0.25"/>
  <cols>
    <col min="10" max="10" width="11.140625" customWidth="1"/>
  </cols>
  <sheetData>
    <row r="1" spans="1:38" x14ac:dyDescent="0.25">
      <c r="A1" t="s">
        <v>7</v>
      </c>
    </row>
    <row r="2" spans="1:38" x14ac:dyDescent="0.25">
      <c r="M2" t="s">
        <v>9</v>
      </c>
    </row>
    <row r="3" spans="1:38" x14ac:dyDescent="0.25">
      <c r="M3" t="s">
        <v>10</v>
      </c>
    </row>
    <row r="4" spans="1:38" x14ac:dyDescent="0.25">
      <c r="N4" t="s">
        <v>5</v>
      </c>
      <c r="O4" t="s">
        <v>2</v>
      </c>
      <c r="P4" t="s">
        <v>3</v>
      </c>
      <c r="Q4" t="s">
        <v>4</v>
      </c>
      <c r="R4" t="s">
        <v>11</v>
      </c>
    </row>
    <row r="5" spans="1:38" x14ac:dyDescent="0.25">
      <c r="N5" t="s">
        <v>0</v>
      </c>
      <c r="O5">
        <v>4</v>
      </c>
      <c r="P5">
        <v>2</v>
      </c>
      <c r="Q5" s="7">
        <v>1</v>
      </c>
      <c r="R5">
        <f>SUM(Table153[[#This Row],[AM]:[NIGHT]])</f>
        <v>7</v>
      </c>
    </row>
    <row r="6" spans="1:38" x14ac:dyDescent="0.25">
      <c r="J6" t="s">
        <v>26</v>
      </c>
      <c r="N6" t="s">
        <v>1</v>
      </c>
      <c r="O6">
        <v>3</v>
      </c>
      <c r="P6">
        <v>2</v>
      </c>
      <c r="Q6" s="7"/>
      <c r="R6">
        <f>SUM(Table153[[#This Row],[AM]:[NIGHT]])</f>
        <v>5</v>
      </c>
    </row>
    <row r="7" spans="1:38" x14ac:dyDescent="0.25">
      <c r="J7" s="8" t="s">
        <v>27</v>
      </c>
      <c r="K7">
        <f>1/6</f>
        <v>0.16666666666666666</v>
      </c>
      <c r="N7" t="s">
        <v>6</v>
      </c>
      <c r="O7">
        <v>16</v>
      </c>
      <c r="P7">
        <v>13</v>
      </c>
      <c r="Q7">
        <v>6</v>
      </c>
      <c r="R7">
        <f>SUM(Table153[[#This Row],[AM]:[NIGHT]])</f>
        <v>35</v>
      </c>
    </row>
    <row r="8" spans="1:38" x14ac:dyDescent="0.25">
      <c r="N8" t="s">
        <v>8</v>
      </c>
      <c r="R8">
        <f>SUM(Table153[[#This Row],[AM]:[NIGHT]])</f>
        <v>0</v>
      </c>
    </row>
    <row r="9" spans="1:38" x14ac:dyDescent="0.25">
      <c r="O9">
        <f>SUBTOTAL(109,Table153[AM])</f>
        <v>23</v>
      </c>
      <c r="P9">
        <f>SUBTOTAL(109,Table153[PM])</f>
        <v>17</v>
      </c>
      <c r="Q9">
        <f>SUBTOTAL(109,Table153[NIGHT])</f>
        <v>7</v>
      </c>
      <c r="R9">
        <f>SUBTOTAL(109,Table153[Total])</f>
        <v>47</v>
      </c>
      <c r="AH9" s="1"/>
      <c r="AI9" s="2"/>
      <c r="AJ9" s="2"/>
      <c r="AK9" s="2"/>
      <c r="AL9" s="2"/>
    </row>
    <row r="10" spans="1:38" x14ac:dyDescent="0.25">
      <c r="AH10" s="3"/>
      <c r="AI10" s="2"/>
      <c r="AJ10" s="2"/>
      <c r="AK10" s="2"/>
      <c r="AL10" s="2"/>
    </row>
    <row r="11" spans="1:38" x14ac:dyDescent="0.25">
      <c r="AH11" s="1"/>
      <c r="AI11" s="2"/>
      <c r="AJ11" s="2"/>
      <c r="AK11" s="2"/>
      <c r="AL11" s="2"/>
    </row>
    <row r="12" spans="1:38" x14ac:dyDescent="0.25">
      <c r="M12" t="s">
        <v>12</v>
      </c>
      <c r="AH12" s="3"/>
      <c r="AI12" s="2"/>
      <c r="AJ12" s="2"/>
      <c r="AK12" s="2"/>
      <c r="AL12" s="2"/>
    </row>
    <row r="13" spans="1:38" x14ac:dyDescent="0.25">
      <c r="N13" t="s">
        <v>0</v>
      </c>
      <c r="O13">
        <f t="shared" ref="O13:R14" si="0">O5</f>
        <v>4</v>
      </c>
      <c r="P13">
        <f t="shared" si="0"/>
        <v>2</v>
      </c>
      <c r="Q13">
        <f t="shared" si="0"/>
        <v>1</v>
      </c>
      <c r="R13">
        <f t="shared" si="0"/>
        <v>7</v>
      </c>
    </row>
    <row r="14" spans="1:38" x14ac:dyDescent="0.25">
      <c r="N14" t="s">
        <v>24</v>
      </c>
      <c r="O14">
        <f t="shared" si="0"/>
        <v>3</v>
      </c>
      <c r="P14">
        <f t="shared" si="0"/>
        <v>2</v>
      </c>
      <c r="Q14">
        <f t="shared" si="0"/>
        <v>0</v>
      </c>
      <c r="R14">
        <f t="shared" si="0"/>
        <v>5</v>
      </c>
    </row>
    <row r="15" spans="1:38" x14ac:dyDescent="0.25">
      <c r="N15" t="s">
        <v>25</v>
      </c>
      <c r="O15">
        <f>O7+O8</f>
        <v>16</v>
      </c>
      <c r="P15">
        <f>P7+P8</f>
        <v>13</v>
      </c>
      <c r="Q15">
        <f>Q7+Q8</f>
        <v>6</v>
      </c>
      <c r="R15">
        <f>R7+R8</f>
        <v>35</v>
      </c>
    </row>
    <row r="16" spans="1:38" x14ac:dyDescent="0.25">
      <c r="M16" t="s">
        <v>14</v>
      </c>
    </row>
    <row r="17" spans="1:18" x14ac:dyDescent="0.25">
      <c r="N17" t="s">
        <v>0</v>
      </c>
      <c r="O17" s="2">
        <f>O13/$R$13</f>
        <v>0.5714285714285714</v>
      </c>
      <c r="P17" s="2">
        <f>P13/$R$13</f>
        <v>0.2857142857142857</v>
      </c>
      <c r="Q17" s="2">
        <f>Q13/$R$13</f>
        <v>0.14285714285714285</v>
      </c>
    </row>
    <row r="18" spans="1:18" x14ac:dyDescent="0.25">
      <c r="N18" t="s">
        <v>24</v>
      </c>
      <c r="O18" s="2">
        <f>O14/$R$14</f>
        <v>0.6</v>
      </c>
      <c r="P18" s="2">
        <f>P14/$R$14</f>
        <v>0.4</v>
      </c>
      <c r="Q18" s="2">
        <f>Q14/$R$14</f>
        <v>0</v>
      </c>
    </row>
    <row r="19" spans="1:18" x14ac:dyDescent="0.25">
      <c r="N19" t="s">
        <v>25</v>
      </c>
      <c r="O19" s="2">
        <f>O15/$R$15</f>
        <v>0.45714285714285713</v>
      </c>
      <c r="P19" s="2">
        <f>P15/$R$15</f>
        <v>0.37142857142857144</v>
      </c>
      <c r="Q19" s="2">
        <f>Q15/$R$15</f>
        <v>0.17142857142857143</v>
      </c>
    </row>
    <row r="20" spans="1:18" x14ac:dyDescent="0.25">
      <c r="O20" s="2"/>
      <c r="P20" s="2"/>
      <c r="Q20" s="2"/>
    </row>
    <row r="21" spans="1:18" x14ac:dyDescent="0.25">
      <c r="B21" t="s">
        <v>15</v>
      </c>
      <c r="H21" t="s">
        <v>15</v>
      </c>
      <c r="M21" t="s">
        <v>16</v>
      </c>
      <c r="O21" s="2"/>
      <c r="P21" s="2"/>
      <c r="Q21" s="2"/>
    </row>
    <row r="22" spans="1:18" x14ac:dyDescent="0.25">
      <c r="B22" t="s">
        <v>17</v>
      </c>
      <c r="H22" t="s">
        <v>17</v>
      </c>
      <c r="I22" t="s">
        <v>18</v>
      </c>
      <c r="J22" t="s">
        <v>19</v>
      </c>
      <c r="O22" s="2"/>
      <c r="P22" s="2"/>
      <c r="Q22" s="2"/>
    </row>
    <row r="23" spans="1:18" x14ac:dyDescent="0.25">
      <c r="B23" s="9" t="s">
        <v>28</v>
      </c>
      <c r="I23" t="s">
        <v>20</v>
      </c>
      <c r="J23" t="s">
        <v>21</v>
      </c>
    </row>
    <row r="24" spans="1:18" x14ac:dyDescent="0.25">
      <c r="B24">
        <v>241108</v>
      </c>
      <c r="I24">
        <v>7.6</v>
      </c>
      <c r="J24">
        <v>7</v>
      </c>
      <c r="N24" t="s">
        <v>22</v>
      </c>
    </row>
    <row r="25" spans="1:18" x14ac:dyDescent="0.25">
      <c r="N25" t="s">
        <v>5</v>
      </c>
      <c r="O25" t="s">
        <v>2</v>
      </c>
      <c r="P25" t="s">
        <v>3</v>
      </c>
      <c r="Q25" t="s">
        <v>4</v>
      </c>
      <c r="R25" t="s">
        <v>11</v>
      </c>
    </row>
    <row r="26" spans="1:18" x14ac:dyDescent="0.25">
      <c r="A26" t="s">
        <v>0</v>
      </c>
      <c r="B26">
        <v>512.79999999999995</v>
      </c>
      <c r="C26" s="4"/>
      <c r="D26" s="4"/>
      <c r="G26" t="s">
        <v>0</v>
      </c>
      <c r="H26" s="5">
        <f>B26</f>
        <v>512.79999999999995</v>
      </c>
      <c r="I26" s="4">
        <f>H26/$I$24</f>
        <v>67.473684210526315</v>
      </c>
      <c r="J26" s="4">
        <f>I26/$J$24</f>
        <v>9.6390977443609014</v>
      </c>
      <c r="N26" t="s">
        <v>0</v>
      </c>
      <c r="O26" s="4">
        <f>($J$26-$Q26)*O5/($R5-$Q5)</f>
        <v>5.7593984962406006</v>
      </c>
      <c r="P26" s="4">
        <f>($J$26-$Q26)*P5/($R5-$Q5)</f>
        <v>2.8796992481203003</v>
      </c>
      <c r="Q26" s="6">
        <v>1</v>
      </c>
      <c r="R26" s="4">
        <f>SUM(O26:Q26)</f>
        <v>9.6390977443609014</v>
      </c>
    </row>
    <row r="27" spans="1:18" x14ac:dyDescent="0.25">
      <c r="C27" s="4"/>
      <c r="D27" s="4"/>
      <c r="G27" t="s">
        <v>24</v>
      </c>
      <c r="H27" s="5">
        <f>B28*K7</f>
        <v>333.06666666666666</v>
      </c>
      <c r="I27" s="4">
        <f>H27/$I$24</f>
        <v>43.824561403508774</v>
      </c>
      <c r="J27" s="4">
        <f>I27/$J$24</f>
        <v>6.2606516290726821</v>
      </c>
      <c r="N27" t="s">
        <v>24</v>
      </c>
      <c r="O27" s="4">
        <f>($J$27-$Q27)*O6/($R6-$Q6)</f>
        <v>3.1563909774436092</v>
      </c>
      <c r="P27" s="4">
        <f>($J$27-$Q27)*P6/($R6-$Q6)</f>
        <v>2.1042606516290729</v>
      </c>
      <c r="Q27" s="6">
        <v>1</v>
      </c>
      <c r="R27" s="4">
        <f>SUM(O27:Q27)</f>
        <v>6.2606516290726821</v>
      </c>
    </row>
    <row r="28" spans="1:18" x14ac:dyDescent="0.25">
      <c r="A28" t="s">
        <v>13</v>
      </c>
      <c r="B28">
        <v>1998.4</v>
      </c>
      <c r="C28" s="4"/>
      <c r="D28" s="4"/>
      <c r="G28" t="s">
        <v>25</v>
      </c>
      <c r="H28" s="5">
        <f>B28-H27</f>
        <v>1665.3333333333335</v>
      </c>
      <c r="I28" s="4">
        <f>H28/$I$24</f>
        <v>219.12280701754389</v>
      </c>
      <c r="J28" s="4">
        <f>I28/$J$24</f>
        <v>31.303258145363412</v>
      </c>
      <c r="N28" t="s">
        <v>25</v>
      </c>
      <c r="O28" s="4">
        <f>($J$28-$Q28)*O7/($R7-$Q7)</f>
        <v>14.310060866451845</v>
      </c>
      <c r="P28" s="4">
        <f>($J$28-$Q28)*P7/($R7-$Q7)</f>
        <v>11.626924453992125</v>
      </c>
      <c r="Q28" s="4">
        <f>$J$28*Q19</f>
        <v>5.3662728249194425</v>
      </c>
      <c r="R28" s="4">
        <f>SUM(O28:Q28)</f>
        <v>31.303258145363412</v>
      </c>
    </row>
    <row r="29" spans="1:18" x14ac:dyDescent="0.25">
      <c r="J29" s="10">
        <f>SUM(J26:J28)</f>
        <v>47.203007518796994</v>
      </c>
      <c r="N29" t="s">
        <v>8</v>
      </c>
      <c r="O29" s="4"/>
      <c r="P29" s="4"/>
      <c r="R29" s="4"/>
    </row>
    <row r="30" spans="1:18" x14ac:dyDescent="0.25">
      <c r="R30" s="4">
        <f>SUM(R26:R29)</f>
        <v>47.203007518796994</v>
      </c>
    </row>
    <row r="32" spans="1:18" x14ac:dyDescent="0.25">
      <c r="N32" t="s">
        <v>23</v>
      </c>
    </row>
    <row r="33" spans="14:26" x14ac:dyDescent="0.25">
      <c r="N33" t="s">
        <v>0</v>
      </c>
      <c r="O33" s="2">
        <f t="shared" ref="O33:R35" si="1">O13/O26</f>
        <v>0.69451697127937351</v>
      </c>
      <c r="P33" s="2">
        <f t="shared" si="1"/>
        <v>0.69451697127937351</v>
      </c>
      <c r="Q33" s="2">
        <f t="shared" si="1"/>
        <v>1</v>
      </c>
      <c r="R33" s="2">
        <f t="shared" si="1"/>
        <v>0.72620904836193456</v>
      </c>
    </row>
    <row r="34" spans="14:26" x14ac:dyDescent="0.25">
      <c r="N34" t="s">
        <v>24</v>
      </c>
      <c r="O34" s="2">
        <f t="shared" si="1"/>
        <v>0.95045259647451164</v>
      </c>
      <c r="P34" s="2">
        <f t="shared" si="1"/>
        <v>0.95045259647451152</v>
      </c>
      <c r="Q34" s="2">
        <f t="shared" si="1"/>
        <v>0</v>
      </c>
      <c r="R34" s="2">
        <f t="shared" si="1"/>
        <v>0.79863891112890306</v>
      </c>
      <c r="W34" s="2"/>
      <c r="X34" s="2"/>
      <c r="Y34" s="2"/>
      <c r="Z34" s="2"/>
    </row>
    <row r="35" spans="14:26" x14ac:dyDescent="0.25">
      <c r="N35" t="s">
        <v>25</v>
      </c>
      <c r="O35" s="2">
        <f t="shared" si="1"/>
        <v>1.1180944755804643</v>
      </c>
      <c r="P35" s="2">
        <f t="shared" si="1"/>
        <v>1.1180944755804643</v>
      </c>
      <c r="Q35" s="2">
        <f t="shared" si="1"/>
        <v>1.1180944755804643</v>
      </c>
      <c r="R35" s="2">
        <f t="shared" si="1"/>
        <v>1.1180944755804643</v>
      </c>
    </row>
  </sheetData>
  <hyperlinks>
    <hyperlink ref="B23" r:id="rId1" display="../../../../../../../../../../:x:/s/4.Production/EbVtfdnmhZ5Ps5rvA-PWT1gBbsehH7ogMw0q_F2Yqv0hIQ?e=dwZLS0" xr:uid="{3EB91827-1D90-474E-A5F6-D1F90C132D39}"/>
  </hyperlinks>
  <pageMargins left="0.70866141732283472" right="0.70866141732283472" top="0.74803149606299213" bottom="0.74803149606299213" header="0.31496062992125984" footer="0.31496062992125984"/>
  <pageSetup scale="71" orientation="landscape" r:id="rId2"/>
  <drawing r:id="rId3"/>
  <tableParts count="2"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L35"/>
  <sheetViews>
    <sheetView tabSelected="1" topLeftCell="A4" workbookViewId="0">
      <selection activeCell="E8" sqref="E8"/>
    </sheetView>
  </sheetViews>
  <sheetFormatPr defaultRowHeight="15" x14ac:dyDescent="0.25"/>
  <cols>
    <col min="10" max="10" width="11.140625" customWidth="1"/>
  </cols>
  <sheetData>
    <row r="1" spans="1:38" x14ac:dyDescent="0.25">
      <c r="A1" t="s">
        <v>7</v>
      </c>
    </row>
    <row r="2" spans="1:38" x14ac:dyDescent="0.25">
      <c r="M2" t="s">
        <v>9</v>
      </c>
    </row>
    <row r="3" spans="1:38" x14ac:dyDescent="0.25">
      <c r="M3" t="s">
        <v>10</v>
      </c>
    </row>
    <row r="4" spans="1:38" x14ac:dyDescent="0.25">
      <c r="N4" t="s">
        <v>5</v>
      </c>
      <c r="O4" t="s">
        <v>2</v>
      </c>
      <c r="P4" t="s">
        <v>3</v>
      </c>
      <c r="Q4" t="s">
        <v>4</v>
      </c>
      <c r="R4" t="s">
        <v>11</v>
      </c>
    </row>
    <row r="5" spans="1:38" x14ac:dyDescent="0.25">
      <c r="N5" t="s">
        <v>0</v>
      </c>
      <c r="O5">
        <v>4</v>
      </c>
      <c r="P5">
        <v>2</v>
      </c>
      <c r="Q5">
        <v>0</v>
      </c>
      <c r="R5">
        <f>SUM(Table15[[#This Row],[AM]:[NIGHT]])</f>
        <v>6</v>
      </c>
      <c r="Y5" s="7"/>
    </row>
    <row r="6" spans="1:38" x14ac:dyDescent="0.25">
      <c r="J6" t="s">
        <v>26</v>
      </c>
      <c r="N6" t="s">
        <v>1</v>
      </c>
      <c r="O6">
        <v>3</v>
      </c>
      <c r="P6">
        <v>2</v>
      </c>
      <c r="R6">
        <f>SUM(Table15[[#This Row],[AM]:[NIGHT]])</f>
        <v>5</v>
      </c>
      <c r="Y6" s="7"/>
    </row>
    <row r="7" spans="1:38" x14ac:dyDescent="0.25">
      <c r="J7" s="8" t="s">
        <v>27</v>
      </c>
      <c r="K7">
        <f>1/6</f>
        <v>0.16666666666666666</v>
      </c>
      <c r="N7" t="s">
        <v>6</v>
      </c>
      <c r="O7">
        <v>16</v>
      </c>
      <c r="P7">
        <v>13</v>
      </c>
      <c r="Q7">
        <v>6</v>
      </c>
      <c r="R7">
        <f>SUM(Table15[[#This Row],[AM]:[NIGHT]])</f>
        <v>35</v>
      </c>
    </row>
    <row r="8" spans="1:38" x14ac:dyDescent="0.25">
      <c r="N8" t="s">
        <v>8</v>
      </c>
      <c r="R8">
        <f>SUM(Table15[[#This Row],[AM]:[NIGHT]])</f>
        <v>0</v>
      </c>
    </row>
    <row r="9" spans="1:38" x14ac:dyDescent="0.25">
      <c r="O9">
        <f>SUBTOTAL(109,Table15[AM])</f>
        <v>23</v>
      </c>
      <c r="P9">
        <f>SUBTOTAL(109,Table15[PM])</f>
        <v>17</v>
      </c>
      <c r="Q9">
        <f>SUBTOTAL(109,Table15[NIGHT])</f>
        <v>6</v>
      </c>
      <c r="R9">
        <f>SUBTOTAL(109,Table15[Total])</f>
        <v>46</v>
      </c>
      <c r="AH9" s="1"/>
      <c r="AI9" s="2"/>
      <c r="AJ9" s="2"/>
      <c r="AK9" s="2"/>
      <c r="AL9" s="2"/>
    </row>
    <row r="10" spans="1:38" x14ac:dyDescent="0.25">
      <c r="AH10" s="3"/>
      <c r="AI10" s="2"/>
      <c r="AJ10" s="2"/>
      <c r="AK10" s="2"/>
      <c r="AL10" s="2"/>
    </row>
    <row r="11" spans="1:38" x14ac:dyDescent="0.25">
      <c r="AH11" s="1"/>
      <c r="AI11" s="2"/>
      <c r="AJ11" s="2"/>
      <c r="AK11" s="2"/>
      <c r="AL11" s="2"/>
    </row>
    <row r="12" spans="1:38" x14ac:dyDescent="0.25">
      <c r="M12" t="s">
        <v>12</v>
      </c>
      <c r="AH12" s="3"/>
      <c r="AI12" s="2"/>
      <c r="AJ12" s="2"/>
      <c r="AK12" s="2"/>
      <c r="AL12" s="2"/>
    </row>
    <row r="13" spans="1:38" x14ac:dyDescent="0.25">
      <c r="N13" t="s">
        <v>0</v>
      </c>
      <c r="O13">
        <f t="shared" ref="O13:R14" si="0">O5</f>
        <v>4</v>
      </c>
      <c r="P13">
        <f t="shared" si="0"/>
        <v>2</v>
      </c>
      <c r="Q13">
        <f t="shared" si="0"/>
        <v>0</v>
      </c>
      <c r="R13">
        <f t="shared" si="0"/>
        <v>6</v>
      </c>
    </row>
    <row r="14" spans="1:38" x14ac:dyDescent="0.25">
      <c r="N14" t="s">
        <v>24</v>
      </c>
      <c r="O14">
        <f t="shared" si="0"/>
        <v>3</v>
      </c>
      <c r="P14">
        <f t="shared" si="0"/>
        <v>2</v>
      </c>
      <c r="Q14">
        <f t="shared" si="0"/>
        <v>0</v>
      </c>
      <c r="R14">
        <f t="shared" si="0"/>
        <v>5</v>
      </c>
    </row>
    <row r="15" spans="1:38" x14ac:dyDescent="0.25">
      <c r="N15" t="s">
        <v>25</v>
      </c>
      <c r="O15">
        <f>O7+O8</f>
        <v>16</v>
      </c>
      <c r="P15">
        <f>P7+P8</f>
        <v>13</v>
      </c>
      <c r="Q15">
        <f>Q7+Q8</f>
        <v>6</v>
      </c>
      <c r="R15">
        <f>R7+R8</f>
        <v>35</v>
      </c>
    </row>
    <row r="16" spans="1:38" x14ac:dyDescent="0.25">
      <c r="M16" t="s">
        <v>14</v>
      </c>
    </row>
    <row r="17" spans="1:26" x14ac:dyDescent="0.25">
      <c r="N17" t="s">
        <v>0</v>
      </c>
      <c r="O17" s="2">
        <f>O13/$R$13</f>
        <v>0.66666666666666663</v>
      </c>
      <c r="P17" s="2">
        <f>P13/$R$13</f>
        <v>0.33333333333333331</v>
      </c>
      <c r="Q17" s="2">
        <f>Q13/$R$13</f>
        <v>0</v>
      </c>
      <c r="W17" s="2"/>
      <c r="X17" s="2"/>
      <c r="Y17" s="2"/>
    </row>
    <row r="18" spans="1:26" x14ac:dyDescent="0.25">
      <c r="N18" t="s">
        <v>24</v>
      </c>
      <c r="O18" s="2">
        <f>O14/$R$14</f>
        <v>0.6</v>
      </c>
      <c r="P18" s="2">
        <f>P14/$R$14</f>
        <v>0.4</v>
      </c>
      <c r="Q18" s="2">
        <f>Q14/$R$14</f>
        <v>0</v>
      </c>
      <c r="W18" s="2"/>
      <c r="X18" s="2"/>
      <c r="Y18" s="2"/>
    </row>
    <row r="19" spans="1:26" x14ac:dyDescent="0.25">
      <c r="N19" t="s">
        <v>25</v>
      </c>
      <c r="O19" s="2">
        <f>O15/$R$15</f>
        <v>0.45714285714285713</v>
      </c>
      <c r="P19" s="2">
        <f>P15/$R$15</f>
        <v>0.37142857142857144</v>
      </c>
      <c r="Q19" s="2">
        <f>Q15/$R$15</f>
        <v>0.17142857142857143</v>
      </c>
      <c r="W19" s="2"/>
      <c r="X19" s="2"/>
      <c r="Y19" s="2"/>
    </row>
    <row r="20" spans="1:26" x14ac:dyDescent="0.25">
      <c r="O20" s="2"/>
      <c r="P20" s="2"/>
      <c r="Q20" s="2"/>
      <c r="W20" s="2"/>
      <c r="X20" s="2"/>
      <c r="Y20" s="2"/>
    </row>
    <row r="21" spans="1:26" x14ac:dyDescent="0.25">
      <c r="B21" t="s">
        <v>15</v>
      </c>
      <c r="H21" t="s">
        <v>15</v>
      </c>
      <c r="M21" t="s">
        <v>16</v>
      </c>
      <c r="O21" s="2"/>
      <c r="P21" s="2"/>
      <c r="Q21" s="2"/>
      <c r="W21" s="2"/>
      <c r="X21" s="2"/>
      <c r="Y21" s="2"/>
    </row>
    <row r="22" spans="1:26" x14ac:dyDescent="0.25">
      <c r="B22" t="s">
        <v>17</v>
      </c>
      <c r="H22" t="s">
        <v>17</v>
      </c>
      <c r="I22" t="s">
        <v>18</v>
      </c>
      <c r="J22" t="s">
        <v>19</v>
      </c>
      <c r="O22" s="2"/>
      <c r="P22" s="2"/>
      <c r="Q22" s="2"/>
      <c r="W22" s="2"/>
      <c r="X22" s="2"/>
      <c r="Y22" s="2"/>
    </row>
    <row r="23" spans="1:26" x14ac:dyDescent="0.25">
      <c r="B23" s="9" t="s">
        <v>28</v>
      </c>
      <c r="I23" t="s">
        <v>20</v>
      </c>
      <c r="J23" t="s">
        <v>21</v>
      </c>
    </row>
    <row r="24" spans="1:26" x14ac:dyDescent="0.25">
      <c r="B24">
        <v>241108</v>
      </c>
      <c r="I24">
        <v>7.6</v>
      </c>
      <c r="J24">
        <v>7</v>
      </c>
    </row>
    <row r="25" spans="1:26" x14ac:dyDescent="0.25">
      <c r="N25" t="s">
        <v>22</v>
      </c>
    </row>
    <row r="26" spans="1:26" x14ac:dyDescent="0.25">
      <c r="N26" s="11" t="s">
        <v>5</v>
      </c>
      <c r="O26" s="12" t="s">
        <v>2</v>
      </c>
      <c r="P26" s="12" t="s">
        <v>3</v>
      </c>
      <c r="Q26" s="12" t="s">
        <v>4</v>
      </c>
      <c r="R26" s="13" t="s">
        <v>11</v>
      </c>
    </row>
    <row r="27" spans="1:26" x14ac:dyDescent="0.25">
      <c r="A27" t="s">
        <v>0</v>
      </c>
      <c r="B27">
        <v>512.79999999999995</v>
      </c>
      <c r="C27" s="4"/>
      <c r="D27" s="4"/>
      <c r="G27" t="s">
        <v>0</v>
      </c>
      <c r="H27" s="5">
        <f>B27</f>
        <v>512.79999999999995</v>
      </c>
      <c r="I27" s="4">
        <f>H27/$I$24</f>
        <v>67.473684210526315</v>
      </c>
      <c r="J27" s="4">
        <f>I27/$J$24</f>
        <v>9.6390977443609014</v>
      </c>
      <c r="N27" s="14" t="s">
        <v>0</v>
      </c>
      <c r="O27" s="4">
        <f>$J$27*O17</f>
        <v>6.4260651629072676</v>
      </c>
      <c r="P27" s="4">
        <f>$J$27*P17</f>
        <v>3.2130325814536338</v>
      </c>
      <c r="Q27" s="4">
        <f>$J$28*Q17</f>
        <v>0</v>
      </c>
      <c r="R27" s="15">
        <f>SUM(O27:Q27)</f>
        <v>9.6390977443609014</v>
      </c>
      <c r="W27" s="4"/>
      <c r="X27" s="4"/>
      <c r="Y27" s="4"/>
      <c r="Z27" s="4"/>
    </row>
    <row r="28" spans="1:26" x14ac:dyDescent="0.25">
      <c r="C28" s="4"/>
      <c r="D28" s="4"/>
      <c r="G28" t="s">
        <v>24</v>
      </c>
      <c r="H28" s="5">
        <f>B29*K7</f>
        <v>333.06666666666666</v>
      </c>
      <c r="I28" s="4">
        <f>H28/$I$24</f>
        <v>43.824561403508774</v>
      </c>
      <c r="J28" s="4">
        <f>I28/$J$24</f>
        <v>6.2606516290726821</v>
      </c>
      <c r="N28" t="s">
        <v>24</v>
      </c>
      <c r="O28" s="4">
        <f>$J$28*O18</f>
        <v>3.7563909774436093</v>
      </c>
      <c r="P28" s="4">
        <f>$J$28*P18</f>
        <v>2.5042606516290729</v>
      </c>
      <c r="Q28" s="4">
        <f>$J$27*Q18</f>
        <v>0</v>
      </c>
      <c r="R28" s="15">
        <f>SUM(O28:Q28)</f>
        <v>6.2606516290726821</v>
      </c>
      <c r="W28" s="4"/>
      <c r="X28" s="4"/>
      <c r="Y28" s="4"/>
      <c r="Z28" s="4"/>
    </row>
    <row r="29" spans="1:26" x14ac:dyDescent="0.25">
      <c r="A29" t="s">
        <v>13</v>
      </c>
      <c r="B29">
        <v>1998.4</v>
      </c>
      <c r="C29" s="4"/>
      <c r="D29" s="4"/>
      <c r="G29" t="s">
        <v>25</v>
      </c>
      <c r="H29" s="5">
        <f>B29-H28</f>
        <v>1665.3333333333335</v>
      </c>
      <c r="I29" s="4">
        <f>H29/$I$24</f>
        <v>219.12280701754389</v>
      </c>
      <c r="J29" s="4">
        <f>I29/$J$24</f>
        <v>31.303258145363412</v>
      </c>
      <c r="N29" t="s">
        <v>25</v>
      </c>
      <c r="O29" s="4">
        <f>$J$29*O19</f>
        <v>14.310060866451845</v>
      </c>
      <c r="P29" s="4">
        <f>$J$29*P19</f>
        <v>11.626924453992125</v>
      </c>
      <c r="Q29" s="4">
        <f>$J$29*Q19</f>
        <v>5.3662728249194425</v>
      </c>
      <c r="R29" s="15">
        <f>SUM(O29:Q29)</f>
        <v>31.303258145363412</v>
      </c>
      <c r="W29" s="4"/>
      <c r="X29" s="4"/>
      <c r="Y29" s="4"/>
      <c r="Z29" s="4"/>
    </row>
    <row r="30" spans="1:26" x14ac:dyDescent="0.25">
      <c r="R30" s="16">
        <f>SUM(R26:R29)</f>
        <v>47.203007518796994</v>
      </c>
      <c r="Z30" s="4"/>
    </row>
    <row r="31" spans="1:26" x14ac:dyDescent="0.25">
      <c r="J31" s="4">
        <f>SUM(J27:J30)</f>
        <v>47.203007518796994</v>
      </c>
    </row>
    <row r="32" spans="1:26" x14ac:dyDescent="0.25">
      <c r="N32" t="s">
        <v>23</v>
      </c>
    </row>
    <row r="33" spans="14:26" x14ac:dyDescent="0.25">
      <c r="N33" t="s">
        <v>0</v>
      </c>
      <c r="O33" s="2">
        <f>O13/O27</f>
        <v>0.62246489859594389</v>
      </c>
      <c r="P33" s="2">
        <f>P13/P27</f>
        <v>0.62246489859594389</v>
      </c>
      <c r="Q33" s="2"/>
      <c r="R33" s="2">
        <f>R13/R27</f>
        <v>0.62246489859594389</v>
      </c>
      <c r="W33" s="2"/>
      <c r="X33" s="2"/>
      <c r="Y33" s="2"/>
      <c r="Z33" s="2"/>
    </row>
    <row r="34" spans="14:26" x14ac:dyDescent="0.25">
      <c r="N34" t="s">
        <v>24</v>
      </c>
      <c r="O34" s="2">
        <f>O14/O28</f>
        <v>0.79863891112890306</v>
      </c>
      <c r="P34" s="2">
        <f>P14/P28</f>
        <v>0.79863891112890306</v>
      </c>
      <c r="Q34" s="2"/>
      <c r="R34" s="2">
        <f>R14/R28</f>
        <v>0.79863891112890306</v>
      </c>
      <c r="W34" s="2"/>
      <c r="X34" s="2"/>
      <c r="Y34" s="2"/>
      <c r="Z34" s="2"/>
    </row>
    <row r="35" spans="14:26" x14ac:dyDescent="0.25">
      <c r="N35" t="s">
        <v>25</v>
      </c>
      <c r="O35" s="2">
        <f>O29/O15</f>
        <v>0.89437880415324034</v>
      </c>
      <c r="P35" s="2">
        <f>P29/P15</f>
        <v>0.89437880415324034</v>
      </c>
      <c r="Q35" s="2">
        <f>Q29/Q15</f>
        <v>0.89437880415324045</v>
      </c>
      <c r="R35" s="2">
        <f>R29/R15</f>
        <v>0.89437880415324034</v>
      </c>
      <c r="W35" s="2"/>
      <c r="X35" s="2"/>
      <c r="Y35" s="2"/>
      <c r="Z35" s="2"/>
    </row>
  </sheetData>
  <hyperlinks>
    <hyperlink ref="B23" r:id="rId1" display="../../../../../../../../../../:x:/s/4.Production/EbVtfdnmhZ5Ps5rvA-PWT1gBbsehH7ogMw0q_F2Yqv0hIQ?e=dwZLS0" xr:uid="{4477B538-62A1-4557-B1BC-0B7D78BBDFE1}"/>
  </hyperlinks>
  <pageMargins left="0.70866141732283472" right="0.70866141732283472" top="0.74803149606299213" bottom="0.74803149606299213" header="0.31496062992125984" footer="0.31496062992125984"/>
  <pageSetup orientation="landscape" r:id="rId2"/>
  <drawing r:id="rId3"/>
  <tableParts count="2">
    <tablePart r:id="rId4"/>
    <tablePart r:id="rId5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BBE42521EE0684FB91080D193FD289B" ma:contentTypeVersion="12" ma:contentTypeDescription="Create a new document." ma:contentTypeScope="" ma:versionID="47cccb59cbe8c704ee7bf746635a25e0">
  <xsd:schema xmlns:xsd="http://www.w3.org/2001/XMLSchema" xmlns:xs="http://www.w3.org/2001/XMLSchema" xmlns:p="http://schemas.microsoft.com/office/2006/metadata/properties" xmlns:ns2="f82d1b6b-c0e6-44b0-99a2-d357b2d50896" xmlns:ns3="3be0b85a-8471-4f10-b038-505fde09e598" targetNamespace="http://schemas.microsoft.com/office/2006/metadata/properties" ma:root="true" ma:fieldsID="5bc806a59855b1e4bcc59406b6445b2a" ns2:_="" ns3:_="">
    <xsd:import namespace="f82d1b6b-c0e6-44b0-99a2-d357b2d50896"/>
    <xsd:import namespace="3be0b85a-8471-4f10-b038-505fde09e59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2d1b6b-c0e6-44b0-99a2-d357b2d508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af4192a9-ce52-406f-9dc9-4d585e014db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e0b85a-8471-4f10-b038-505fde09e598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9f462d04-e98a-404c-8b3f-11055a86a13c}" ma:internalName="TaxCatchAll" ma:showField="CatchAllData" ma:web="3be0b85a-8471-4f10-b038-505fde09e59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e0b85a-8471-4f10-b038-505fde09e598" xsi:nil="true"/>
    <lcf76f155ced4ddcb4097134ff3c332f xmlns="f82d1b6b-c0e6-44b0-99a2-d357b2d50896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B128941-4F12-47E3-B3EA-101E8899543F}"/>
</file>

<file path=customXml/itemProps2.xml><?xml version="1.0" encoding="utf-8"?>
<ds:datastoreItem xmlns:ds="http://schemas.openxmlformats.org/officeDocument/2006/customXml" ds:itemID="{70599CE1-6300-4AAF-A74C-8E16187DE466}">
  <ds:schemaRefs>
    <ds:schemaRef ds:uri="http://schemas.microsoft.com/office/2006/metadata/properties"/>
    <ds:schemaRef ds:uri="http://schemas.microsoft.com/office/infopath/2007/PartnerControls"/>
    <ds:schemaRef ds:uri="a6ef9c2c-1ad1-4c09-9d1c-8c71a768c11f"/>
    <ds:schemaRef ds:uri="f574b478-68e4-495d-9b17-0f93d51a8ef7"/>
  </ds:schemaRefs>
</ds:datastoreItem>
</file>

<file path=customXml/itemProps3.xml><?xml version="1.0" encoding="utf-8"?>
<ds:datastoreItem xmlns:ds="http://schemas.openxmlformats.org/officeDocument/2006/customXml" ds:itemID="{8DB9347D-2E0F-43FC-B722-A4F92AEB336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Assumed</vt:lpstr>
      <vt:lpstr>Actual</vt:lpstr>
      <vt:lpstr>Actual!Print_Area</vt:lpstr>
      <vt:lpstr>Assumed!Print_Area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</dc:creator>
  <cp:lastModifiedBy>Alex James</cp:lastModifiedBy>
  <cp:lastPrinted>2024-09-18T21:47:32Z</cp:lastPrinted>
  <dcterms:created xsi:type="dcterms:W3CDTF">2015-06-05T18:17:20Z</dcterms:created>
  <dcterms:modified xsi:type="dcterms:W3CDTF">2024-12-01T02:13:42Z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0x0101008BBE42521EE0684FB91080D193FD289B</vt:lpwstr>
  </property>
  <property fmtid="{D5CDD505-2E9C-101B-9397-08002B2CF9AE}" pid="3" name="MediaServiceImageTags">
    <vt:lpwstr/>
  </property>
</Properties>
</file>