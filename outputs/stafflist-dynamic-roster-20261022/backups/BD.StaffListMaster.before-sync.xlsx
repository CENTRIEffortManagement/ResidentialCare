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57263F8E-AFF0-4FD4-9702-D454D655BCEB}" xr6:coauthVersionLast="47" xr6:coauthVersionMax="47" xr10:uidLastSave="{00000000-0000-0000-0000-000000000000}"/>
  <bookViews>
    <workbookView xWindow="-120" yWindow="-120" windowWidth="38640" windowHeight="21120" firstSheet="1" activeTab="4" xr2:uid="{4685FBBF-A427-4CB9-88C1-6A63ABC5A0A9}"/>
  </bookViews>
  <sheets>
    <sheet name="Unit1Path" sheetId="21" r:id="rId1"/>
    <sheet name="ResourceContract_CHECK" sheetId="23" r:id="rId2"/>
    <sheet name="Masterlist_Base" sheetId="24" r:id="rId3"/>
    <sheet name="Misaligned Join" sheetId="26" r:id="rId4"/>
    <sheet name="Masterlist" sheetId="2" r:id="rId5"/>
  </sheets>
  <externalReferences>
    <externalReference r:id="rId6"/>
    <externalReference r:id="rId7"/>
    <externalReference r:id="rId8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Masterlist!$A$1:$Y$114</definedName>
    <definedName name="ExternalData_1" localSheetId="0" hidden="1">Unit1Path!$A$3:$B$9</definedName>
    <definedName name="ExternalData_2" localSheetId="4" hidden="1">Masterlist!#REF!</definedName>
    <definedName name="ExternalData_2" localSheetId="2" hidden="1">Masterlist_Base!$A$1:$R$114</definedName>
    <definedName name="ExternalData_2" localSheetId="3" hidden="1">'Misaligned Join'!$A$1:$M$11</definedName>
    <definedName name="ExternalData_3" localSheetId="1" hidden="1">'ResourceContract_CHECK'!$A$1:$D$12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95DB5F3B-BF7B-4B4F-9C24-67D5BAC81625}" keepAlive="1" name="Query - Masterlist_Base" description="Connection to the 'Masterlist_Base' query in the workbook." type="5" refreshedVersion="8" background="1" saveData="1">
    <dbPr connection="Provider=Microsoft.Mashup.OleDb.1;Data Source=$Workbook$;Location=Masterlist_Base;Extended Properties=&quot;&quot;" command="SELECT * FROM [Masterlist_Base]"/>
  </connection>
  <connection id="11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2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3" xr16:uid="{494DE8BD-4917-4657-9A21-7F9DBA14354D}" keepAlive="1" name="Query - ResourceContract" description="Connection to the 'ResourceContract' query in the workbook." type="5" refreshedVersion="0" background="1">
    <dbPr connection="Provider=Microsoft.Mashup.OleDb.1;Data Source=$Workbook$;Location=ResourceContract;Extended Properties=&quot;&quot;" command="SELECT * FROM [ResourceContract]"/>
  </connection>
  <connection id="14" xr16:uid="{7FDA1757-F8DF-4E61-92CC-E54894324D86}" keepAlive="1" name="Query - ResourceContract_CHECK" description="Connection to the 'ResourceContract_CHECK' query in the workbook." type="5" refreshedVersion="8" background="1" saveData="1">
    <dbPr connection="Provider=Microsoft.Mashup.OleDb.1;Data Source=$Workbook$;Location=ResourceContract_CHECK;Extended Properties=&quot;&quot;" command="SELECT * FROM [ResourceContract_CHECK]"/>
  </connection>
  <connection id="15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<sst xmlns="http://schemas.openxmlformats.org/spreadsheetml/2006/main" count="2443" uniqueCount="318">
  <si>
    <t>Name</t>
  </si>
  <si>
    <t>Role</t>
  </si>
  <si>
    <t>Double Up with some MEDS removed</t>
  </si>
  <si>
    <t>SharedPath</t>
  </si>
  <si>
    <t>Client</t>
  </si>
  <si>
    <t>Resource</t>
  </si>
  <si>
    <t>AIN</t>
  </si>
  <si>
    <t>RN</t>
  </si>
  <si>
    <t>Date</t>
  </si>
  <si>
    <t>Misalignment</t>
  </si>
  <si>
    <t>Available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</si>
  <si>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</si>
  <si>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</si>
  <si>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</si>
  <si>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</si>
  <si>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</si>
  <si>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</si>
  <si>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</si>
  <si>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</si>
  <si>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Alex</t>
  </si>
  <si>
    <t>DATExx-Whiddon</t>
  </si>
  <si>
    <t>EmployeeID</t>
  </si>
  <si>
    <t>Facility-Abbrev</t>
  </si>
  <si>
    <t>PreferredRole</t>
  </si>
  <si>
    <t>EmploymentType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</si>
  <si>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</si>
  <si>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</si>
  <si>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</si>
  <si>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</si>
  <si>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</si>
  <si>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</si>
  <si>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</si>
  <si>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</si>
  <si>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</si>
  <si>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</si>
  <si>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Casual</t>
  </si>
  <si>
    <t>Part-Time</t>
  </si>
  <si>
    <t>Contracted shifts</t>
  </si>
  <si>
    <t>Full-Time</t>
  </si>
  <si>
    <t>Settings maximum</t>
  </si>
  <si>
    <t>Check</t>
  </si>
  <si>
    <t>Status</t>
  </si>
  <si>
    <t>Failures</t>
  </si>
  <si>
    <t>Details</t>
  </si>
  <si>
    <t>Valid roster and cap settings</t>
  </si>
  <si>
    <t>Pass</t>
  </si>
  <si>
    <t>Unique Resource rows</t>
  </si>
  <si>
    <t>Populated Resource identifiers</t>
  </si>
  <si>
    <t>Unique availability employee and facility input</t>
  </si>
  <si>
    <t>Unique availability names</t>
  </si>
  <si>
    <t>Unique preferred employee and facility resources</t>
  </si>
  <si>
    <t>Complete availability employee mapping</t>
  </si>
  <si>
    <t>Calculated resource contract caps</t>
  </si>
  <si>
    <t>Source</t>
  </si>
  <si>
    <t>Worker Record Status</t>
  </si>
  <si>
    <t>Worker Contract Issue</t>
  </si>
  <si>
    <t>Availability</t>
  </si>
  <si>
    <t>Found</t>
  </si>
  <si>
    <t>EN</t>
  </si>
  <si>
    <t>Availability-StaffList.Name</t>
  </si>
  <si>
    <t>Availability-StaffList.Role</t>
  </si>
  <si>
    <t>Custom</t>
  </si>
  <si>
    <t>Misaligned-Name</t>
  </si>
  <si>
    <t>Misaligned-Role</t>
  </si>
  <si>
    <t>Misaligned</t>
  </si>
  <si>
    <t>Reconciliation is the only worker source</t>
  </si>
  <si>
    <t>In Allocation</t>
  </si>
  <si>
    <t>In Records</t>
  </si>
  <si>
    <t>Worker Membership</t>
  </si>
  <si>
    <t>Contract Source</t>
  </si>
  <si>
    <t>Allocation only</t>
  </si>
  <si>
    <t>Records only</t>
  </si>
  <si>
    <t>Worker record</t>
  </si>
  <si>
    <t>Both</t>
  </si>
  <si>
    <t>C:\Users\Alex\CentriNOTSYNC\ResidentialCare\CLIENT\DATExx-Whiddon\UNITS\BD\2. Calculations</t>
  </si>
  <si>
    <t>BD</t>
  </si>
  <si>
    <t>24900</t>
  </si>
  <si>
    <t>Katrina Atkinso</t>
  </si>
  <si>
    <t>26072</t>
  </si>
  <si>
    <t>Mylyn Thomson</t>
  </si>
  <si>
    <t>25167</t>
  </si>
  <si>
    <t>Michael Chandle</t>
  </si>
  <si>
    <t>23249</t>
  </si>
  <si>
    <t>Mia Banks</t>
  </si>
  <si>
    <t>23091</t>
  </si>
  <si>
    <t>Mel Greenway</t>
  </si>
  <si>
    <t>24136</t>
  </si>
  <si>
    <t>Mariah Swan</t>
  </si>
  <si>
    <t>24192</t>
  </si>
  <si>
    <t>Mani Kaur</t>
  </si>
  <si>
    <t>25175</t>
  </si>
  <si>
    <t>Mandy Manpreet</t>
  </si>
  <si>
    <t>24336</t>
  </si>
  <si>
    <t>24504</t>
  </si>
  <si>
    <t>Malawika Muthut</t>
  </si>
  <si>
    <t>23245</t>
  </si>
  <si>
    <t>Majal Dias</t>
  </si>
  <si>
    <t>24635</t>
  </si>
  <si>
    <t>Madi Slade</t>
  </si>
  <si>
    <t>25182</t>
  </si>
  <si>
    <t>Ma Iris Angela</t>
  </si>
  <si>
    <t>25859</t>
  </si>
  <si>
    <t>Paris Garton</t>
  </si>
  <si>
    <t>24241</t>
  </si>
  <si>
    <t>MIZUE Tanaka</t>
  </si>
  <si>
    <t>24531</t>
  </si>
  <si>
    <t>Linda Sturges</t>
  </si>
  <si>
    <t>26372</t>
  </si>
  <si>
    <t>Lilly Olive</t>
  </si>
  <si>
    <t>23484</t>
  </si>
  <si>
    <t>Liane Tebbutt</t>
  </si>
  <si>
    <t>19255</t>
  </si>
  <si>
    <t>Leeanne Annis</t>
  </si>
  <si>
    <t>19442</t>
  </si>
  <si>
    <t>Lee Speirs</t>
  </si>
  <si>
    <t>22301</t>
  </si>
  <si>
    <t>Kristy Deshon</t>
  </si>
  <si>
    <t>24479</t>
  </si>
  <si>
    <t>Korazona Joseph</t>
  </si>
  <si>
    <t>20862</t>
  </si>
  <si>
    <t>Kaitlyn Bowden</t>
  </si>
  <si>
    <t>24217</t>
  </si>
  <si>
    <t>Julie Roots</t>
  </si>
  <si>
    <t>19843</t>
  </si>
  <si>
    <t>Judith Stark</t>
  </si>
  <si>
    <t>19381</t>
  </si>
  <si>
    <t>Juanita Kinsell</t>
  </si>
  <si>
    <t>25209</t>
  </si>
  <si>
    <t>Joseph Murcia</t>
  </si>
  <si>
    <t>23839</t>
  </si>
  <si>
    <t>Lisa Swagerman</t>
  </si>
  <si>
    <t>25988</t>
  </si>
  <si>
    <t>Jonas Blewett</t>
  </si>
  <si>
    <t>24780</t>
  </si>
  <si>
    <t>Pia Vallejo</t>
  </si>
  <si>
    <t>26407</t>
  </si>
  <si>
    <t>Preet Kaur</t>
  </si>
  <si>
    <t>20696</t>
  </si>
  <si>
    <t>Yogi Yogi</t>
  </si>
  <si>
    <t>22690</t>
  </si>
  <si>
    <t>Wendy Robertson</t>
  </si>
  <si>
    <t>24208</t>
  </si>
  <si>
    <t>Victoria Thomps</t>
  </si>
  <si>
    <t>23174</t>
  </si>
  <si>
    <t>Ujjwal Sharma</t>
  </si>
  <si>
    <t>23179</t>
  </si>
  <si>
    <t>Trevor Fisher</t>
  </si>
  <si>
    <t>21916</t>
  </si>
  <si>
    <t>Tracey Leanne S</t>
  </si>
  <si>
    <t>19161</t>
  </si>
  <si>
    <t>Tracey Lagerstr</t>
  </si>
  <si>
    <t>18462</t>
  </si>
  <si>
    <t>Todd Bullivant</t>
  </si>
  <si>
    <t>23461</t>
  </si>
  <si>
    <t>Sreena Ranjith</t>
  </si>
  <si>
    <t>26358</t>
  </si>
  <si>
    <t>Sofia Nabi</t>
  </si>
  <si>
    <t>24819</t>
  </si>
  <si>
    <t>Sirjana Rai</t>
  </si>
  <si>
    <t>24880</t>
  </si>
  <si>
    <t>Piper Chamberla</t>
  </si>
  <si>
    <t>26448</t>
  </si>
  <si>
    <t>Simone White</t>
  </si>
  <si>
    <t>23242</t>
  </si>
  <si>
    <t>Sharonah-Leah S</t>
  </si>
  <si>
    <t>23975</t>
  </si>
  <si>
    <t>Savannah Navin</t>
  </si>
  <si>
    <t>22772</t>
  </si>
  <si>
    <t>Sandra Spragg</t>
  </si>
  <si>
    <t>19242</t>
  </si>
  <si>
    <t>Samara Billiau</t>
  </si>
  <si>
    <t>21895</t>
  </si>
  <si>
    <t>Rustambir Singh</t>
  </si>
  <si>
    <t>22612</t>
  </si>
  <si>
    <t>Ross Morden</t>
  </si>
  <si>
    <t>26320</t>
  </si>
  <si>
    <t>Rosi Gaunavou</t>
  </si>
  <si>
    <t>22350</t>
  </si>
  <si>
    <t>Rosemary Yates</t>
  </si>
  <si>
    <t>22121</t>
  </si>
  <si>
    <t>Robert Steven R</t>
  </si>
  <si>
    <t>25302</t>
  </si>
  <si>
    <t>Rajneet Chand</t>
  </si>
  <si>
    <t>24983</t>
  </si>
  <si>
    <t>Rahna Jose</t>
  </si>
  <si>
    <t>24984</t>
  </si>
  <si>
    <t>Princy Merlin M</t>
  </si>
  <si>
    <t>21381</t>
  </si>
  <si>
    <t>Sheryl Macalint</t>
  </si>
  <si>
    <t>19136</t>
  </si>
  <si>
    <t>Jody English</t>
  </si>
  <si>
    <t>25911</t>
  </si>
  <si>
    <t>Zac Lesslie</t>
  </si>
  <si>
    <t>17989</t>
  </si>
  <si>
    <t>Joana Marie Dri</t>
  </si>
  <si>
    <t>23679</t>
  </si>
  <si>
    <t>Amanda Jones</t>
  </si>
  <si>
    <t>26539</t>
  </si>
  <si>
    <t>Amandeep Kaur K</t>
  </si>
  <si>
    <t>22263</t>
  </si>
  <si>
    <t>Desiree Mamet</t>
  </si>
  <si>
    <t>22913</t>
  </si>
  <si>
    <t>Amber Beutel</t>
  </si>
  <si>
    <t>22116</t>
  </si>
  <si>
    <t>Angela Gregg</t>
  </si>
  <si>
    <t>25109</t>
  </si>
  <si>
    <t>Anju Jose</t>
  </si>
  <si>
    <t>23204</t>
  </si>
  <si>
    <t>David Reid</t>
  </si>
  <si>
    <t>20088</t>
  </si>
  <si>
    <t>Damien Stewart</t>
  </si>
  <si>
    <t>25003</t>
  </si>
  <si>
    <t>Annette Lang</t>
  </si>
  <si>
    <t>22769</t>
  </si>
  <si>
    <t>26243</t>
  </si>
  <si>
    <t>Ashlee Gilpin</t>
  </si>
  <si>
    <t>23520</t>
  </si>
  <si>
    <t>Dale Armytage</t>
  </si>
  <si>
    <t>20950</t>
  </si>
  <si>
    <t>Christine Felto</t>
  </si>
  <si>
    <t>26014</t>
  </si>
  <si>
    <t>Chinonso Ogu</t>
  </si>
  <si>
    <t>25239</t>
  </si>
  <si>
    <t>Charlize Lewis</t>
  </si>
  <si>
    <t>23522</t>
  </si>
  <si>
    <t>Catherine Bell</t>
  </si>
  <si>
    <t>20321</t>
  </si>
  <si>
    <t>Cara Anne Balme</t>
  </si>
  <si>
    <t>26319</t>
  </si>
  <si>
    <t>Caitlyn Dreier</t>
  </si>
  <si>
    <t>23964</t>
  </si>
  <si>
    <t>24562</t>
  </si>
  <si>
    <t>Bweaymoosaw Mur</t>
  </si>
  <si>
    <t>22035</t>
  </si>
  <si>
    <t>Bronwyn Halsey</t>
  </si>
  <si>
    <t>26384</t>
  </si>
  <si>
    <t>Ashleigh Linn</t>
  </si>
  <si>
    <t>25376</t>
  </si>
  <si>
    <t>Basil Vilayanik</t>
  </si>
  <si>
    <t>19440</t>
  </si>
  <si>
    <t>Donna Bestmann</t>
  </si>
  <si>
    <t>23282</t>
  </si>
  <si>
    <t>23898</t>
  </si>
  <si>
    <t>Jessica-Carmela</t>
  </si>
  <si>
    <t>26340</t>
  </si>
  <si>
    <t>Jennifer Lumby</t>
  </si>
  <si>
    <t>24060</t>
  </si>
  <si>
    <t>Jayvee Jade Cos</t>
  </si>
  <si>
    <t>24059</t>
  </si>
  <si>
    <t>20863</t>
  </si>
  <si>
    <t>Janelle  Sander</t>
  </si>
  <si>
    <t>20784</t>
  </si>
  <si>
    <t>Jaidan Dennewal</t>
  </si>
  <si>
    <t>25989</t>
  </si>
  <si>
    <t>Ally-mei Prestt</t>
  </si>
  <si>
    <t>21589</t>
  </si>
  <si>
    <t>Isidra De Asis</t>
  </si>
  <si>
    <t>24353</t>
  </si>
  <si>
    <t>Ian Perry</t>
  </si>
  <si>
    <t>19822</t>
  </si>
  <si>
    <t>George Smith Sm</t>
  </si>
  <si>
    <t>19835</t>
  </si>
  <si>
    <t>Goma Bastiaanse</t>
  </si>
  <si>
    <t>23266</t>
  </si>
  <si>
    <t>Grace Bostock</t>
  </si>
  <si>
    <t>26401</t>
  </si>
  <si>
    <t>Imani Gereadi</t>
  </si>
  <si>
    <t>24627</t>
  </si>
  <si>
    <t>Hermenegildo De</t>
  </si>
  <si>
    <t>19802</t>
  </si>
  <si>
    <t>Astrid Elvera G</t>
  </si>
  <si>
    <t>23673</t>
  </si>
  <si>
    <t>Alyssa Curd</t>
  </si>
  <si>
    <t>20962</t>
  </si>
  <si>
    <t>Aileen Heard</t>
  </si>
  <si>
    <t>24049</t>
  </si>
  <si>
    <t>Mikayla Nicole Geshwend</t>
  </si>
  <si>
    <t>25930</t>
  </si>
  <si>
    <t>Yvonne Cheptoo Limo</t>
  </si>
  <si>
    <t>21327</t>
  </si>
  <si>
    <t>24105</t>
  </si>
  <si>
    <t>Manpreet Kaur</t>
  </si>
  <si>
    <t>25161</t>
  </si>
  <si>
    <t>Valid reported contract hours or roster cap basis</t>
  </si>
  <si>
    <t>Workers using Settings roster-cap fallback</t>
  </si>
  <si>
    <t>Inspect CasualRosterShiftCapExceptions in Capacity-ShiftAvailability for the worker-level reasons.</t>
  </si>
  <si>
    <t>Warning</t>
  </si>
  <si>
    <t>RosterShiftCap</t>
  </si>
  <si>
    <t>AppliedCasualRosterShiftCap</t>
  </si>
  <si>
    <t>CasualCapIssue</t>
  </si>
  <si>
    <t>23192</t>
  </si>
  <si>
    <t>Madelyn Gouldin</t>
  </si>
  <si>
    <t>25184</t>
  </si>
  <si>
    <t>Shelby Bon</t>
  </si>
  <si>
    <t>22914</t>
  </si>
  <si>
    <t>Kaela Hyland (RN)</t>
  </si>
  <si>
    <t>24344</t>
  </si>
  <si>
    <t>Alexis Griffin</t>
  </si>
  <si>
    <t>26705</t>
  </si>
  <si>
    <t>Ainura Borbueva</t>
  </si>
  <si>
    <t>Deeanne Tracey</t>
  </si>
  <si>
    <t>Jackie Koelmeye</t>
  </si>
  <si>
    <t>Manarusa Tuikilakila</t>
  </si>
  <si>
    <t>Diane Marie Bewick</t>
  </si>
  <si>
    <t>Caitlyn Caroline Philp</t>
  </si>
  <si>
    <t>Jayakumar Vandavathil Krishnan</t>
  </si>
  <si>
    <t>Gentille Namboneka</t>
  </si>
  <si>
    <t>26761</t>
  </si>
  <si>
    <t>No matching RosterShiftCap for EmployeeID</t>
  </si>
  <si>
    <t>Ellie Summer Campbell</t>
  </si>
  <si>
    <t>Kaela Hyland (EN)</t>
  </si>
  <si>
    <t>Allocation</t>
  </si>
  <si>
    <t>Kaela Hyland (EN)Kaela Hyland (RN)</t>
  </si>
  <si>
    <t>ENRN</t>
  </si>
  <si>
    <t>ERROR</t>
  </si>
  <si>
    <t>Casual roster cap</t>
  </si>
  <si>
    <t>Casual fallback - RosterShiftCap</t>
  </si>
  <si>
    <t>Casual fallback - Settings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</si>
</sst>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3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40">
    <dxf>
      <numFmt numFmtId="19" formatCode="d/mm/yyyy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6DE6B68C-AED5-49E5-9EFD-7DE783A6A343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256B23D3-544A-4201-BBAB-96BAAC3A3CD0}" autoFormatId="16" applyNumberFormats="0" applyBorderFormats="0" applyFontFormats="0" applyPatternFormats="0" applyAlignmentFormats="0" applyWidthHeightFormats="0">
  <queryTableRefresh nextId="25">
    <queryTableFields count="18">
      <queryTableField id="1" name="EmployeeID" tableColumnId="1"/>
      <queryTableField id="2" name="Facility-Abbrev" tableColumnId="2"/>
      <queryTableField id="3" name="Role" tableColumnId="3"/>
      <queryTableField id="4" name="PreferredRole" tableColumnId="4"/>
      <queryTableField id="5" name="EmploymentType" tableColumnId="5"/>
      <queryTableField id="6" name="Contracted FN Hours" tableColumnId="6"/>
      <queryTableField id="13" name="In Allocation" tableColumnId="13"/>
      <queryTableField id="14" name="In Records" tableColumnId="14"/>
      <queryTableField id="15" name="Worker Membership" tableColumnId="15"/>
      <queryTableField id="19" name="RosterShiftCap" tableColumnId="16"/>
      <queryTableField id="20" name="AppliedCasualRosterShiftCap" tableColumnId="17"/>
      <queryTableField id="21" name="CasualCapIssue" tableColumnId="18"/>
      <queryTableField id="7" name="Source" tableColumnId="7"/>
      <queryTableField id="8" name="Worker Record Status" tableColumnId="8"/>
      <queryTableField id="9" name="Worker Contract Issue" tableColumnId="9"/>
      <queryTableField id="10" name="Name" tableColumnId="10"/>
      <queryTableField id="11" name="Resource" tableColumnId="11"/>
      <queryTableField id="12" name="Misalignme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7BB5CD8-A1B7-45E5-9947-073CD84BC93E}" autoFormatId="16" applyNumberFormats="0" applyBorderFormats="0" applyFontFormats="0" applyPatternFormats="0" applyAlignmentFormats="0" applyWidthHeightFormats="0">
  <queryTableRefresh nextId="14">
    <queryTableFields count="13">
      <queryTableField id="1" name="EmployeeID" tableColumnId="1"/>
      <queryTableField id="2" name="Name" tableColumnId="2"/>
      <queryTableField id="3" name="Role" tableColumnId="3"/>
      <queryTableField id="4" name="Contracted FN Hours" tableColumnId="4"/>
      <queryTableField id="5" name="Worker Contract Issue" tableColumnId="5"/>
      <queryTableField id="6" name="Worker Record Status" tableColumnId="6"/>
      <queryTableField id="7" name="Source" tableColumnId="7"/>
      <queryTableField id="8" name="Availability-StaffList.Name" tableColumnId="8"/>
      <queryTableField id="9" name="Availability-StaffList.Role" tableColumnId="9"/>
      <queryTableField id="10" name="Custom" tableColumnId="10"/>
      <queryTableField id="11" name="Misaligned-Name" tableColumnId="11"/>
      <queryTableField id="12" name="Misaligned-Role" tableColumnId="12"/>
      <queryTableField id="13" name="Misalignment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54">
    <queryTableFields count="25">
      <queryTableField id="14" name="Name" tableColumnId="10"/>
      <queryTableField id="15" name="Role" tableColumnId="11"/>
      <queryTableField id="22" name="Resource" tableColumnId="2"/>
      <queryTableField id="24" name="Misalignment" tableColumnId="1"/>
      <queryTableField id="40" name="Source" tableColumnId="19"/>
      <queryTableField id="25" name="EmployeeID" tableColumnId="3"/>
      <queryTableField id="26" name="Facility-Abbrev" tableColumnId="4"/>
      <queryTableField id="27" name="EmploymentType" tableColumnId="5"/>
      <queryTableField id="28" name="PreferredRole" tableColumnId="6"/>
      <queryTableField id="46" name="In Allocation" tableColumnId="22"/>
      <queryTableField id="47" name="In Records" tableColumnId="23"/>
      <queryTableField id="48" name="Worker Membership" tableColumnId="24"/>
      <queryTableField id="41" name="Worker Record Status" tableColumnId="20"/>
      <queryTableField id="42" name="Worker Contract Issue" tableColumnId="21"/>
      <queryTableField id="49" name="Contract Source" tableColumnId="25"/>
      <queryTableField id="29" name="Contracted FN Hours" tableColumnId="7"/>
      <queryTableField id="30" name="Roster Start" tableColumnId="8"/>
      <queryTableField id="31" name="Roster End" tableColumnId="9"/>
      <queryTableField id="32" name="Roster Fortnights" tableColumnId="12"/>
      <queryTableField id="33" name="Contracted Roster Hours" tableColumnId="13"/>
      <queryTableField id="34" name="Contracted Shift Equivalent" tableColumnId="14"/>
      <queryTableField id="35" name="Contracted Shifts" tableColumnId="15"/>
      <queryTableField id="36" name="Settings Max Availability" tableColumnId="16"/>
      <queryTableField id="37" name="Effective Shift Cap" tableColumnId="17"/>
      <queryTableField id="38" name="Limit Basi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28" dataDxfId="27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3" dataCellStyle="Normal 2"/>
    <tableColumn id="2" xr3:uid="{34643223-2DE1-498D-99FB-A27E62227706}" uniqueName="2" name="Value" queryTableFieldId="2" dataDxfId="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C6F4B6-44F2-42F4-8936-34A8B237BC05}" name="ResourceContract_CHECK" displayName="ResourceContract_CHECK" ref="A1:D12" tableType="queryTable" totalsRowShown="0">
  <autoFilter ref="A1:D12" xr:uid="{8FC6F4B6-44F2-42F4-8936-34A8B237BC05}"/>
  <tableColumns count="4">
    <tableColumn id="1" xr3:uid="{2C0D706A-6EA2-4970-A05D-521797C10826}" uniqueName="1" name="Check" queryTableFieldId="1" dataDxfId="26"/>
    <tableColumn id="2" xr3:uid="{862382EF-A28D-44DF-B395-B223BCED01AA}" uniqueName="2" name="Status" queryTableFieldId="2" dataDxfId="25"/>
    <tableColumn id="3" xr3:uid="{7F47E64E-2E7E-4FAE-850E-CC547AE92B8B}" uniqueName="3" name="Failures" queryTableFieldId="3"/>
    <tableColumn id="4" xr3:uid="{4E7072AD-1375-4513-B738-C2511D69473F}" uniqueName="4" name="Details" queryTableFieldId="4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145D4-93E6-4285-B1C3-FA6CFAE9ED76}" name="Masterlist_Base" displayName="Masterlist_Base" ref="A1:R114" tableType="queryTable" totalsRowShown="0">
  <autoFilter ref="A1:R114" xr:uid="{8BA145D4-93E6-4285-B1C3-FA6CFAE9ED76}"/>
  <tableColumns count="18">
    <tableColumn id="1" xr3:uid="{44E6B8C6-F898-467A-B4F6-47AF3415598B}" uniqueName="1" name="EmployeeID" queryTableFieldId="1" dataDxfId="23"/>
    <tableColumn id="2" xr3:uid="{0D909FFE-85E1-40AC-B981-DEE50FC94513}" uniqueName="2" name="Facility-Abbrev" queryTableFieldId="2" dataDxfId="22"/>
    <tableColumn id="3" xr3:uid="{3F9418C5-9F7F-4C66-9032-47422DF228B8}" uniqueName="3" name="Role" queryTableFieldId="3" dataDxfId="21"/>
    <tableColumn id="4" xr3:uid="{87100EF6-3375-44A6-9EC8-EAB0ABB03A2F}" uniqueName="4" name="PreferredRole" queryTableFieldId="4" dataDxfId="20"/>
    <tableColumn id="5" xr3:uid="{936B757B-4CE7-482A-BD2A-351C426F100C}" uniqueName="5" name="EmploymentType" queryTableFieldId="5" dataDxfId="19"/>
    <tableColumn id="6" xr3:uid="{C4D442EF-2C7F-4EE6-A305-0400BB2EF42F}" uniqueName="6" name="Contracted FN Hours" queryTableFieldId="6"/>
    <tableColumn id="13" xr3:uid="{71EBC373-1670-4D77-ABEB-88883105C2BA}" uniqueName="13" name="In Allocation" queryTableFieldId="13"/>
    <tableColumn id="14" xr3:uid="{0B94216D-19A9-4F8F-B5C8-B03EDD10EA1D}" uniqueName="14" name="In Records" queryTableFieldId="14"/>
    <tableColumn id="15" xr3:uid="{957A0696-34CD-42A3-A078-EFB287C5657C}" uniqueName="15" name="Worker Membership" queryTableFieldId="15" dataDxfId="18"/>
    <tableColumn id="16" xr3:uid="{D0A3808E-E976-49BC-A149-C6CF42AB4B3F}" uniqueName="16" name="RosterShiftCap" queryTableFieldId="19"/>
    <tableColumn id="17" xr3:uid="{A03974E6-E485-4782-A2E6-161E236B6730}" uniqueName="17" name="AppliedCasualRosterShiftCap" queryTableFieldId="20"/>
    <tableColumn id="18" xr3:uid="{B8B869EC-65FA-46EB-BC97-577E34407A43}" uniqueName="18" name="CasualCapIssue" queryTableFieldId="21" dataDxfId="17"/>
    <tableColumn id="7" xr3:uid="{323E57D3-6020-413C-9D16-755402F04BED}" uniqueName="7" name="Source" queryTableFieldId="7"/>
    <tableColumn id="8" xr3:uid="{29B8E0E4-A647-4E08-931C-8DDECE68FC79}" uniqueName="8" name="Worker Record Status" queryTableFieldId="8" dataDxfId="16"/>
    <tableColumn id="9" xr3:uid="{B13D01D9-0F60-4A4B-B951-C4BD179BF85C}" uniqueName="9" name="Worker Contract Issue" queryTableFieldId="9" dataDxfId="15"/>
    <tableColumn id="10" xr3:uid="{D2212AFE-3C1B-4D17-9BF0-D28FDE2236AB}" uniqueName="10" name="Name" queryTableFieldId="10" dataDxfId="14"/>
    <tableColumn id="11" xr3:uid="{9C88EC97-AD78-464B-B09B-D182FB9DB841}" uniqueName="11" name="Resource" queryTableFieldId="11"/>
    <tableColumn id="12" xr3:uid="{02D08663-C197-4982-B99E-1457346590F1}" uniqueName="12" name="Misalignme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8BCE01-163F-43AA-88B4-BC165F07A71C}" name="Misaligned_Join" displayName="Misaligned_Join" ref="A1:M11" tableType="queryTable" totalsRowShown="0">
  <autoFilter ref="A1:M11" xr:uid="{A88BCE01-163F-43AA-88B4-BC165F07A71C}"/>
  <tableColumns count="13">
    <tableColumn id="1" xr3:uid="{2F49A213-8231-40C0-8B96-7800FF045428}" uniqueName="1" name="EmployeeID" queryTableFieldId="1" dataDxfId="13"/>
    <tableColumn id="2" xr3:uid="{BCF2F261-FB71-42CA-9C30-FD53DBB08636}" uniqueName="2" name="Name" queryTableFieldId="2" dataDxfId="12"/>
    <tableColumn id="3" xr3:uid="{D2EB9A46-A57C-4CB1-8EB7-9526688CD6EB}" uniqueName="3" name="Role" queryTableFieldId="3" dataDxfId="11"/>
    <tableColumn id="4" xr3:uid="{00249B05-BE21-40C8-A167-D5AE78003AD2}" uniqueName="4" name="Contracted FN Hours" queryTableFieldId="4"/>
    <tableColumn id="5" xr3:uid="{5EA575A9-ED5E-4C91-A482-C2282FF6BBDD}" uniqueName="5" name="Worker Contract Issue" queryTableFieldId="5" dataDxfId="10"/>
    <tableColumn id="6" xr3:uid="{0F642148-3CAA-4176-B8A5-EF88809DB485}" uniqueName="6" name="Worker Record Status" queryTableFieldId="6" dataDxfId="9"/>
    <tableColumn id="7" xr3:uid="{3FD370F2-D088-46FE-B1BF-F958A6FF45EB}" uniqueName="7" name="Source" queryTableFieldId="7" dataDxfId="8"/>
    <tableColumn id="8" xr3:uid="{14ADB14B-4D0E-46FE-92CD-E6EDD975EC40}" uniqueName="8" name="Availability-StaffList.Name" queryTableFieldId="8" dataDxfId="7"/>
    <tableColumn id="9" xr3:uid="{F4927517-FE5E-4A6D-A657-16B91DDDF5F6}" uniqueName="9" name="Availability-StaffList.Role" queryTableFieldId="9" dataDxfId="6"/>
    <tableColumn id="10" xr3:uid="{40DED55E-6C3E-425F-AB8E-A1CA0B2DF1DD}" uniqueName="10" name="Custom" queryTableFieldId="10"/>
    <tableColumn id="11" xr3:uid="{0838C908-1DAE-4A61-B2CE-D3F3C86A7E08}" uniqueName="11" name="Misaligned-Name" queryTableFieldId="11" dataDxfId="5"/>
    <tableColumn id="12" xr3:uid="{76361F1F-D8C9-4C4D-95D1-4B953BF7213E}" uniqueName="12" name="Misaligned-Role" queryTableFieldId="12" dataDxfId="4"/>
    <tableColumn id="13" xr3:uid="{BC23645C-CD5C-4DEA-9846-739E355DC368}" uniqueName="13" name="Misalignment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Y114" tableType="queryTable" totalsRowShown="0">
  <autoFilter ref="A1:Y114" xr:uid="{55D78678-09D6-4588-8F6D-C8202ADBB717}"/>
  <sortState xmlns:xlrd2="http://schemas.microsoft.com/office/spreadsheetml/2017/richdata2" ref="A2:Y114">
    <sortCondition ref="O1:O114"/>
  </sortState>
  <tableColumns count="25">
    <tableColumn id="10" xr3:uid="{18DCCFFB-E1C0-4610-8C26-D2846FE132D1}" uniqueName="10" name="Name" queryTableFieldId="14" dataDxfId="39"/>
    <tableColumn id="11" xr3:uid="{35C5765C-025F-4898-961E-2453177CC8F3}" uniqueName="11" name="Role" queryTableFieldId="15" dataDxfId="38"/>
    <tableColumn id="2" xr3:uid="{9AEFAB87-9974-4B41-8A0C-97B04C1BF864}" uniqueName="2" name="Resource" queryTableFieldId="22"/>
    <tableColumn id="1" xr3:uid="{57EC650C-A07B-4659-8422-656BC888FE1D}" uniqueName="1" name="Misalignment" queryTableFieldId="24"/>
    <tableColumn id="19" xr3:uid="{24070CC6-CD7C-43D0-87EE-1D66C5302AEB}" uniqueName="19" name="Source" queryTableFieldId="40"/>
    <tableColumn id="3" xr3:uid="{60A37C5E-5843-4D35-92AD-DD4A5EC7D77B}" uniqueName="3" name="EmployeeID" queryTableFieldId="25" dataDxfId="37"/>
    <tableColumn id="4" xr3:uid="{803A106E-FE55-4AA6-9B1C-4E30206D0D8C}" uniqueName="4" name="Facility-Abbrev" queryTableFieldId="26" dataDxfId="36"/>
    <tableColumn id="5" xr3:uid="{DFD41C02-E457-4C70-84C0-068A7678EC16}" uniqueName="5" name="EmploymentType" queryTableFieldId="27" dataDxfId="35"/>
    <tableColumn id="6" xr3:uid="{31801C91-4806-4811-AB4B-7CFFD738277A}" uniqueName="6" name="PreferredRole" queryTableFieldId="28" dataDxfId="34"/>
    <tableColumn id="22" xr3:uid="{2342F7F6-D02D-4459-849E-F6AAE9569604}" uniqueName="22" name="In Allocation" queryTableFieldId="46"/>
    <tableColumn id="23" xr3:uid="{E1C8E3F1-4CE2-46AA-B14A-9F67B71C19C1}" uniqueName="23" name="In Records" queryTableFieldId="47"/>
    <tableColumn id="24" xr3:uid="{B4607F24-610E-4C76-916B-F230B15A3C5A}" uniqueName="24" name="Worker Membership" queryTableFieldId="48" dataDxfId="33"/>
    <tableColumn id="20" xr3:uid="{D6DDAEAC-405C-44D9-A9BC-898731506126}" uniqueName="20" name="Worker Record Status" queryTableFieldId="41" dataDxfId="32"/>
    <tableColumn id="21" xr3:uid="{E7E1FAA9-C149-420A-AB58-9783B95F2CC4}" uniqueName="21" name="Worker Contract Issue" queryTableFieldId="42" dataDxfId="31"/>
    <tableColumn id="25" xr3:uid="{08DCB05B-8D92-43D0-BCF4-10FDBF368469}" uniqueName="25" name="Contract Source" queryTableFieldId="49" dataDxfId="30"/>
    <tableColumn id="7" xr3:uid="{6D93D647-025F-4359-9094-D0F72A6E40A9}" uniqueName="7" name="Contracted FN Hours" queryTableFieldId="29"/>
    <tableColumn id="8" xr3:uid="{1291F377-6A1B-4135-A37C-B57CC4506988}" uniqueName="8" name="Roster Start" queryTableFieldId="30" dataDxfId="1"/>
    <tableColumn id="9" xr3:uid="{FDC4ED54-DF97-4FF0-A19D-D52D90A8B8C6}" uniqueName="9" name="Roster End" queryTableFieldId="31" dataDxfId="0"/>
    <tableColumn id="12" xr3:uid="{F1D8C114-E99F-4BC6-B1F7-A4913EDE82EC}" uniqueName="12" name="Roster Fortnights" queryTableFieldId="32"/>
    <tableColumn id="13" xr3:uid="{B2716850-0C80-4B7B-8CA1-936A3B43C3AE}" uniqueName="13" name="Contracted Roster Hours" queryTableFieldId="33"/>
    <tableColumn id="14" xr3:uid="{2A43E309-6ABD-476C-871B-9331C4D551E9}" uniqueName="14" name="Contracted Shift Equivalent" queryTableFieldId="34"/>
    <tableColumn id="15" xr3:uid="{1F1F2CBB-45BA-4272-BC56-6850499ACC4C}" uniqueName="15" name="Contracted Shifts" queryTableFieldId="35"/>
    <tableColumn id="16" xr3:uid="{26526071-4A11-45DE-A549-D464C5F8B6B0}" uniqueName="16" name="Settings Max Availability" queryTableFieldId="36"/>
    <tableColumn id="17" xr3:uid="{595E29ED-19BF-4832-9AD8-71B9E2B9B252}" uniqueName="17" name="Effective Shift Cap" queryTableFieldId="37"/>
    <tableColumn id="18" xr3:uid="{731BADD2-719A-482B-B455-6A36CE1F7EFC}" uniqueName="18" name="Limit Basis" queryTableFieldId="38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workbookViewId="0">
      <selection activeCell="Q17" sqref="Q17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3</v>
      </c>
      <c r="B1" s="6" t="str" cm="1">
        <f t="array" aca="1" ref="B1" ca="1">CELL("filename")</f>
        <v>C:\Users\Alex\CentriNOTSYNC\ResidentialCare\CLIENT\DATExx-Whiddon\UNITS\BD\2. Calculations\[StaffListMaster.xlsx]Masterlist</v>
      </c>
    </row>
    <row r="2" spans="1:4" x14ac:dyDescent="0.25">
      <c r="A2" s="2"/>
      <c r="B2" s="2"/>
    </row>
    <row r="3" spans="1:4" x14ac:dyDescent="0.25">
      <c r="A3" s="1" t="s">
        <v>11</v>
      </c>
      <c r="B3" s="1" t="s">
        <v>12</v>
      </c>
    </row>
    <row r="4" spans="1:4" x14ac:dyDescent="0.25">
      <c r="A4" s="1" t="s">
        <v>13</v>
      </c>
      <c r="B4" s="1" t="s">
        <v>19</v>
      </c>
    </row>
    <row r="5" spans="1:4" x14ac:dyDescent="0.25">
      <c r="A5" s="1" t="s">
        <v>14</v>
      </c>
      <c r="B5" s="1" t="s">
        <v>74</v>
      </c>
    </row>
    <row r="6" spans="1:4" x14ac:dyDescent="0.25">
      <c r="A6" s="1" t="s">
        <v>4</v>
      </c>
      <c r="B6" s="1" t="s">
        <v>17</v>
      </c>
    </row>
    <row r="7" spans="1:4" x14ac:dyDescent="0.25">
      <c r="A7" s="1" t="s">
        <v>8</v>
      </c>
      <c r="B7" s="1" t="s">
        <v>20</v>
      </c>
    </row>
    <row r="8" spans="1:4" x14ac:dyDescent="0.25">
      <c r="A8" s="1" t="s">
        <v>15</v>
      </c>
      <c r="B8" s="1" t="s">
        <v>75</v>
      </c>
    </row>
    <row r="9" spans="1:4" x14ac:dyDescent="0.25">
      <c r="A9" s="1" t="s">
        <v>16</v>
      </c>
      <c r="B9" s="1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A72F-8D93-4A93-861C-5A6E4683BFEA}">
  <sheetPr>
    <tabColor theme="5"/>
  </sheetPr>
  <dimension ref="A1:D12"/>
  <sheetViews>
    <sheetView workbookViewId="0">
      <selection activeCell="D21" sqref="D21"/>
    </sheetView>
  </sheetViews>
  <sheetFormatPr defaultRowHeight="15" x14ac:dyDescent="0.25"/>
  <cols>
    <col min="1" max="1" width="46.28515625" bestFit="1" customWidth="1"/>
    <col min="2" max="2" width="8.7109375" bestFit="1" customWidth="1"/>
    <col min="3" max="3" width="10.28515625" bestFit="1" customWidth="1"/>
    <col min="4" max="4" width="81.140625" bestFit="1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  <row r="2" spans="1:4" x14ac:dyDescent="0.25">
      <c r="A2" t="s">
        <v>44</v>
      </c>
      <c r="B2" t="s">
        <v>45</v>
      </c>
      <c r="C2">
        <v>0</v>
      </c>
    </row>
    <row r="3" spans="1:4" x14ac:dyDescent="0.25">
      <c r="A3" t="s">
        <v>46</v>
      </c>
      <c r="B3" t="s">
        <v>45</v>
      </c>
      <c r="C3">
        <v>0</v>
      </c>
    </row>
    <row r="4" spans="1:4" x14ac:dyDescent="0.25">
      <c r="A4" t="s">
        <v>47</v>
      </c>
      <c r="B4" t="s">
        <v>45</v>
      </c>
      <c r="C4">
        <v>0</v>
      </c>
    </row>
    <row r="5" spans="1:4" x14ac:dyDescent="0.25">
      <c r="A5" t="s">
        <v>48</v>
      </c>
      <c r="B5" t="s">
        <v>45</v>
      </c>
      <c r="C5">
        <v>0</v>
      </c>
    </row>
    <row r="6" spans="1:4" x14ac:dyDescent="0.25">
      <c r="A6" t="s">
        <v>49</v>
      </c>
      <c r="B6" t="s">
        <v>45</v>
      </c>
      <c r="C6">
        <v>0</v>
      </c>
    </row>
    <row r="7" spans="1:4" x14ac:dyDescent="0.25">
      <c r="A7" t="s">
        <v>50</v>
      </c>
      <c r="B7" t="s">
        <v>45</v>
      </c>
      <c r="C7">
        <v>0</v>
      </c>
    </row>
    <row r="8" spans="1:4" x14ac:dyDescent="0.25">
      <c r="A8" t="s">
        <v>51</v>
      </c>
      <c r="B8" t="s">
        <v>45</v>
      </c>
      <c r="C8">
        <v>0</v>
      </c>
    </row>
    <row r="9" spans="1:4" x14ac:dyDescent="0.25">
      <c r="A9" t="s">
        <v>65</v>
      </c>
      <c r="B9" t="s">
        <v>45</v>
      </c>
      <c r="C9">
        <v>0</v>
      </c>
    </row>
    <row r="10" spans="1:4" x14ac:dyDescent="0.25">
      <c r="A10" t="s">
        <v>283</v>
      </c>
      <c r="B10" t="s">
        <v>45</v>
      </c>
      <c r="C10">
        <v>0</v>
      </c>
    </row>
    <row r="11" spans="1:4" x14ac:dyDescent="0.25">
      <c r="A11" t="s">
        <v>52</v>
      </c>
      <c r="B11" t="s">
        <v>45</v>
      </c>
      <c r="C11">
        <v>0</v>
      </c>
    </row>
    <row r="12" spans="1:4" x14ac:dyDescent="0.25">
      <c r="A12" t="s">
        <v>284</v>
      </c>
      <c r="B12" t="s">
        <v>286</v>
      </c>
      <c r="C12">
        <v>1</v>
      </c>
      <c r="D12" t="s">
        <v>285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552F-A7D1-43C7-ACA0-E6BEE1DD101D}">
  <sheetPr>
    <tabColor theme="5"/>
  </sheetPr>
  <dimension ref="A1:R114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6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16.5703125" bestFit="1" customWidth="1"/>
    <col min="11" max="11" width="29.7109375" bestFit="1" customWidth="1"/>
    <col min="12" max="12" width="40.85546875" bestFit="1" customWidth="1"/>
    <col min="13" max="13" width="11" bestFit="1" customWidth="1"/>
    <col min="14" max="14" width="22.7109375" bestFit="1" customWidth="1"/>
    <col min="15" max="15" width="23.140625" bestFit="1" customWidth="1"/>
    <col min="16" max="16" width="30.140625" bestFit="1" customWidth="1"/>
    <col min="17" max="17" width="11.42578125" bestFit="1" customWidth="1"/>
    <col min="18" max="18" width="15.7109375" customWidth="1"/>
  </cols>
  <sheetData>
    <row r="1" spans="1:18" x14ac:dyDescent="0.25">
      <c r="A1" t="s">
        <v>21</v>
      </c>
      <c r="B1" t="s">
        <v>22</v>
      </c>
      <c r="C1" t="s">
        <v>1</v>
      </c>
      <c r="D1" t="s">
        <v>23</v>
      </c>
      <c r="E1" t="s">
        <v>24</v>
      </c>
      <c r="F1" t="s">
        <v>25</v>
      </c>
      <c r="G1" t="s">
        <v>66</v>
      </c>
      <c r="H1" t="s">
        <v>67</v>
      </c>
      <c r="I1" t="s">
        <v>68</v>
      </c>
      <c r="J1" t="s">
        <v>287</v>
      </c>
      <c r="K1" t="s">
        <v>288</v>
      </c>
      <c r="L1" t="s">
        <v>289</v>
      </c>
      <c r="M1" t="s">
        <v>53</v>
      </c>
      <c r="N1" t="s">
        <v>54</v>
      </c>
      <c r="O1" t="s">
        <v>55</v>
      </c>
      <c r="P1" t="s">
        <v>0</v>
      </c>
      <c r="Q1" t="s">
        <v>5</v>
      </c>
      <c r="R1" t="s">
        <v>9</v>
      </c>
    </row>
    <row r="2" spans="1:18" x14ac:dyDescent="0.25">
      <c r="A2" t="s">
        <v>273</v>
      </c>
      <c r="B2" t="s">
        <v>75</v>
      </c>
      <c r="C2" t="s">
        <v>6</v>
      </c>
      <c r="D2" t="s">
        <v>6</v>
      </c>
      <c r="E2" t="s">
        <v>36</v>
      </c>
      <c r="F2">
        <v>60</v>
      </c>
      <c r="G2" t="b">
        <v>1</v>
      </c>
      <c r="H2" t="b">
        <v>1</v>
      </c>
      <c r="I2" t="s">
        <v>73</v>
      </c>
      <c r="M2" t="s">
        <v>56</v>
      </c>
      <c r="N2" t="s">
        <v>57</v>
      </c>
      <c r="P2" t="s">
        <v>274</v>
      </c>
      <c r="Q2">
        <v>1</v>
      </c>
    </row>
    <row r="3" spans="1:18" x14ac:dyDescent="0.25">
      <c r="A3" t="s">
        <v>133</v>
      </c>
      <c r="B3" t="s">
        <v>75</v>
      </c>
      <c r="C3" t="s">
        <v>7</v>
      </c>
      <c r="D3" t="s">
        <v>7</v>
      </c>
      <c r="E3" t="s">
        <v>38</v>
      </c>
      <c r="F3">
        <v>76</v>
      </c>
      <c r="G3" t="b">
        <v>1</v>
      </c>
      <c r="H3" t="b">
        <v>1</v>
      </c>
      <c r="I3" t="s">
        <v>73</v>
      </c>
      <c r="M3" t="s">
        <v>56</v>
      </c>
      <c r="N3" t="s">
        <v>57</v>
      </c>
      <c r="P3" t="s">
        <v>134</v>
      </c>
      <c r="Q3">
        <v>83</v>
      </c>
    </row>
    <row r="4" spans="1:18" x14ac:dyDescent="0.25">
      <c r="A4" t="s">
        <v>101</v>
      </c>
      <c r="B4" t="s">
        <v>75</v>
      </c>
      <c r="C4" t="s">
        <v>6</v>
      </c>
      <c r="D4" t="s">
        <v>6</v>
      </c>
      <c r="E4" t="s">
        <v>35</v>
      </c>
      <c r="F4">
        <v>0</v>
      </c>
      <c r="G4" t="b">
        <v>1</v>
      </c>
      <c r="H4" t="b">
        <v>1</v>
      </c>
      <c r="I4" t="s">
        <v>73</v>
      </c>
      <c r="J4">
        <v>18</v>
      </c>
      <c r="K4">
        <v>18</v>
      </c>
      <c r="M4" t="s">
        <v>56</v>
      </c>
      <c r="N4" t="s">
        <v>57</v>
      </c>
      <c r="P4" t="s">
        <v>102</v>
      </c>
      <c r="Q4">
        <v>82</v>
      </c>
    </row>
    <row r="5" spans="1:18" x14ac:dyDescent="0.25">
      <c r="A5" t="s">
        <v>78</v>
      </c>
      <c r="B5" t="s">
        <v>75</v>
      </c>
      <c r="C5" t="s">
        <v>6</v>
      </c>
      <c r="D5" t="s">
        <v>6</v>
      </c>
      <c r="E5" t="s">
        <v>36</v>
      </c>
      <c r="F5">
        <v>45</v>
      </c>
      <c r="G5" t="b">
        <v>1</v>
      </c>
      <c r="H5" t="b">
        <v>1</v>
      </c>
      <c r="I5" t="s">
        <v>73</v>
      </c>
      <c r="M5" t="s">
        <v>56</v>
      </c>
      <c r="N5" t="s">
        <v>57</v>
      </c>
      <c r="P5" t="s">
        <v>79</v>
      </c>
      <c r="Q5">
        <v>81</v>
      </c>
    </row>
    <row r="6" spans="1:18" x14ac:dyDescent="0.25">
      <c r="A6" t="s">
        <v>80</v>
      </c>
      <c r="B6" t="s">
        <v>75</v>
      </c>
      <c r="C6" t="s">
        <v>6</v>
      </c>
      <c r="D6" t="s">
        <v>6</v>
      </c>
      <c r="E6" t="s">
        <v>36</v>
      </c>
      <c r="F6">
        <v>36.5</v>
      </c>
      <c r="G6" t="b">
        <v>1</v>
      </c>
      <c r="H6" t="b">
        <v>1</v>
      </c>
      <c r="I6" t="s">
        <v>73</v>
      </c>
      <c r="M6" t="s">
        <v>56</v>
      </c>
      <c r="N6" t="s">
        <v>57</v>
      </c>
      <c r="P6" t="s">
        <v>81</v>
      </c>
      <c r="Q6">
        <v>79</v>
      </c>
    </row>
    <row r="7" spans="1:18" x14ac:dyDescent="0.25">
      <c r="A7" t="s">
        <v>82</v>
      </c>
      <c r="B7" t="s">
        <v>75</v>
      </c>
      <c r="C7" t="s">
        <v>58</v>
      </c>
      <c r="D7" t="s">
        <v>58</v>
      </c>
      <c r="E7" t="s">
        <v>36</v>
      </c>
      <c r="F7">
        <v>48</v>
      </c>
      <c r="G7" t="b">
        <v>1</v>
      </c>
      <c r="H7" t="b">
        <v>0</v>
      </c>
      <c r="I7" t="s">
        <v>70</v>
      </c>
      <c r="M7" t="s">
        <v>56</v>
      </c>
      <c r="N7" t="s">
        <v>57</v>
      </c>
      <c r="P7" t="s">
        <v>83</v>
      </c>
      <c r="Q7">
        <v>78</v>
      </c>
    </row>
    <row r="8" spans="1:18" x14ac:dyDescent="0.25">
      <c r="A8" t="s">
        <v>84</v>
      </c>
      <c r="B8" t="s">
        <v>75</v>
      </c>
      <c r="C8" t="s">
        <v>58</v>
      </c>
      <c r="D8" t="s">
        <v>58</v>
      </c>
      <c r="E8" t="s">
        <v>36</v>
      </c>
      <c r="F8">
        <v>31.5</v>
      </c>
      <c r="G8" t="b">
        <v>1</v>
      </c>
      <c r="H8" t="b">
        <v>0</v>
      </c>
      <c r="I8" t="s">
        <v>70</v>
      </c>
      <c r="M8" t="s">
        <v>56</v>
      </c>
      <c r="N8" t="s">
        <v>57</v>
      </c>
      <c r="P8" t="s">
        <v>85</v>
      </c>
      <c r="Q8">
        <v>77</v>
      </c>
    </row>
    <row r="9" spans="1:18" x14ac:dyDescent="0.25">
      <c r="A9" t="s">
        <v>86</v>
      </c>
      <c r="B9" t="s">
        <v>75</v>
      </c>
      <c r="C9" t="s">
        <v>58</v>
      </c>
      <c r="D9" t="s">
        <v>58</v>
      </c>
      <c r="E9" t="s">
        <v>36</v>
      </c>
      <c r="F9">
        <v>45</v>
      </c>
      <c r="G9" t="b">
        <v>1</v>
      </c>
      <c r="H9" t="b">
        <v>1</v>
      </c>
      <c r="I9" t="s">
        <v>73</v>
      </c>
      <c r="M9" t="s">
        <v>56</v>
      </c>
      <c r="N9" t="s">
        <v>57</v>
      </c>
      <c r="P9" t="s">
        <v>87</v>
      </c>
      <c r="Q9">
        <v>76</v>
      </c>
    </row>
    <row r="10" spans="1:18" x14ac:dyDescent="0.25">
      <c r="A10" t="s">
        <v>88</v>
      </c>
      <c r="B10" t="s">
        <v>75</v>
      </c>
      <c r="C10" t="s">
        <v>6</v>
      </c>
      <c r="D10" t="s">
        <v>6</v>
      </c>
      <c r="E10" t="s">
        <v>38</v>
      </c>
      <c r="F10">
        <v>76</v>
      </c>
      <c r="G10" t="b">
        <v>1</v>
      </c>
      <c r="H10" t="b">
        <v>1</v>
      </c>
      <c r="I10" t="s">
        <v>73</v>
      </c>
      <c r="M10" t="s">
        <v>56</v>
      </c>
      <c r="N10" t="s">
        <v>57</v>
      </c>
      <c r="P10" t="s">
        <v>89</v>
      </c>
      <c r="Q10">
        <v>74</v>
      </c>
    </row>
    <row r="11" spans="1:18" x14ac:dyDescent="0.25">
      <c r="A11" t="s">
        <v>90</v>
      </c>
      <c r="B11" t="s">
        <v>75</v>
      </c>
      <c r="C11" t="s">
        <v>6</v>
      </c>
      <c r="D11" t="s">
        <v>6</v>
      </c>
      <c r="E11" t="s">
        <v>36</v>
      </c>
      <c r="F11">
        <v>75</v>
      </c>
      <c r="G11" t="b">
        <v>1</v>
      </c>
      <c r="H11" t="b">
        <v>1</v>
      </c>
      <c r="I11" t="s">
        <v>73</v>
      </c>
      <c r="M11" t="s">
        <v>56</v>
      </c>
      <c r="N11" t="s">
        <v>57</v>
      </c>
      <c r="P11" t="s">
        <v>91</v>
      </c>
      <c r="Q11">
        <v>73</v>
      </c>
    </row>
    <row r="12" spans="1:18" x14ac:dyDescent="0.25">
      <c r="A12" t="s">
        <v>93</v>
      </c>
      <c r="B12" t="s">
        <v>75</v>
      </c>
      <c r="C12" t="s">
        <v>7</v>
      </c>
      <c r="D12" t="s">
        <v>7</v>
      </c>
      <c r="E12" t="s">
        <v>36</v>
      </c>
      <c r="F12">
        <v>48</v>
      </c>
      <c r="G12" t="b">
        <v>1</v>
      </c>
      <c r="H12" t="b">
        <v>1</v>
      </c>
      <c r="I12" t="s">
        <v>73</v>
      </c>
      <c r="M12" t="s">
        <v>56</v>
      </c>
      <c r="N12" t="s">
        <v>57</v>
      </c>
      <c r="P12" t="s">
        <v>94</v>
      </c>
      <c r="Q12">
        <v>71</v>
      </c>
    </row>
    <row r="13" spans="1:18" x14ac:dyDescent="0.25">
      <c r="A13" t="s">
        <v>95</v>
      </c>
      <c r="B13" t="s">
        <v>75</v>
      </c>
      <c r="C13" t="s">
        <v>6</v>
      </c>
      <c r="D13" t="s">
        <v>6</v>
      </c>
      <c r="E13" t="s">
        <v>36</v>
      </c>
      <c r="F13">
        <v>52.5</v>
      </c>
      <c r="G13" t="b">
        <v>1</v>
      </c>
      <c r="H13" t="b">
        <v>1</v>
      </c>
      <c r="I13" t="s">
        <v>73</v>
      </c>
      <c r="M13" t="s">
        <v>56</v>
      </c>
      <c r="N13" t="s">
        <v>57</v>
      </c>
      <c r="P13" t="s">
        <v>96</v>
      </c>
      <c r="Q13">
        <v>70</v>
      </c>
    </row>
    <row r="14" spans="1:18" x14ac:dyDescent="0.25">
      <c r="A14" t="s">
        <v>97</v>
      </c>
      <c r="B14" t="s">
        <v>75</v>
      </c>
      <c r="C14" t="s">
        <v>58</v>
      </c>
      <c r="D14" t="s">
        <v>58</v>
      </c>
      <c r="E14" t="s">
        <v>36</v>
      </c>
      <c r="F14">
        <v>47.5</v>
      </c>
      <c r="G14" t="b">
        <v>1</v>
      </c>
      <c r="H14" t="b">
        <v>1</v>
      </c>
      <c r="I14" t="s">
        <v>73</v>
      </c>
      <c r="M14" t="s">
        <v>56</v>
      </c>
      <c r="N14" t="s">
        <v>57</v>
      </c>
      <c r="P14" t="s">
        <v>98</v>
      </c>
      <c r="Q14">
        <v>69</v>
      </c>
    </row>
    <row r="15" spans="1:18" x14ac:dyDescent="0.25">
      <c r="A15" t="s">
        <v>290</v>
      </c>
      <c r="B15" t="s">
        <v>75</v>
      </c>
      <c r="C15" t="s">
        <v>7</v>
      </c>
      <c r="D15" t="s">
        <v>7</v>
      </c>
      <c r="E15" t="s">
        <v>35</v>
      </c>
      <c r="F15">
        <v>0</v>
      </c>
      <c r="G15" t="b">
        <v>1</v>
      </c>
      <c r="H15" t="b">
        <v>0</v>
      </c>
      <c r="I15" t="s">
        <v>70</v>
      </c>
      <c r="J15">
        <v>10</v>
      </c>
      <c r="K15">
        <v>10</v>
      </c>
      <c r="M15" t="s">
        <v>56</v>
      </c>
      <c r="N15" t="s">
        <v>57</v>
      </c>
      <c r="P15" t="s">
        <v>291</v>
      </c>
      <c r="Q15">
        <v>68</v>
      </c>
    </row>
    <row r="16" spans="1:18" x14ac:dyDescent="0.25">
      <c r="A16" t="s">
        <v>99</v>
      </c>
      <c r="B16" t="s">
        <v>75</v>
      </c>
      <c r="C16" t="s">
        <v>7</v>
      </c>
      <c r="D16" t="s">
        <v>7</v>
      </c>
      <c r="E16" t="s">
        <v>38</v>
      </c>
      <c r="F16">
        <v>76</v>
      </c>
      <c r="G16" t="b">
        <v>1</v>
      </c>
      <c r="H16" t="b">
        <v>0</v>
      </c>
      <c r="I16" t="s">
        <v>70</v>
      </c>
      <c r="M16" t="s">
        <v>56</v>
      </c>
      <c r="N16" t="s">
        <v>57</v>
      </c>
      <c r="P16" t="s">
        <v>100</v>
      </c>
      <c r="Q16">
        <v>67</v>
      </c>
    </row>
    <row r="17" spans="1:17" x14ac:dyDescent="0.25">
      <c r="A17" t="s">
        <v>103</v>
      </c>
      <c r="B17" t="s">
        <v>75</v>
      </c>
      <c r="C17" t="s">
        <v>6</v>
      </c>
      <c r="D17" t="s">
        <v>6</v>
      </c>
      <c r="E17" t="s">
        <v>36</v>
      </c>
      <c r="F17">
        <v>60</v>
      </c>
      <c r="G17" t="b">
        <v>1</v>
      </c>
      <c r="H17" t="b">
        <v>1</v>
      </c>
      <c r="I17" t="s">
        <v>73</v>
      </c>
      <c r="M17" t="s">
        <v>56</v>
      </c>
      <c r="N17" t="s">
        <v>57</v>
      </c>
      <c r="P17" t="s">
        <v>104</v>
      </c>
      <c r="Q17">
        <v>66</v>
      </c>
    </row>
    <row r="18" spans="1:17" x14ac:dyDescent="0.25">
      <c r="A18" t="s">
        <v>129</v>
      </c>
      <c r="B18" t="s">
        <v>75</v>
      </c>
      <c r="C18" t="s">
        <v>7</v>
      </c>
      <c r="D18" t="s">
        <v>7</v>
      </c>
      <c r="E18" t="s">
        <v>36</v>
      </c>
      <c r="F18">
        <v>48</v>
      </c>
      <c r="G18" t="b">
        <v>1</v>
      </c>
      <c r="H18" t="b">
        <v>0</v>
      </c>
      <c r="I18" t="s">
        <v>70</v>
      </c>
      <c r="M18" t="s">
        <v>56</v>
      </c>
      <c r="N18" t="s">
        <v>57</v>
      </c>
      <c r="P18" t="s">
        <v>130</v>
      </c>
      <c r="Q18">
        <v>65</v>
      </c>
    </row>
    <row r="19" spans="1:17" x14ac:dyDescent="0.25">
      <c r="A19" t="s">
        <v>105</v>
      </c>
      <c r="B19" t="s">
        <v>75</v>
      </c>
      <c r="C19" t="s">
        <v>7</v>
      </c>
      <c r="D19" t="s">
        <v>7</v>
      </c>
      <c r="E19" t="s">
        <v>36</v>
      </c>
      <c r="F19">
        <v>48</v>
      </c>
      <c r="G19" t="b">
        <v>1</v>
      </c>
      <c r="H19" t="b">
        <v>1</v>
      </c>
      <c r="I19" t="s">
        <v>73</v>
      </c>
      <c r="M19" t="s">
        <v>56</v>
      </c>
      <c r="N19" t="s">
        <v>57</v>
      </c>
      <c r="P19" t="s">
        <v>106</v>
      </c>
      <c r="Q19">
        <v>64</v>
      </c>
    </row>
    <row r="20" spans="1:17" x14ac:dyDescent="0.25">
      <c r="A20" t="s">
        <v>107</v>
      </c>
      <c r="B20" t="s">
        <v>75</v>
      </c>
      <c r="C20" t="s">
        <v>58</v>
      </c>
      <c r="D20" t="s">
        <v>58</v>
      </c>
      <c r="E20" t="s">
        <v>35</v>
      </c>
      <c r="F20">
        <v>22.5</v>
      </c>
      <c r="G20" t="b">
        <v>1</v>
      </c>
      <c r="H20" t="b">
        <v>1</v>
      </c>
      <c r="I20" t="s">
        <v>73</v>
      </c>
      <c r="J20">
        <v>16</v>
      </c>
      <c r="M20" t="s">
        <v>56</v>
      </c>
      <c r="N20" t="s">
        <v>57</v>
      </c>
      <c r="P20" t="s">
        <v>108</v>
      </c>
      <c r="Q20">
        <v>63</v>
      </c>
    </row>
    <row r="21" spans="1:17" x14ac:dyDescent="0.25">
      <c r="A21" t="s">
        <v>109</v>
      </c>
      <c r="B21" t="s">
        <v>75</v>
      </c>
      <c r="C21" t="s">
        <v>6</v>
      </c>
      <c r="D21" t="s">
        <v>6</v>
      </c>
      <c r="E21" t="s">
        <v>36</v>
      </c>
      <c r="F21">
        <v>52.5</v>
      </c>
      <c r="G21" t="b">
        <v>1</v>
      </c>
      <c r="H21" t="b">
        <v>1</v>
      </c>
      <c r="I21" t="s">
        <v>73</v>
      </c>
      <c r="M21" t="s">
        <v>56</v>
      </c>
      <c r="N21" t="s">
        <v>57</v>
      </c>
      <c r="P21" t="s">
        <v>110</v>
      </c>
      <c r="Q21">
        <v>62</v>
      </c>
    </row>
    <row r="22" spans="1:17" x14ac:dyDescent="0.25">
      <c r="A22" t="s">
        <v>111</v>
      </c>
      <c r="B22" t="s">
        <v>75</v>
      </c>
      <c r="C22" t="s">
        <v>6</v>
      </c>
      <c r="D22" t="s">
        <v>6</v>
      </c>
      <c r="E22" t="s">
        <v>36</v>
      </c>
      <c r="F22">
        <v>67.5</v>
      </c>
      <c r="G22" t="b">
        <v>1</v>
      </c>
      <c r="H22" t="b">
        <v>1</v>
      </c>
      <c r="I22" t="s">
        <v>73</v>
      </c>
      <c r="M22" t="s">
        <v>56</v>
      </c>
      <c r="N22" t="s">
        <v>57</v>
      </c>
      <c r="P22" t="s">
        <v>112</v>
      </c>
      <c r="Q22">
        <v>61</v>
      </c>
    </row>
    <row r="23" spans="1:17" x14ac:dyDescent="0.25">
      <c r="A23" t="s">
        <v>113</v>
      </c>
      <c r="B23" t="s">
        <v>75</v>
      </c>
      <c r="C23" t="s">
        <v>6</v>
      </c>
      <c r="D23" t="s">
        <v>6</v>
      </c>
      <c r="E23" t="s">
        <v>36</v>
      </c>
      <c r="F23">
        <v>67.5</v>
      </c>
      <c r="G23" t="b">
        <v>1</v>
      </c>
      <c r="H23" t="b">
        <v>1</v>
      </c>
      <c r="I23" t="s">
        <v>73</v>
      </c>
      <c r="M23" t="s">
        <v>56</v>
      </c>
      <c r="N23" t="s">
        <v>57</v>
      </c>
      <c r="P23" t="s">
        <v>114</v>
      </c>
      <c r="Q23">
        <v>60</v>
      </c>
    </row>
    <row r="24" spans="1:17" x14ac:dyDescent="0.25">
      <c r="A24" t="s">
        <v>115</v>
      </c>
      <c r="B24" t="s">
        <v>75</v>
      </c>
      <c r="C24" t="s">
        <v>6</v>
      </c>
      <c r="D24" t="s">
        <v>6</v>
      </c>
      <c r="E24" t="s">
        <v>36</v>
      </c>
      <c r="F24">
        <v>45</v>
      </c>
      <c r="G24" t="b">
        <v>1</v>
      </c>
      <c r="H24" t="b">
        <v>1</v>
      </c>
      <c r="I24" t="s">
        <v>73</v>
      </c>
      <c r="M24" t="s">
        <v>56</v>
      </c>
      <c r="N24" t="s">
        <v>57</v>
      </c>
      <c r="P24" t="s">
        <v>116</v>
      </c>
      <c r="Q24">
        <v>59</v>
      </c>
    </row>
    <row r="25" spans="1:17" x14ac:dyDescent="0.25">
      <c r="A25" t="s">
        <v>117</v>
      </c>
      <c r="B25" t="s">
        <v>75</v>
      </c>
      <c r="C25" t="s">
        <v>6</v>
      </c>
      <c r="D25" t="s">
        <v>6</v>
      </c>
      <c r="E25" t="s">
        <v>36</v>
      </c>
      <c r="F25">
        <v>67.5</v>
      </c>
      <c r="G25" t="b">
        <v>1</v>
      </c>
      <c r="H25" t="b">
        <v>1</v>
      </c>
      <c r="I25" t="s">
        <v>73</v>
      </c>
      <c r="M25" t="s">
        <v>56</v>
      </c>
      <c r="N25" t="s">
        <v>57</v>
      </c>
      <c r="P25" t="s">
        <v>118</v>
      </c>
      <c r="Q25">
        <v>58</v>
      </c>
    </row>
    <row r="26" spans="1:17" x14ac:dyDescent="0.25">
      <c r="A26" t="s">
        <v>159</v>
      </c>
      <c r="B26" t="s">
        <v>75</v>
      </c>
      <c r="C26" t="s">
        <v>6</v>
      </c>
      <c r="D26" t="s">
        <v>6</v>
      </c>
      <c r="E26" t="s">
        <v>36</v>
      </c>
      <c r="F26">
        <v>22.5</v>
      </c>
      <c r="G26" t="b">
        <v>1</v>
      </c>
      <c r="H26" t="b">
        <v>1</v>
      </c>
      <c r="I26" t="s">
        <v>73</v>
      </c>
      <c r="M26" t="s">
        <v>56</v>
      </c>
      <c r="N26" t="s">
        <v>57</v>
      </c>
      <c r="P26" t="s">
        <v>160</v>
      </c>
      <c r="Q26">
        <v>84</v>
      </c>
    </row>
    <row r="27" spans="1:17" x14ac:dyDescent="0.25">
      <c r="A27" t="s">
        <v>135</v>
      </c>
      <c r="B27" t="s">
        <v>75</v>
      </c>
      <c r="C27" t="s">
        <v>6</v>
      </c>
      <c r="D27" t="s">
        <v>6</v>
      </c>
      <c r="E27" t="s">
        <v>36</v>
      </c>
      <c r="F27">
        <v>45</v>
      </c>
      <c r="G27" t="b">
        <v>1</v>
      </c>
      <c r="H27" t="b">
        <v>0</v>
      </c>
      <c r="I27" t="s">
        <v>70</v>
      </c>
      <c r="M27" t="s">
        <v>56</v>
      </c>
      <c r="N27" t="s">
        <v>57</v>
      </c>
      <c r="P27" t="s">
        <v>136</v>
      </c>
      <c r="Q27">
        <v>85</v>
      </c>
    </row>
    <row r="28" spans="1:17" x14ac:dyDescent="0.25">
      <c r="A28" t="s">
        <v>185</v>
      </c>
      <c r="B28" t="s">
        <v>75</v>
      </c>
      <c r="C28" t="s">
        <v>7</v>
      </c>
      <c r="D28" t="s">
        <v>7</v>
      </c>
      <c r="E28" t="s">
        <v>38</v>
      </c>
      <c r="F28">
        <v>76</v>
      </c>
      <c r="G28" t="b">
        <v>1</v>
      </c>
      <c r="H28" t="b">
        <v>1</v>
      </c>
      <c r="I28" t="s">
        <v>73</v>
      </c>
      <c r="M28" t="s">
        <v>56</v>
      </c>
      <c r="N28" t="s">
        <v>57</v>
      </c>
      <c r="P28" t="s">
        <v>186</v>
      </c>
      <c r="Q28">
        <v>86</v>
      </c>
    </row>
    <row r="29" spans="1:17" x14ac:dyDescent="0.25">
      <c r="A29" t="s">
        <v>183</v>
      </c>
      <c r="B29" t="s">
        <v>75</v>
      </c>
      <c r="C29" t="s">
        <v>7</v>
      </c>
      <c r="D29" t="s">
        <v>7</v>
      </c>
      <c r="E29" t="s">
        <v>38</v>
      </c>
      <c r="F29">
        <v>76</v>
      </c>
      <c r="G29" t="b">
        <v>1</v>
      </c>
      <c r="H29" t="b">
        <v>1</v>
      </c>
      <c r="I29" t="s">
        <v>73</v>
      </c>
      <c r="M29" t="s">
        <v>56</v>
      </c>
      <c r="N29" t="s">
        <v>57</v>
      </c>
      <c r="P29" t="s">
        <v>184</v>
      </c>
      <c r="Q29">
        <v>87</v>
      </c>
    </row>
    <row r="30" spans="1:17" x14ac:dyDescent="0.25">
      <c r="A30" t="s">
        <v>137</v>
      </c>
      <c r="B30" t="s">
        <v>75</v>
      </c>
      <c r="C30" t="s">
        <v>7</v>
      </c>
      <c r="D30" t="s">
        <v>7</v>
      </c>
      <c r="E30" t="s">
        <v>36</v>
      </c>
      <c r="F30">
        <v>32</v>
      </c>
      <c r="G30" t="b">
        <v>1</v>
      </c>
      <c r="H30" t="b">
        <v>1</v>
      </c>
      <c r="I30" t="s">
        <v>73</v>
      </c>
      <c r="M30" t="s">
        <v>56</v>
      </c>
      <c r="N30" t="s">
        <v>57</v>
      </c>
      <c r="P30" t="s">
        <v>138</v>
      </c>
      <c r="Q30">
        <v>111</v>
      </c>
    </row>
    <row r="31" spans="1:17" x14ac:dyDescent="0.25">
      <c r="A31" t="s">
        <v>139</v>
      </c>
      <c r="B31" t="s">
        <v>75</v>
      </c>
      <c r="C31" t="s">
        <v>6</v>
      </c>
      <c r="D31" t="s">
        <v>6</v>
      </c>
      <c r="E31" t="s">
        <v>36</v>
      </c>
      <c r="F31">
        <v>37.5</v>
      </c>
      <c r="G31" t="b">
        <v>1</v>
      </c>
      <c r="H31" t="b">
        <v>1</v>
      </c>
      <c r="I31" t="s">
        <v>73</v>
      </c>
      <c r="M31" t="s">
        <v>56</v>
      </c>
      <c r="N31" t="s">
        <v>57</v>
      </c>
      <c r="P31" t="s">
        <v>140</v>
      </c>
      <c r="Q31">
        <v>110</v>
      </c>
    </row>
    <row r="32" spans="1:17" x14ac:dyDescent="0.25">
      <c r="A32" t="s">
        <v>141</v>
      </c>
      <c r="B32" t="s">
        <v>75</v>
      </c>
      <c r="C32" t="s">
        <v>7</v>
      </c>
      <c r="D32" t="s">
        <v>7</v>
      </c>
      <c r="E32" t="s">
        <v>36</v>
      </c>
      <c r="F32">
        <v>32</v>
      </c>
      <c r="G32" t="b">
        <v>1</v>
      </c>
      <c r="H32" t="b">
        <v>1</v>
      </c>
      <c r="I32" t="s">
        <v>73</v>
      </c>
      <c r="M32" t="s">
        <v>56</v>
      </c>
      <c r="N32" t="s">
        <v>57</v>
      </c>
      <c r="P32" t="s">
        <v>142</v>
      </c>
      <c r="Q32">
        <v>109</v>
      </c>
    </row>
    <row r="33" spans="1:17" x14ac:dyDescent="0.25">
      <c r="A33" t="s">
        <v>143</v>
      </c>
      <c r="B33" t="s">
        <v>75</v>
      </c>
      <c r="C33" t="s">
        <v>7</v>
      </c>
      <c r="D33" t="s">
        <v>7</v>
      </c>
      <c r="E33" t="s">
        <v>36</v>
      </c>
      <c r="F33">
        <v>32</v>
      </c>
      <c r="G33" t="b">
        <v>1</v>
      </c>
      <c r="H33" t="b">
        <v>1</v>
      </c>
      <c r="I33" t="s">
        <v>73</v>
      </c>
      <c r="M33" t="s">
        <v>56</v>
      </c>
      <c r="N33" t="s">
        <v>57</v>
      </c>
      <c r="P33" t="s">
        <v>144</v>
      </c>
      <c r="Q33">
        <v>108</v>
      </c>
    </row>
    <row r="34" spans="1:17" x14ac:dyDescent="0.25">
      <c r="A34" t="s">
        <v>145</v>
      </c>
      <c r="B34" t="s">
        <v>75</v>
      </c>
      <c r="C34" t="s">
        <v>6</v>
      </c>
      <c r="D34" t="s">
        <v>6</v>
      </c>
      <c r="E34" t="s">
        <v>36</v>
      </c>
      <c r="F34">
        <v>45</v>
      </c>
      <c r="G34" t="b">
        <v>1</v>
      </c>
      <c r="H34" t="b">
        <v>1</v>
      </c>
      <c r="I34" t="s">
        <v>73</v>
      </c>
      <c r="M34" t="s">
        <v>56</v>
      </c>
      <c r="N34" t="s">
        <v>57</v>
      </c>
      <c r="P34" t="s">
        <v>146</v>
      </c>
      <c r="Q34">
        <v>107</v>
      </c>
    </row>
    <row r="35" spans="1:17" x14ac:dyDescent="0.25">
      <c r="A35" t="s">
        <v>147</v>
      </c>
      <c r="B35" t="s">
        <v>75</v>
      </c>
      <c r="C35" t="s">
        <v>58</v>
      </c>
      <c r="D35" t="s">
        <v>58</v>
      </c>
      <c r="E35" t="s">
        <v>36</v>
      </c>
      <c r="F35">
        <v>60</v>
      </c>
      <c r="G35" t="b">
        <v>1</v>
      </c>
      <c r="H35" t="b">
        <v>1</v>
      </c>
      <c r="I35" t="s">
        <v>73</v>
      </c>
      <c r="M35" t="s">
        <v>56</v>
      </c>
      <c r="N35" t="s">
        <v>57</v>
      </c>
      <c r="P35" t="s">
        <v>148</v>
      </c>
      <c r="Q35">
        <v>106</v>
      </c>
    </row>
    <row r="36" spans="1:17" x14ac:dyDescent="0.25">
      <c r="A36" t="s">
        <v>149</v>
      </c>
      <c r="B36" t="s">
        <v>75</v>
      </c>
      <c r="C36" t="s">
        <v>6</v>
      </c>
      <c r="D36" t="s">
        <v>6</v>
      </c>
      <c r="E36" t="s">
        <v>36</v>
      </c>
      <c r="F36">
        <v>67.5</v>
      </c>
      <c r="G36" t="b">
        <v>1</v>
      </c>
      <c r="H36" t="b">
        <v>1</v>
      </c>
      <c r="I36" t="s">
        <v>73</v>
      </c>
      <c r="M36" t="s">
        <v>56</v>
      </c>
      <c r="N36" t="s">
        <v>57</v>
      </c>
      <c r="P36" t="s">
        <v>150</v>
      </c>
      <c r="Q36">
        <v>105</v>
      </c>
    </row>
    <row r="37" spans="1:17" x14ac:dyDescent="0.25">
      <c r="A37" t="s">
        <v>151</v>
      </c>
      <c r="B37" t="s">
        <v>75</v>
      </c>
      <c r="C37" t="s">
        <v>6</v>
      </c>
      <c r="D37" t="s">
        <v>6</v>
      </c>
      <c r="E37" t="s">
        <v>36</v>
      </c>
      <c r="F37">
        <v>60</v>
      </c>
      <c r="G37" t="b">
        <v>1</v>
      </c>
      <c r="H37" t="b">
        <v>1</v>
      </c>
      <c r="I37" t="s">
        <v>73</v>
      </c>
      <c r="M37" t="s">
        <v>56</v>
      </c>
      <c r="N37" t="s">
        <v>57</v>
      </c>
      <c r="P37" t="s">
        <v>152</v>
      </c>
      <c r="Q37">
        <v>104</v>
      </c>
    </row>
    <row r="38" spans="1:17" x14ac:dyDescent="0.25">
      <c r="A38" t="s">
        <v>153</v>
      </c>
      <c r="B38" t="s">
        <v>75</v>
      </c>
      <c r="C38" t="s">
        <v>7</v>
      </c>
      <c r="D38" t="s">
        <v>7</v>
      </c>
      <c r="E38" t="s">
        <v>36</v>
      </c>
      <c r="F38">
        <v>40</v>
      </c>
      <c r="G38" t="b">
        <v>1</v>
      </c>
      <c r="H38" t="b">
        <v>0</v>
      </c>
      <c r="I38" t="s">
        <v>70</v>
      </c>
      <c r="M38" t="s">
        <v>56</v>
      </c>
      <c r="N38" t="s">
        <v>57</v>
      </c>
      <c r="P38" t="s">
        <v>154</v>
      </c>
      <c r="Q38">
        <v>103</v>
      </c>
    </row>
    <row r="39" spans="1:17" x14ac:dyDescent="0.25">
      <c r="A39" t="s">
        <v>155</v>
      </c>
      <c r="B39" t="s">
        <v>75</v>
      </c>
      <c r="C39" t="s">
        <v>6</v>
      </c>
      <c r="D39" t="s">
        <v>6</v>
      </c>
      <c r="E39" t="s">
        <v>36</v>
      </c>
      <c r="F39">
        <v>45</v>
      </c>
      <c r="G39" t="b">
        <v>1</v>
      </c>
      <c r="H39" t="b">
        <v>0</v>
      </c>
      <c r="I39" t="s">
        <v>70</v>
      </c>
      <c r="M39" t="s">
        <v>56</v>
      </c>
      <c r="N39" t="s">
        <v>57</v>
      </c>
      <c r="P39" t="s">
        <v>156</v>
      </c>
      <c r="Q39">
        <v>102</v>
      </c>
    </row>
    <row r="40" spans="1:17" x14ac:dyDescent="0.25">
      <c r="A40" t="s">
        <v>157</v>
      </c>
      <c r="B40" t="s">
        <v>75</v>
      </c>
      <c r="C40" t="s">
        <v>6</v>
      </c>
      <c r="D40" t="s">
        <v>6</v>
      </c>
      <c r="E40" t="s">
        <v>38</v>
      </c>
      <c r="F40">
        <v>76</v>
      </c>
      <c r="G40" t="b">
        <v>1</v>
      </c>
      <c r="H40" t="b">
        <v>1</v>
      </c>
      <c r="I40" t="s">
        <v>73</v>
      </c>
      <c r="M40" t="s">
        <v>56</v>
      </c>
      <c r="N40" t="s">
        <v>57</v>
      </c>
      <c r="P40" t="s">
        <v>158</v>
      </c>
      <c r="Q40">
        <v>101</v>
      </c>
    </row>
    <row r="41" spans="1:17" x14ac:dyDescent="0.25">
      <c r="A41" t="s">
        <v>119</v>
      </c>
      <c r="B41" t="s">
        <v>75</v>
      </c>
      <c r="C41" t="s">
        <v>58</v>
      </c>
      <c r="D41" t="s">
        <v>58</v>
      </c>
      <c r="E41" t="s">
        <v>36</v>
      </c>
      <c r="F41">
        <v>70</v>
      </c>
      <c r="G41" t="b">
        <v>1</v>
      </c>
      <c r="H41" t="b">
        <v>1</v>
      </c>
      <c r="I41" t="s">
        <v>73</v>
      </c>
      <c r="M41" t="s">
        <v>56</v>
      </c>
      <c r="N41" t="s">
        <v>57</v>
      </c>
      <c r="P41" t="s">
        <v>120</v>
      </c>
      <c r="Q41">
        <v>56</v>
      </c>
    </row>
    <row r="42" spans="1:17" x14ac:dyDescent="0.25">
      <c r="A42" t="s">
        <v>161</v>
      </c>
      <c r="B42" t="s">
        <v>75</v>
      </c>
      <c r="C42" t="s">
        <v>58</v>
      </c>
      <c r="D42" t="s">
        <v>58</v>
      </c>
      <c r="E42" t="s">
        <v>35</v>
      </c>
      <c r="F42">
        <v>0</v>
      </c>
      <c r="G42" t="b">
        <v>1</v>
      </c>
      <c r="H42" t="b">
        <v>0</v>
      </c>
      <c r="I42" t="s">
        <v>70</v>
      </c>
      <c r="J42">
        <v>8</v>
      </c>
      <c r="K42">
        <v>8</v>
      </c>
      <c r="M42" t="s">
        <v>56</v>
      </c>
      <c r="N42" t="s">
        <v>57</v>
      </c>
      <c r="P42" t="s">
        <v>162</v>
      </c>
      <c r="Q42">
        <v>100</v>
      </c>
    </row>
    <row r="43" spans="1:17" x14ac:dyDescent="0.25">
      <c r="A43" t="s">
        <v>292</v>
      </c>
      <c r="B43" t="s">
        <v>75</v>
      </c>
      <c r="C43" t="s">
        <v>6</v>
      </c>
      <c r="D43" t="s">
        <v>6</v>
      </c>
      <c r="E43" t="s">
        <v>35</v>
      </c>
      <c r="F43">
        <v>0</v>
      </c>
      <c r="G43" t="b">
        <v>1</v>
      </c>
      <c r="H43" t="b">
        <v>1</v>
      </c>
      <c r="I43" t="s">
        <v>73</v>
      </c>
      <c r="J43">
        <v>10</v>
      </c>
      <c r="K43">
        <v>10</v>
      </c>
      <c r="M43" t="s">
        <v>56</v>
      </c>
      <c r="N43" t="s">
        <v>57</v>
      </c>
      <c r="P43" t="s">
        <v>293</v>
      </c>
      <c r="Q43">
        <v>98</v>
      </c>
    </row>
    <row r="44" spans="1:17" x14ac:dyDescent="0.25">
      <c r="A44" t="s">
        <v>163</v>
      </c>
      <c r="B44" t="s">
        <v>75</v>
      </c>
      <c r="C44" t="s">
        <v>6</v>
      </c>
      <c r="D44" t="s">
        <v>6</v>
      </c>
      <c r="E44" t="s">
        <v>36</v>
      </c>
      <c r="F44">
        <v>45</v>
      </c>
      <c r="G44" t="b">
        <v>1</v>
      </c>
      <c r="H44" t="b">
        <v>1</v>
      </c>
      <c r="I44" t="s">
        <v>73</v>
      </c>
      <c r="M44" t="s">
        <v>56</v>
      </c>
      <c r="N44" t="s">
        <v>57</v>
      </c>
      <c r="P44" t="s">
        <v>164</v>
      </c>
      <c r="Q44">
        <v>97</v>
      </c>
    </row>
    <row r="45" spans="1:17" x14ac:dyDescent="0.25">
      <c r="A45" t="s">
        <v>165</v>
      </c>
      <c r="B45" t="s">
        <v>75</v>
      </c>
      <c r="C45" t="s">
        <v>58</v>
      </c>
      <c r="D45" t="s">
        <v>58</v>
      </c>
      <c r="E45" t="s">
        <v>36</v>
      </c>
      <c r="F45">
        <v>45</v>
      </c>
      <c r="G45" t="b">
        <v>1</v>
      </c>
      <c r="H45" t="b">
        <v>1</v>
      </c>
      <c r="I45" t="s">
        <v>73</v>
      </c>
      <c r="M45" t="s">
        <v>56</v>
      </c>
      <c r="N45" t="s">
        <v>57</v>
      </c>
      <c r="P45" t="s">
        <v>166</v>
      </c>
      <c r="Q45">
        <v>96</v>
      </c>
    </row>
    <row r="46" spans="1:17" x14ac:dyDescent="0.25">
      <c r="A46" t="s">
        <v>167</v>
      </c>
      <c r="B46" t="s">
        <v>75</v>
      </c>
      <c r="C46" t="s">
        <v>6</v>
      </c>
      <c r="D46" t="s">
        <v>6</v>
      </c>
      <c r="E46" t="s">
        <v>36</v>
      </c>
      <c r="F46">
        <v>67.5</v>
      </c>
      <c r="G46" t="b">
        <v>1</v>
      </c>
      <c r="H46" t="b">
        <v>1</v>
      </c>
      <c r="I46" t="s">
        <v>73</v>
      </c>
      <c r="M46" t="s">
        <v>56</v>
      </c>
      <c r="N46" t="s">
        <v>57</v>
      </c>
      <c r="P46" t="s">
        <v>168</v>
      </c>
      <c r="Q46">
        <v>95</v>
      </c>
    </row>
    <row r="47" spans="1:17" x14ac:dyDescent="0.25">
      <c r="A47" t="s">
        <v>169</v>
      </c>
      <c r="B47" t="s">
        <v>75</v>
      </c>
      <c r="C47" t="s">
        <v>6</v>
      </c>
      <c r="D47" t="s">
        <v>6</v>
      </c>
      <c r="E47" t="s">
        <v>36</v>
      </c>
      <c r="F47">
        <v>20.5</v>
      </c>
      <c r="G47" t="b">
        <v>1</v>
      </c>
      <c r="H47" t="b">
        <v>1</v>
      </c>
      <c r="I47" t="s">
        <v>73</v>
      </c>
      <c r="M47" t="s">
        <v>56</v>
      </c>
      <c r="N47" t="s">
        <v>57</v>
      </c>
      <c r="P47" t="s">
        <v>170</v>
      </c>
      <c r="Q47">
        <v>94</v>
      </c>
    </row>
    <row r="48" spans="1:17" x14ac:dyDescent="0.25">
      <c r="A48" t="s">
        <v>171</v>
      </c>
      <c r="B48" t="s">
        <v>75</v>
      </c>
      <c r="C48" t="s">
        <v>7</v>
      </c>
      <c r="D48" t="s">
        <v>7</v>
      </c>
      <c r="E48" t="s">
        <v>36</v>
      </c>
      <c r="F48">
        <v>72</v>
      </c>
      <c r="G48" t="b">
        <v>1</v>
      </c>
      <c r="H48" t="b">
        <v>0</v>
      </c>
      <c r="I48" t="s">
        <v>70</v>
      </c>
      <c r="M48" t="s">
        <v>56</v>
      </c>
      <c r="N48" t="s">
        <v>57</v>
      </c>
      <c r="P48" t="s">
        <v>172</v>
      </c>
      <c r="Q48">
        <v>93</v>
      </c>
    </row>
    <row r="49" spans="1:17" x14ac:dyDescent="0.25">
      <c r="A49" t="s">
        <v>173</v>
      </c>
      <c r="B49" t="s">
        <v>75</v>
      </c>
      <c r="C49" t="s">
        <v>6</v>
      </c>
      <c r="D49" t="s">
        <v>6</v>
      </c>
      <c r="E49" t="s">
        <v>36</v>
      </c>
      <c r="F49">
        <v>37.5</v>
      </c>
      <c r="G49" t="b">
        <v>1</v>
      </c>
      <c r="H49" t="b">
        <v>1</v>
      </c>
      <c r="I49" t="s">
        <v>73</v>
      </c>
      <c r="M49" t="s">
        <v>56</v>
      </c>
      <c r="N49" t="s">
        <v>57</v>
      </c>
      <c r="P49" t="s">
        <v>174</v>
      </c>
      <c r="Q49">
        <v>92</v>
      </c>
    </row>
    <row r="50" spans="1:17" x14ac:dyDescent="0.25">
      <c r="A50" t="s">
        <v>175</v>
      </c>
      <c r="B50" t="s">
        <v>75</v>
      </c>
      <c r="C50" t="s">
        <v>6</v>
      </c>
      <c r="D50" t="s">
        <v>6</v>
      </c>
      <c r="E50" t="s">
        <v>36</v>
      </c>
      <c r="F50">
        <v>37.5</v>
      </c>
      <c r="G50" t="b">
        <v>1</v>
      </c>
      <c r="H50" t="b">
        <v>1</v>
      </c>
      <c r="I50" t="s">
        <v>73</v>
      </c>
      <c r="M50" t="s">
        <v>56</v>
      </c>
      <c r="N50" t="s">
        <v>57</v>
      </c>
      <c r="P50" t="s">
        <v>176</v>
      </c>
      <c r="Q50">
        <v>91</v>
      </c>
    </row>
    <row r="51" spans="1:17" x14ac:dyDescent="0.25">
      <c r="A51" t="s">
        <v>177</v>
      </c>
      <c r="B51" t="s">
        <v>75</v>
      </c>
      <c r="C51" t="s">
        <v>6</v>
      </c>
      <c r="D51" t="s">
        <v>6</v>
      </c>
      <c r="E51" t="s">
        <v>36</v>
      </c>
      <c r="F51">
        <v>60</v>
      </c>
      <c r="G51" t="b">
        <v>1</v>
      </c>
      <c r="H51" t="b">
        <v>1</v>
      </c>
      <c r="I51" t="s">
        <v>73</v>
      </c>
      <c r="M51" t="s">
        <v>56</v>
      </c>
      <c r="N51" t="s">
        <v>57</v>
      </c>
      <c r="P51" t="s">
        <v>178</v>
      </c>
      <c r="Q51">
        <v>90</v>
      </c>
    </row>
    <row r="52" spans="1:17" x14ac:dyDescent="0.25">
      <c r="A52" t="s">
        <v>179</v>
      </c>
      <c r="B52" t="s">
        <v>75</v>
      </c>
      <c r="C52" t="s">
        <v>6</v>
      </c>
      <c r="D52" t="s">
        <v>6</v>
      </c>
      <c r="E52" t="s">
        <v>36</v>
      </c>
      <c r="F52">
        <v>75</v>
      </c>
      <c r="G52" t="b">
        <v>1</v>
      </c>
      <c r="H52" t="b">
        <v>1</v>
      </c>
      <c r="I52" t="s">
        <v>73</v>
      </c>
      <c r="M52" t="s">
        <v>56</v>
      </c>
      <c r="N52" t="s">
        <v>57</v>
      </c>
      <c r="P52" t="s">
        <v>180</v>
      </c>
      <c r="Q52">
        <v>89</v>
      </c>
    </row>
    <row r="53" spans="1:17" x14ac:dyDescent="0.25">
      <c r="A53" t="s">
        <v>181</v>
      </c>
      <c r="B53" t="s">
        <v>75</v>
      </c>
      <c r="C53" t="s">
        <v>6</v>
      </c>
      <c r="D53" t="s">
        <v>6</v>
      </c>
      <c r="E53" t="s">
        <v>36</v>
      </c>
      <c r="F53">
        <v>60</v>
      </c>
      <c r="G53" t="b">
        <v>1</v>
      </c>
      <c r="H53" t="b">
        <v>1</v>
      </c>
      <c r="I53" t="s">
        <v>73</v>
      </c>
      <c r="M53" t="s">
        <v>56</v>
      </c>
      <c r="N53" t="s">
        <v>57</v>
      </c>
      <c r="P53" t="s">
        <v>182</v>
      </c>
      <c r="Q53">
        <v>88</v>
      </c>
    </row>
    <row r="54" spans="1:17" x14ac:dyDescent="0.25">
      <c r="A54" t="s">
        <v>187</v>
      </c>
      <c r="B54" t="s">
        <v>75</v>
      </c>
      <c r="C54" t="s">
        <v>6</v>
      </c>
      <c r="D54" t="s">
        <v>6</v>
      </c>
      <c r="E54" t="s">
        <v>36</v>
      </c>
      <c r="F54">
        <v>60</v>
      </c>
      <c r="G54" t="b">
        <v>1</v>
      </c>
      <c r="H54" t="b">
        <v>1</v>
      </c>
      <c r="I54" t="s">
        <v>73</v>
      </c>
      <c r="M54" t="s">
        <v>56</v>
      </c>
      <c r="N54" t="s">
        <v>57</v>
      </c>
      <c r="P54" t="s">
        <v>188</v>
      </c>
      <c r="Q54">
        <v>99</v>
      </c>
    </row>
    <row r="55" spans="1:17" x14ac:dyDescent="0.25">
      <c r="A55" t="s">
        <v>294</v>
      </c>
      <c r="B55" t="s">
        <v>75</v>
      </c>
      <c r="C55" t="s">
        <v>7</v>
      </c>
      <c r="D55" t="s">
        <v>7</v>
      </c>
      <c r="E55" t="s">
        <v>36</v>
      </c>
      <c r="F55">
        <v>32</v>
      </c>
      <c r="G55" t="b">
        <v>1</v>
      </c>
      <c r="H55" t="b">
        <v>1</v>
      </c>
      <c r="I55" t="s">
        <v>73</v>
      </c>
      <c r="M55" t="s">
        <v>56</v>
      </c>
      <c r="N55" t="s">
        <v>57</v>
      </c>
      <c r="P55" t="s">
        <v>295</v>
      </c>
      <c r="Q55">
        <v>55</v>
      </c>
    </row>
    <row r="56" spans="1:17" x14ac:dyDescent="0.25">
      <c r="A56" t="s">
        <v>76</v>
      </c>
      <c r="B56" t="s">
        <v>75</v>
      </c>
      <c r="C56" t="s">
        <v>6</v>
      </c>
      <c r="D56" t="s">
        <v>6</v>
      </c>
      <c r="E56" t="s">
        <v>36</v>
      </c>
      <c r="F56">
        <v>30</v>
      </c>
      <c r="G56" t="b">
        <v>1</v>
      </c>
      <c r="H56" t="b">
        <v>1</v>
      </c>
      <c r="I56" t="s">
        <v>73</v>
      </c>
      <c r="M56" t="s">
        <v>56</v>
      </c>
      <c r="N56" t="s">
        <v>57</v>
      </c>
      <c r="P56" t="s">
        <v>77</v>
      </c>
      <c r="Q56">
        <v>57</v>
      </c>
    </row>
    <row r="57" spans="1:17" x14ac:dyDescent="0.25">
      <c r="A57" t="s">
        <v>123</v>
      </c>
      <c r="B57" t="s">
        <v>75</v>
      </c>
      <c r="C57" t="s">
        <v>58</v>
      </c>
      <c r="D57" t="s">
        <v>58</v>
      </c>
      <c r="E57" t="s">
        <v>36</v>
      </c>
      <c r="F57">
        <v>70</v>
      </c>
      <c r="G57" t="b">
        <v>1</v>
      </c>
      <c r="H57" t="b">
        <v>1</v>
      </c>
      <c r="I57" t="s">
        <v>73</v>
      </c>
      <c r="M57" t="s">
        <v>56</v>
      </c>
      <c r="N57" t="s">
        <v>57</v>
      </c>
      <c r="P57" t="s">
        <v>124</v>
      </c>
      <c r="Q57">
        <v>53</v>
      </c>
    </row>
    <row r="58" spans="1:17" x14ac:dyDescent="0.25">
      <c r="A58" t="s">
        <v>207</v>
      </c>
      <c r="B58" t="s">
        <v>75</v>
      </c>
      <c r="C58" t="s">
        <v>6</v>
      </c>
      <c r="D58" t="s">
        <v>6</v>
      </c>
      <c r="E58" t="s">
        <v>36</v>
      </c>
      <c r="F58">
        <v>75</v>
      </c>
      <c r="G58" t="b">
        <v>1</v>
      </c>
      <c r="H58" t="b">
        <v>1</v>
      </c>
      <c r="I58" t="s">
        <v>73</v>
      </c>
      <c r="M58" t="s">
        <v>56</v>
      </c>
      <c r="N58" t="s">
        <v>57</v>
      </c>
      <c r="P58" t="s">
        <v>208</v>
      </c>
      <c r="Q58">
        <v>27</v>
      </c>
    </row>
    <row r="59" spans="1:17" x14ac:dyDescent="0.25">
      <c r="A59" t="s">
        <v>209</v>
      </c>
      <c r="B59" t="s">
        <v>75</v>
      </c>
      <c r="C59" t="s">
        <v>6</v>
      </c>
      <c r="D59" t="s">
        <v>6</v>
      </c>
      <c r="E59" t="s">
        <v>36</v>
      </c>
      <c r="F59">
        <v>45</v>
      </c>
      <c r="G59" t="b">
        <v>1</v>
      </c>
      <c r="H59" t="b">
        <v>0</v>
      </c>
      <c r="I59" t="s">
        <v>70</v>
      </c>
      <c r="M59" t="s">
        <v>56</v>
      </c>
      <c r="N59" t="s">
        <v>57</v>
      </c>
      <c r="P59" t="s">
        <v>210</v>
      </c>
      <c r="Q59">
        <v>26</v>
      </c>
    </row>
    <row r="60" spans="1:17" x14ac:dyDescent="0.25">
      <c r="A60" t="s">
        <v>216</v>
      </c>
      <c r="B60" t="s">
        <v>75</v>
      </c>
      <c r="C60" t="s">
        <v>6</v>
      </c>
      <c r="D60" t="s">
        <v>6</v>
      </c>
      <c r="E60" t="s">
        <v>36</v>
      </c>
      <c r="F60">
        <v>67.5</v>
      </c>
      <c r="G60" t="b">
        <v>1</v>
      </c>
      <c r="H60" t="b">
        <v>1</v>
      </c>
      <c r="I60" t="s">
        <v>73</v>
      </c>
      <c r="M60" t="s">
        <v>56</v>
      </c>
      <c r="N60" t="s">
        <v>57</v>
      </c>
      <c r="P60" t="s">
        <v>217</v>
      </c>
      <c r="Q60">
        <v>25</v>
      </c>
    </row>
    <row r="61" spans="1:17" x14ac:dyDescent="0.25">
      <c r="A61" t="s">
        <v>218</v>
      </c>
      <c r="B61" t="s">
        <v>75</v>
      </c>
      <c r="C61" t="s">
        <v>58</v>
      </c>
      <c r="D61" t="s">
        <v>58</v>
      </c>
      <c r="E61" t="s">
        <v>36</v>
      </c>
      <c r="F61">
        <v>52.5</v>
      </c>
      <c r="G61" t="b">
        <v>1</v>
      </c>
      <c r="H61" t="b">
        <v>0</v>
      </c>
      <c r="I61" t="s">
        <v>70</v>
      </c>
      <c r="M61" t="s">
        <v>56</v>
      </c>
      <c r="N61" t="s">
        <v>57</v>
      </c>
      <c r="P61" t="s">
        <v>219</v>
      </c>
      <c r="Q61">
        <v>24</v>
      </c>
    </row>
    <row r="62" spans="1:17" x14ac:dyDescent="0.25">
      <c r="A62" t="s">
        <v>220</v>
      </c>
      <c r="B62" t="s">
        <v>75</v>
      </c>
      <c r="C62" t="s">
        <v>6</v>
      </c>
      <c r="D62" t="s">
        <v>6</v>
      </c>
      <c r="E62" t="s">
        <v>36</v>
      </c>
      <c r="F62">
        <v>30</v>
      </c>
      <c r="G62" t="b">
        <v>1</v>
      </c>
      <c r="H62" t="b">
        <v>0</v>
      </c>
      <c r="I62" t="s">
        <v>70</v>
      </c>
      <c r="M62" t="s">
        <v>56</v>
      </c>
      <c r="N62" t="s">
        <v>57</v>
      </c>
      <c r="P62" t="s">
        <v>221</v>
      </c>
      <c r="Q62">
        <v>23</v>
      </c>
    </row>
    <row r="63" spans="1:17" x14ac:dyDescent="0.25">
      <c r="A63" t="s">
        <v>222</v>
      </c>
      <c r="B63" t="s">
        <v>75</v>
      </c>
      <c r="C63" t="s">
        <v>6</v>
      </c>
      <c r="D63" t="s">
        <v>6</v>
      </c>
      <c r="E63" t="s">
        <v>35</v>
      </c>
      <c r="F63">
        <v>0</v>
      </c>
      <c r="G63" t="b">
        <v>1</v>
      </c>
      <c r="H63" t="b">
        <v>1</v>
      </c>
      <c r="I63" t="s">
        <v>73</v>
      </c>
      <c r="J63">
        <v>14</v>
      </c>
      <c r="K63">
        <v>14</v>
      </c>
      <c r="M63" t="s">
        <v>56</v>
      </c>
      <c r="N63" t="s">
        <v>57</v>
      </c>
      <c r="P63" t="s">
        <v>223</v>
      </c>
      <c r="Q63">
        <v>22</v>
      </c>
    </row>
    <row r="64" spans="1:17" x14ac:dyDescent="0.25">
      <c r="A64" t="s">
        <v>224</v>
      </c>
      <c r="B64" t="s">
        <v>75</v>
      </c>
      <c r="C64" t="s">
        <v>6</v>
      </c>
      <c r="D64" t="s">
        <v>6</v>
      </c>
      <c r="E64" t="s">
        <v>36</v>
      </c>
      <c r="F64">
        <v>60</v>
      </c>
      <c r="G64" t="b">
        <v>1</v>
      </c>
      <c r="H64" t="b">
        <v>1</v>
      </c>
      <c r="I64" t="s">
        <v>73</v>
      </c>
      <c r="M64" t="s">
        <v>56</v>
      </c>
      <c r="N64" t="s">
        <v>57</v>
      </c>
      <c r="P64" t="s">
        <v>225</v>
      </c>
      <c r="Q64">
        <v>21</v>
      </c>
    </row>
    <row r="65" spans="1:17" x14ac:dyDescent="0.25">
      <c r="A65" t="s">
        <v>226</v>
      </c>
      <c r="B65" t="s">
        <v>75</v>
      </c>
      <c r="C65" t="s">
        <v>7</v>
      </c>
      <c r="D65" t="s">
        <v>7</v>
      </c>
      <c r="E65" t="s">
        <v>36</v>
      </c>
      <c r="F65">
        <v>45</v>
      </c>
      <c r="G65" t="b">
        <v>1</v>
      </c>
      <c r="H65" t="b">
        <v>0</v>
      </c>
      <c r="I65" t="s">
        <v>70</v>
      </c>
      <c r="M65" t="s">
        <v>56</v>
      </c>
      <c r="N65" t="s">
        <v>57</v>
      </c>
      <c r="P65" t="s">
        <v>227</v>
      </c>
      <c r="Q65">
        <v>20</v>
      </c>
    </row>
    <row r="66" spans="1:17" x14ac:dyDescent="0.25">
      <c r="A66" t="s">
        <v>228</v>
      </c>
      <c r="B66" t="s">
        <v>75</v>
      </c>
      <c r="C66" t="s">
        <v>58</v>
      </c>
      <c r="D66" t="s">
        <v>58</v>
      </c>
      <c r="E66" t="s">
        <v>36</v>
      </c>
      <c r="F66">
        <v>48</v>
      </c>
      <c r="G66" t="b">
        <v>1</v>
      </c>
      <c r="H66" t="b">
        <v>1</v>
      </c>
      <c r="I66" t="s">
        <v>73</v>
      </c>
      <c r="M66" t="s">
        <v>56</v>
      </c>
      <c r="N66" t="s">
        <v>57</v>
      </c>
      <c r="P66" t="s">
        <v>229</v>
      </c>
      <c r="Q66">
        <v>19</v>
      </c>
    </row>
    <row r="67" spans="1:17" x14ac:dyDescent="0.25">
      <c r="A67" t="s">
        <v>231</v>
      </c>
      <c r="B67" t="s">
        <v>75</v>
      </c>
      <c r="C67" t="s">
        <v>6</v>
      </c>
      <c r="D67" t="s">
        <v>6</v>
      </c>
      <c r="E67" t="s">
        <v>36</v>
      </c>
      <c r="F67">
        <v>52.5</v>
      </c>
      <c r="G67" t="b">
        <v>1</v>
      </c>
      <c r="H67" t="b">
        <v>1</v>
      </c>
      <c r="I67" t="s">
        <v>73</v>
      </c>
      <c r="M67" t="s">
        <v>56</v>
      </c>
      <c r="N67" t="s">
        <v>57</v>
      </c>
      <c r="P67" t="s">
        <v>232</v>
      </c>
      <c r="Q67">
        <v>17</v>
      </c>
    </row>
    <row r="68" spans="1:17" x14ac:dyDescent="0.25">
      <c r="A68" t="s">
        <v>233</v>
      </c>
      <c r="B68" t="s">
        <v>75</v>
      </c>
      <c r="C68" t="s">
        <v>6</v>
      </c>
      <c r="D68" t="s">
        <v>6</v>
      </c>
      <c r="E68" t="s">
        <v>36</v>
      </c>
      <c r="F68">
        <v>66.5</v>
      </c>
      <c r="G68" t="b">
        <v>1</v>
      </c>
      <c r="H68" t="b">
        <v>1</v>
      </c>
      <c r="I68" t="s">
        <v>73</v>
      </c>
      <c r="M68" t="s">
        <v>56</v>
      </c>
      <c r="N68" t="s">
        <v>57</v>
      </c>
      <c r="P68" t="s">
        <v>234</v>
      </c>
      <c r="Q68">
        <v>16</v>
      </c>
    </row>
    <row r="69" spans="1:17" x14ac:dyDescent="0.25">
      <c r="A69" t="s">
        <v>237</v>
      </c>
      <c r="B69" t="s">
        <v>75</v>
      </c>
      <c r="C69" t="s">
        <v>6</v>
      </c>
      <c r="D69" t="s">
        <v>6</v>
      </c>
      <c r="E69" t="s">
        <v>36</v>
      </c>
      <c r="F69">
        <v>52.5</v>
      </c>
      <c r="G69" t="b">
        <v>1</v>
      </c>
      <c r="H69" t="b">
        <v>1</v>
      </c>
      <c r="I69" t="s">
        <v>73</v>
      </c>
      <c r="M69" t="s">
        <v>56</v>
      </c>
      <c r="N69" t="s">
        <v>57</v>
      </c>
      <c r="P69" t="s">
        <v>238</v>
      </c>
      <c r="Q69">
        <v>15</v>
      </c>
    </row>
    <row r="70" spans="1:17" x14ac:dyDescent="0.25">
      <c r="A70" t="s">
        <v>269</v>
      </c>
      <c r="B70" t="s">
        <v>75</v>
      </c>
      <c r="C70" t="s">
        <v>6</v>
      </c>
      <c r="D70" t="s">
        <v>6</v>
      </c>
      <c r="E70" t="s">
        <v>36</v>
      </c>
      <c r="F70">
        <v>75</v>
      </c>
      <c r="G70" t="b">
        <v>1</v>
      </c>
      <c r="H70" t="b">
        <v>1</v>
      </c>
      <c r="I70" t="s">
        <v>73</v>
      </c>
      <c r="M70" t="s">
        <v>56</v>
      </c>
      <c r="N70" t="s">
        <v>57</v>
      </c>
      <c r="P70" t="s">
        <v>270</v>
      </c>
      <c r="Q70">
        <v>14</v>
      </c>
    </row>
    <row r="71" spans="1:17" x14ac:dyDescent="0.25">
      <c r="A71" t="s">
        <v>235</v>
      </c>
      <c r="B71" t="s">
        <v>75</v>
      </c>
      <c r="C71" t="s">
        <v>6</v>
      </c>
      <c r="D71" t="s">
        <v>6</v>
      </c>
      <c r="E71" t="s">
        <v>35</v>
      </c>
      <c r="F71">
        <v>0</v>
      </c>
      <c r="G71" t="b">
        <v>1</v>
      </c>
      <c r="H71" t="b">
        <v>1</v>
      </c>
      <c r="I71" t="s">
        <v>73</v>
      </c>
      <c r="J71">
        <v>10</v>
      </c>
      <c r="K71">
        <v>10</v>
      </c>
      <c r="M71" t="s">
        <v>56</v>
      </c>
      <c r="N71" t="s">
        <v>57</v>
      </c>
      <c r="P71" t="s">
        <v>236</v>
      </c>
      <c r="Q71">
        <v>13</v>
      </c>
    </row>
    <row r="72" spans="1:17" x14ac:dyDescent="0.25">
      <c r="A72" t="s">
        <v>214</v>
      </c>
      <c r="B72" t="s">
        <v>75</v>
      </c>
      <c r="C72" t="s">
        <v>58</v>
      </c>
      <c r="D72" t="s">
        <v>58</v>
      </c>
      <c r="E72" t="s">
        <v>36</v>
      </c>
      <c r="F72">
        <v>47.5</v>
      </c>
      <c r="G72" t="b">
        <v>1</v>
      </c>
      <c r="H72" t="b">
        <v>0</v>
      </c>
      <c r="I72" t="s">
        <v>70</v>
      </c>
      <c r="M72" t="s">
        <v>56</v>
      </c>
      <c r="N72" t="s">
        <v>57</v>
      </c>
      <c r="P72" t="s">
        <v>215</v>
      </c>
      <c r="Q72">
        <v>12</v>
      </c>
    </row>
    <row r="73" spans="1:17" x14ac:dyDescent="0.25">
      <c r="A73" t="s">
        <v>211</v>
      </c>
      <c r="B73" t="s">
        <v>75</v>
      </c>
      <c r="C73" t="s">
        <v>58</v>
      </c>
      <c r="D73" t="s">
        <v>58</v>
      </c>
      <c r="E73" t="s">
        <v>36</v>
      </c>
      <c r="F73">
        <v>32</v>
      </c>
      <c r="G73" t="b">
        <v>1</v>
      </c>
      <c r="H73" t="b">
        <v>0</v>
      </c>
      <c r="I73" t="s">
        <v>70</v>
      </c>
      <c r="M73" t="s">
        <v>56</v>
      </c>
      <c r="N73" t="s">
        <v>57</v>
      </c>
      <c r="P73" t="s">
        <v>212</v>
      </c>
      <c r="Q73">
        <v>11</v>
      </c>
    </row>
    <row r="74" spans="1:17" x14ac:dyDescent="0.25">
      <c r="A74" t="s">
        <v>205</v>
      </c>
      <c r="B74" t="s">
        <v>75</v>
      </c>
      <c r="C74" t="s">
        <v>6</v>
      </c>
      <c r="D74" t="s">
        <v>6</v>
      </c>
      <c r="E74" t="s">
        <v>38</v>
      </c>
      <c r="F74">
        <v>76</v>
      </c>
      <c r="G74" t="b">
        <v>1</v>
      </c>
      <c r="H74" t="b">
        <v>1</v>
      </c>
      <c r="I74" t="s">
        <v>73</v>
      </c>
      <c r="M74" t="s">
        <v>56</v>
      </c>
      <c r="N74" t="s">
        <v>57</v>
      </c>
      <c r="P74" t="s">
        <v>206</v>
      </c>
      <c r="Q74">
        <v>10</v>
      </c>
    </row>
    <row r="75" spans="1:17" x14ac:dyDescent="0.25">
      <c r="A75" t="s">
        <v>203</v>
      </c>
      <c r="B75" t="s">
        <v>75</v>
      </c>
      <c r="C75" t="s">
        <v>6</v>
      </c>
      <c r="D75" t="s">
        <v>6</v>
      </c>
      <c r="E75" t="s">
        <v>36</v>
      </c>
      <c r="F75">
        <v>60</v>
      </c>
      <c r="G75" t="b">
        <v>1</v>
      </c>
      <c r="H75" t="b">
        <v>1</v>
      </c>
      <c r="I75" t="s">
        <v>73</v>
      </c>
      <c r="M75" t="s">
        <v>56</v>
      </c>
      <c r="N75" t="s">
        <v>57</v>
      </c>
      <c r="P75" t="s">
        <v>204</v>
      </c>
      <c r="Q75">
        <v>9</v>
      </c>
    </row>
    <row r="76" spans="1:17" x14ac:dyDescent="0.25">
      <c r="A76" t="s">
        <v>201</v>
      </c>
      <c r="B76" t="s">
        <v>75</v>
      </c>
      <c r="C76" t="s">
        <v>6</v>
      </c>
      <c r="D76" t="s">
        <v>6</v>
      </c>
      <c r="E76" t="s">
        <v>36</v>
      </c>
      <c r="F76">
        <v>37.5</v>
      </c>
      <c r="G76" t="b">
        <v>1</v>
      </c>
      <c r="H76" t="b">
        <v>1</v>
      </c>
      <c r="I76" t="s">
        <v>73</v>
      </c>
      <c r="M76" t="s">
        <v>56</v>
      </c>
      <c r="N76" t="s">
        <v>57</v>
      </c>
      <c r="P76" t="s">
        <v>202</v>
      </c>
      <c r="Q76">
        <v>8</v>
      </c>
    </row>
    <row r="77" spans="1:17" x14ac:dyDescent="0.25">
      <c r="A77" t="s">
        <v>197</v>
      </c>
      <c r="B77" t="s">
        <v>75</v>
      </c>
      <c r="C77" t="s">
        <v>7</v>
      </c>
      <c r="D77" t="s">
        <v>7</v>
      </c>
      <c r="E77" t="s">
        <v>36</v>
      </c>
      <c r="F77">
        <v>16</v>
      </c>
      <c r="G77" t="b">
        <v>1</v>
      </c>
      <c r="H77" t="b">
        <v>1</v>
      </c>
      <c r="I77" t="s">
        <v>73</v>
      </c>
      <c r="M77" t="s">
        <v>56</v>
      </c>
      <c r="N77" t="s">
        <v>57</v>
      </c>
      <c r="P77" t="s">
        <v>198</v>
      </c>
      <c r="Q77">
        <v>7</v>
      </c>
    </row>
    <row r="78" spans="1:17" x14ac:dyDescent="0.25">
      <c r="A78" t="s">
        <v>195</v>
      </c>
      <c r="B78" t="s">
        <v>75</v>
      </c>
      <c r="C78" t="s">
        <v>7</v>
      </c>
      <c r="D78" t="s">
        <v>7</v>
      </c>
      <c r="E78" t="s">
        <v>36</v>
      </c>
      <c r="F78">
        <v>64</v>
      </c>
      <c r="G78" t="b">
        <v>1</v>
      </c>
      <c r="H78" t="b">
        <v>1</v>
      </c>
      <c r="I78" t="s">
        <v>73</v>
      </c>
      <c r="M78" t="s">
        <v>56</v>
      </c>
      <c r="N78" t="s">
        <v>57</v>
      </c>
      <c r="P78" t="s">
        <v>196</v>
      </c>
      <c r="Q78">
        <v>6</v>
      </c>
    </row>
    <row r="79" spans="1:17" x14ac:dyDescent="0.25">
      <c r="A79" t="s">
        <v>271</v>
      </c>
      <c r="B79" t="s">
        <v>75</v>
      </c>
      <c r="C79" t="s">
        <v>58</v>
      </c>
      <c r="D79" t="s">
        <v>58</v>
      </c>
      <c r="E79" t="s">
        <v>36</v>
      </c>
      <c r="F79">
        <v>54</v>
      </c>
      <c r="G79" t="b">
        <v>1</v>
      </c>
      <c r="H79" t="b">
        <v>1</v>
      </c>
      <c r="I79" t="s">
        <v>73</v>
      </c>
      <c r="M79" t="s">
        <v>56</v>
      </c>
      <c r="N79" t="s">
        <v>57</v>
      </c>
      <c r="P79" t="s">
        <v>272</v>
      </c>
      <c r="Q79">
        <v>5</v>
      </c>
    </row>
    <row r="80" spans="1:17" x14ac:dyDescent="0.25">
      <c r="A80" t="s">
        <v>253</v>
      </c>
      <c r="B80" t="s">
        <v>75</v>
      </c>
      <c r="C80" t="s">
        <v>6</v>
      </c>
      <c r="D80" t="s">
        <v>6</v>
      </c>
      <c r="E80" t="s">
        <v>36</v>
      </c>
      <c r="F80">
        <v>30</v>
      </c>
      <c r="G80" t="b">
        <v>1</v>
      </c>
      <c r="H80" t="b">
        <v>1</v>
      </c>
      <c r="I80" t="s">
        <v>73</v>
      </c>
      <c r="M80" t="s">
        <v>56</v>
      </c>
      <c r="N80" t="s">
        <v>57</v>
      </c>
      <c r="P80" t="s">
        <v>254</v>
      </c>
      <c r="Q80">
        <v>4</v>
      </c>
    </row>
    <row r="81" spans="1:17" x14ac:dyDescent="0.25">
      <c r="A81" t="s">
        <v>296</v>
      </c>
      <c r="B81" t="s">
        <v>75</v>
      </c>
      <c r="C81" t="s">
        <v>6</v>
      </c>
      <c r="D81" t="s">
        <v>6</v>
      </c>
      <c r="E81" t="s">
        <v>36</v>
      </c>
      <c r="F81">
        <v>36</v>
      </c>
      <c r="G81" t="b">
        <v>1</v>
      </c>
      <c r="H81" t="b">
        <v>1</v>
      </c>
      <c r="I81" t="s">
        <v>73</v>
      </c>
      <c r="M81" t="s">
        <v>56</v>
      </c>
      <c r="N81" t="s">
        <v>57</v>
      </c>
      <c r="P81" t="s">
        <v>297</v>
      </c>
      <c r="Q81">
        <v>3</v>
      </c>
    </row>
    <row r="82" spans="1:17" x14ac:dyDescent="0.25">
      <c r="A82" t="s">
        <v>298</v>
      </c>
      <c r="B82" t="s">
        <v>75</v>
      </c>
      <c r="C82" t="s">
        <v>6</v>
      </c>
      <c r="D82" t="s">
        <v>6</v>
      </c>
      <c r="E82" t="s">
        <v>35</v>
      </c>
      <c r="F82">
        <v>0</v>
      </c>
      <c r="G82" t="b">
        <v>1</v>
      </c>
      <c r="H82" t="b">
        <v>1</v>
      </c>
      <c r="I82" t="s">
        <v>73</v>
      </c>
      <c r="J82">
        <v>8</v>
      </c>
      <c r="K82">
        <v>8</v>
      </c>
      <c r="M82" t="s">
        <v>56</v>
      </c>
      <c r="N82" t="s">
        <v>57</v>
      </c>
      <c r="P82" t="s">
        <v>299</v>
      </c>
      <c r="Q82">
        <v>2</v>
      </c>
    </row>
    <row r="83" spans="1:17" x14ac:dyDescent="0.25">
      <c r="A83" t="s">
        <v>282</v>
      </c>
      <c r="B83" t="s">
        <v>75</v>
      </c>
      <c r="C83" t="s">
        <v>6</v>
      </c>
      <c r="D83" t="s">
        <v>6</v>
      </c>
      <c r="E83" t="s">
        <v>35</v>
      </c>
      <c r="F83">
        <v>0</v>
      </c>
      <c r="G83" t="b">
        <v>1</v>
      </c>
      <c r="H83" t="b">
        <v>1</v>
      </c>
      <c r="I83" t="s">
        <v>73</v>
      </c>
      <c r="J83">
        <v>10</v>
      </c>
      <c r="K83">
        <v>10</v>
      </c>
      <c r="M83" t="s">
        <v>56</v>
      </c>
      <c r="N83" t="s">
        <v>57</v>
      </c>
      <c r="P83" t="s">
        <v>300</v>
      </c>
      <c r="Q83">
        <v>28</v>
      </c>
    </row>
    <row r="84" spans="1:17" x14ac:dyDescent="0.25">
      <c r="A84" t="s">
        <v>121</v>
      </c>
      <c r="B84" t="s">
        <v>75</v>
      </c>
      <c r="C84" t="s">
        <v>6</v>
      </c>
      <c r="D84" t="s">
        <v>6</v>
      </c>
      <c r="E84" t="s">
        <v>36</v>
      </c>
      <c r="F84">
        <v>60</v>
      </c>
      <c r="G84" t="b">
        <v>1</v>
      </c>
      <c r="H84" t="b">
        <v>1</v>
      </c>
      <c r="I84" t="s">
        <v>73</v>
      </c>
      <c r="M84" t="s">
        <v>56</v>
      </c>
      <c r="N84" t="s">
        <v>57</v>
      </c>
      <c r="P84" t="s">
        <v>122</v>
      </c>
      <c r="Q84">
        <v>54</v>
      </c>
    </row>
    <row r="85" spans="1:17" x14ac:dyDescent="0.25">
      <c r="A85" t="s">
        <v>199</v>
      </c>
      <c r="B85" t="s">
        <v>75</v>
      </c>
      <c r="C85" t="s">
        <v>6</v>
      </c>
      <c r="D85" t="s">
        <v>6</v>
      </c>
      <c r="E85" t="s">
        <v>36</v>
      </c>
      <c r="F85">
        <v>52.5</v>
      </c>
      <c r="G85" t="b">
        <v>1</v>
      </c>
      <c r="H85" t="b">
        <v>1</v>
      </c>
      <c r="I85" t="s">
        <v>73</v>
      </c>
      <c r="M85" t="s">
        <v>56</v>
      </c>
      <c r="N85" t="s">
        <v>57</v>
      </c>
      <c r="P85" t="s">
        <v>200</v>
      </c>
      <c r="Q85">
        <v>29</v>
      </c>
    </row>
    <row r="86" spans="1:17" x14ac:dyDescent="0.25">
      <c r="A86" t="s">
        <v>239</v>
      </c>
      <c r="B86" t="s">
        <v>75</v>
      </c>
      <c r="C86" t="s">
        <v>6</v>
      </c>
      <c r="D86" t="s">
        <v>6</v>
      </c>
      <c r="E86" t="s">
        <v>36</v>
      </c>
      <c r="F86">
        <v>60</v>
      </c>
      <c r="G86" t="b">
        <v>1</v>
      </c>
      <c r="H86" t="b">
        <v>1</v>
      </c>
      <c r="I86" t="s">
        <v>73</v>
      </c>
      <c r="M86" t="s">
        <v>56</v>
      </c>
      <c r="N86" t="s">
        <v>57</v>
      </c>
      <c r="P86" t="s">
        <v>240</v>
      </c>
      <c r="Q86">
        <v>31</v>
      </c>
    </row>
    <row r="87" spans="1:17" x14ac:dyDescent="0.25">
      <c r="A87" t="s">
        <v>125</v>
      </c>
      <c r="B87" t="s">
        <v>75</v>
      </c>
      <c r="C87" t="s">
        <v>6</v>
      </c>
      <c r="D87" t="s">
        <v>6</v>
      </c>
      <c r="E87" t="s">
        <v>36</v>
      </c>
      <c r="F87">
        <v>60</v>
      </c>
      <c r="G87" t="b">
        <v>1</v>
      </c>
      <c r="H87" t="b">
        <v>1</v>
      </c>
      <c r="I87" t="s">
        <v>73</v>
      </c>
      <c r="M87" t="s">
        <v>56</v>
      </c>
      <c r="N87" t="s">
        <v>57</v>
      </c>
      <c r="P87" t="s">
        <v>126</v>
      </c>
      <c r="Q87">
        <v>52</v>
      </c>
    </row>
    <row r="88" spans="1:17" x14ac:dyDescent="0.25">
      <c r="A88" t="s">
        <v>127</v>
      </c>
      <c r="B88" t="s">
        <v>75</v>
      </c>
      <c r="C88" t="s">
        <v>6</v>
      </c>
      <c r="D88" t="s">
        <v>6</v>
      </c>
      <c r="E88" t="s">
        <v>36</v>
      </c>
      <c r="F88">
        <v>37.5</v>
      </c>
      <c r="G88" t="b">
        <v>1</v>
      </c>
      <c r="H88" t="b">
        <v>1</v>
      </c>
      <c r="I88" t="s">
        <v>73</v>
      </c>
      <c r="M88" t="s">
        <v>56</v>
      </c>
      <c r="N88" t="s">
        <v>57</v>
      </c>
      <c r="P88" t="s">
        <v>128</v>
      </c>
      <c r="Q88">
        <v>51</v>
      </c>
    </row>
    <row r="89" spans="1:17" x14ac:dyDescent="0.25">
      <c r="A89" t="s">
        <v>131</v>
      </c>
      <c r="B89" t="s">
        <v>75</v>
      </c>
      <c r="C89" t="s">
        <v>6</v>
      </c>
      <c r="D89" t="s">
        <v>6</v>
      </c>
      <c r="E89" t="s">
        <v>35</v>
      </c>
      <c r="F89">
        <v>0</v>
      </c>
      <c r="G89" t="b">
        <v>1</v>
      </c>
      <c r="H89" t="b">
        <v>1</v>
      </c>
      <c r="I89" t="s">
        <v>73</v>
      </c>
      <c r="J89">
        <v>18</v>
      </c>
      <c r="K89">
        <v>18</v>
      </c>
      <c r="M89" t="s">
        <v>56</v>
      </c>
      <c r="N89" t="s">
        <v>57</v>
      </c>
      <c r="P89" t="s">
        <v>132</v>
      </c>
      <c r="Q89">
        <v>50</v>
      </c>
    </row>
    <row r="90" spans="1:17" x14ac:dyDescent="0.25">
      <c r="A90" t="s">
        <v>189</v>
      </c>
      <c r="B90" t="s">
        <v>75</v>
      </c>
      <c r="C90" t="s">
        <v>6</v>
      </c>
      <c r="D90" t="s">
        <v>6</v>
      </c>
      <c r="E90" t="s">
        <v>36</v>
      </c>
      <c r="F90">
        <v>52.5</v>
      </c>
      <c r="G90" t="b">
        <v>1</v>
      </c>
      <c r="H90" t="b">
        <v>1</v>
      </c>
      <c r="I90" t="s">
        <v>73</v>
      </c>
      <c r="M90" t="s">
        <v>56</v>
      </c>
      <c r="N90" t="s">
        <v>57</v>
      </c>
      <c r="P90" t="s">
        <v>190</v>
      </c>
      <c r="Q90">
        <v>49</v>
      </c>
    </row>
    <row r="91" spans="1:17" x14ac:dyDescent="0.25">
      <c r="A91" t="s">
        <v>193</v>
      </c>
      <c r="B91" t="s">
        <v>75</v>
      </c>
      <c r="C91" t="s">
        <v>7</v>
      </c>
      <c r="D91" t="s">
        <v>7</v>
      </c>
      <c r="E91" t="s">
        <v>36</v>
      </c>
      <c r="F91">
        <v>40</v>
      </c>
      <c r="G91" t="b">
        <v>1</v>
      </c>
      <c r="H91" t="b">
        <v>1</v>
      </c>
      <c r="I91" t="s">
        <v>73</v>
      </c>
      <c r="M91" t="s">
        <v>56</v>
      </c>
      <c r="N91" t="s">
        <v>57</v>
      </c>
      <c r="P91" t="s">
        <v>194</v>
      </c>
      <c r="Q91">
        <v>48</v>
      </c>
    </row>
    <row r="92" spans="1:17" x14ac:dyDescent="0.25">
      <c r="A92" t="s">
        <v>242</v>
      </c>
      <c r="B92" t="s">
        <v>75</v>
      </c>
      <c r="C92" t="s">
        <v>6</v>
      </c>
      <c r="D92" t="s">
        <v>6</v>
      </c>
      <c r="E92" t="s">
        <v>36</v>
      </c>
      <c r="F92">
        <v>22.5</v>
      </c>
      <c r="G92" t="b">
        <v>1</v>
      </c>
      <c r="H92" t="b">
        <v>1</v>
      </c>
      <c r="I92" t="s">
        <v>73</v>
      </c>
      <c r="M92" t="s">
        <v>56</v>
      </c>
      <c r="N92" t="s">
        <v>57</v>
      </c>
      <c r="P92" t="s">
        <v>243</v>
      </c>
      <c r="Q92">
        <v>47</v>
      </c>
    </row>
    <row r="93" spans="1:17" x14ac:dyDescent="0.25">
      <c r="A93" t="s">
        <v>244</v>
      </c>
      <c r="B93" t="s">
        <v>75</v>
      </c>
      <c r="C93" t="s">
        <v>58</v>
      </c>
      <c r="D93" t="s">
        <v>58</v>
      </c>
      <c r="E93" t="s">
        <v>35</v>
      </c>
      <c r="F93">
        <v>0</v>
      </c>
      <c r="G93" t="b">
        <v>1</v>
      </c>
      <c r="H93" t="b">
        <v>1</v>
      </c>
      <c r="I93" t="s">
        <v>73</v>
      </c>
      <c r="J93">
        <v>10</v>
      </c>
      <c r="K93">
        <v>10</v>
      </c>
      <c r="M93" t="s">
        <v>56</v>
      </c>
      <c r="N93" t="s">
        <v>57</v>
      </c>
      <c r="P93" t="s">
        <v>245</v>
      </c>
      <c r="Q93">
        <v>46</v>
      </c>
    </row>
    <row r="94" spans="1:17" x14ac:dyDescent="0.25">
      <c r="A94" t="s">
        <v>246</v>
      </c>
      <c r="B94" t="s">
        <v>75</v>
      </c>
      <c r="C94" t="s">
        <v>6</v>
      </c>
      <c r="D94" t="s">
        <v>6</v>
      </c>
      <c r="E94" t="s">
        <v>36</v>
      </c>
      <c r="F94">
        <v>60</v>
      </c>
      <c r="G94" t="b">
        <v>1</v>
      </c>
      <c r="H94" t="b">
        <v>1</v>
      </c>
      <c r="I94" t="s">
        <v>73</v>
      </c>
      <c r="M94" t="s">
        <v>56</v>
      </c>
      <c r="N94" t="s">
        <v>57</v>
      </c>
      <c r="P94" t="s">
        <v>247</v>
      </c>
      <c r="Q94">
        <v>45</v>
      </c>
    </row>
    <row r="95" spans="1:17" x14ac:dyDescent="0.25">
      <c r="A95" t="s">
        <v>249</v>
      </c>
      <c r="B95" t="s">
        <v>75</v>
      </c>
      <c r="C95" t="s">
        <v>6</v>
      </c>
      <c r="D95" t="s">
        <v>6</v>
      </c>
      <c r="E95" t="s">
        <v>36</v>
      </c>
      <c r="F95">
        <v>75</v>
      </c>
      <c r="G95" t="b">
        <v>1</v>
      </c>
      <c r="H95" t="b">
        <v>1</v>
      </c>
      <c r="I95" t="s">
        <v>73</v>
      </c>
      <c r="M95" t="s">
        <v>56</v>
      </c>
      <c r="N95" t="s">
        <v>57</v>
      </c>
      <c r="P95" t="s">
        <v>250</v>
      </c>
      <c r="Q95">
        <v>43</v>
      </c>
    </row>
    <row r="96" spans="1:17" x14ac:dyDescent="0.25">
      <c r="A96" t="s">
        <v>251</v>
      </c>
      <c r="B96" t="s">
        <v>75</v>
      </c>
      <c r="C96" t="s">
        <v>58</v>
      </c>
      <c r="D96" t="s">
        <v>58</v>
      </c>
      <c r="E96" t="s">
        <v>36</v>
      </c>
      <c r="F96">
        <v>22.5</v>
      </c>
      <c r="G96" t="b">
        <v>1</v>
      </c>
      <c r="H96" t="b">
        <v>0</v>
      </c>
      <c r="I96" t="s">
        <v>70</v>
      </c>
      <c r="M96" t="s">
        <v>56</v>
      </c>
      <c r="N96" t="s">
        <v>57</v>
      </c>
      <c r="P96" t="s">
        <v>252</v>
      </c>
      <c r="Q96">
        <v>42</v>
      </c>
    </row>
    <row r="97" spans="1:18" x14ac:dyDescent="0.25">
      <c r="A97" t="s">
        <v>255</v>
      </c>
      <c r="B97" t="s">
        <v>75</v>
      </c>
      <c r="C97" t="s">
        <v>6</v>
      </c>
      <c r="D97" t="s">
        <v>6</v>
      </c>
      <c r="E97" t="s">
        <v>36</v>
      </c>
      <c r="F97">
        <v>60</v>
      </c>
      <c r="G97" t="b">
        <v>1</v>
      </c>
      <c r="H97" t="b">
        <v>1</v>
      </c>
      <c r="I97" t="s">
        <v>73</v>
      </c>
      <c r="M97" t="s">
        <v>56</v>
      </c>
      <c r="N97" t="s">
        <v>57</v>
      </c>
      <c r="P97" t="s">
        <v>256</v>
      </c>
      <c r="Q97">
        <v>40</v>
      </c>
    </row>
    <row r="98" spans="1:18" x14ac:dyDescent="0.25">
      <c r="A98" t="s">
        <v>279</v>
      </c>
      <c r="B98" t="s">
        <v>75</v>
      </c>
      <c r="C98" t="s">
        <v>58</v>
      </c>
      <c r="D98" t="s">
        <v>58</v>
      </c>
      <c r="E98" t="s">
        <v>36</v>
      </c>
      <c r="F98">
        <v>60</v>
      </c>
      <c r="G98" t="b">
        <v>1</v>
      </c>
      <c r="H98" t="b">
        <v>1</v>
      </c>
      <c r="I98" t="s">
        <v>73</v>
      </c>
      <c r="M98" t="s">
        <v>56</v>
      </c>
      <c r="N98" t="s">
        <v>57</v>
      </c>
      <c r="P98" t="s">
        <v>301</v>
      </c>
      <c r="Q98">
        <v>41</v>
      </c>
    </row>
    <row r="99" spans="1:18" x14ac:dyDescent="0.25">
      <c r="A99" t="s">
        <v>257</v>
      </c>
      <c r="B99" t="s">
        <v>75</v>
      </c>
      <c r="C99" t="s">
        <v>7</v>
      </c>
      <c r="D99" t="s">
        <v>7</v>
      </c>
      <c r="E99" t="s">
        <v>35</v>
      </c>
      <c r="F99">
        <v>0</v>
      </c>
      <c r="G99" t="b">
        <v>1</v>
      </c>
      <c r="H99" t="b">
        <v>1</v>
      </c>
      <c r="I99" t="s">
        <v>73</v>
      </c>
      <c r="J99">
        <v>10</v>
      </c>
      <c r="K99">
        <v>10</v>
      </c>
      <c r="M99" t="s">
        <v>56</v>
      </c>
      <c r="N99" t="s">
        <v>57</v>
      </c>
      <c r="P99" t="s">
        <v>258</v>
      </c>
      <c r="Q99">
        <v>38</v>
      </c>
    </row>
    <row r="100" spans="1:18" x14ac:dyDescent="0.25">
      <c r="A100" t="s">
        <v>267</v>
      </c>
      <c r="B100" t="s">
        <v>75</v>
      </c>
      <c r="C100" t="s">
        <v>6</v>
      </c>
      <c r="D100" t="s">
        <v>6</v>
      </c>
      <c r="E100" t="s">
        <v>36</v>
      </c>
      <c r="F100">
        <v>60</v>
      </c>
      <c r="G100" t="b">
        <v>1</v>
      </c>
      <c r="H100" t="b">
        <v>1</v>
      </c>
      <c r="I100" t="s">
        <v>73</v>
      </c>
      <c r="M100" t="s">
        <v>56</v>
      </c>
      <c r="N100" t="s">
        <v>57</v>
      </c>
      <c r="P100" t="s">
        <v>268</v>
      </c>
      <c r="Q100">
        <v>37</v>
      </c>
    </row>
    <row r="101" spans="1:18" x14ac:dyDescent="0.25">
      <c r="A101" t="s">
        <v>263</v>
      </c>
      <c r="B101" t="s">
        <v>75</v>
      </c>
      <c r="C101" t="s">
        <v>58</v>
      </c>
      <c r="D101" t="s">
        <v>58</v>
      </c>
      <c r="E101" t="s">
        <v>36</v>
      </c>
      <c r="F101">
        <v>16</v>
      </c>
      <c r="G101" t="b">
        <v>1</v>
      </c>
      <c r="H101" t="b">
        <v>1</v>
      </c>
      <c r="I101" t="s">
        <v>73</v>
      </c>
      <c r="M101" t="s">
        <v>56</v>
      </c>
      <c r="N101" t="s">
        <v>57</v>
      </c>
      <c r="P101" t="s">
        <v>264</v>
      </c>
      <c r="Q101">
        <v>36</v>
      </c>
    </row>
    <row r="102" spans="1:18" x14ac:dyDescent="0.25">
      <c r="A102" t="s">
        <v>261</v>
      </c>
      <c r="B102" t="s">
        <v>75</v>
      </c>
      <c r="C102" t="s">
        <v>6</v>
      </c>
      <c r="D102" t="s">
        <v>6</v>
      </c>
      <c r="E102" t="s">
        <v>36</v>
      </c>
      <c r="F102">
        <v>22.5</v>
      </c>
      <c r="G102" t="b">
        <v>1</v>
      </c>
      <c r="H102" t="b">
        <v>1</v>
      </c>
      <c r="I102" t="s">
        <v>73</v>
      </c>
      <c r="M102" t="s">
        <v>56</v>
      </c>
      <c r="N102" t="s">
        <v>57</v>
      </c>
      <c r="P102" t="s">
        <v>262</v>
      </c>
      <c r="Q102">
        <v>35</v>
      </c>
    </row>
    <row r="103" spans="1:18" x14ac:dyDescent="0.25">
      <c r="A103" t="s">
        <v>259</v>
      </c>
      <c r="B103" t="s">
        <v>75</v>
      </c>
      <c r="C103" t="s">
        <v>6</v>
      </c>
      <c r="D103" t="s">
        <v>6</v>
      </c>
      <c r="E103" t="s">
        <v>36</v>
      </c>
      <c r="F103">
        <v>67.5</v>
      </c>
      <c r="G103" t="b">
        <v>1</v>
      </c>
      <c r="H103" t="b">
        <v>1</v>
      </c>
      <c r="I103" t="s">
        <v>73</v>
      </c>
      <c r="M103" t="s">
        <v>56</v>
      </c>
      <c r="N103" t="s">
        <v>57</v>
      </c>
      <c r="P103" t="s">
        <v>260</v>
      </c>
      <c r="Q103">
        <v>34</v>
      </c>
    </row>
    <row r="104" spans="1:18" x14ac:dyDescent="0.25">
      <c r="A104" t="s">
        <v>265</v>
      </c>
      <c r="B104" t="s">
        <v>75</v>
      </c>
      <c r="C104" t="s">
        <v>6</v>
      </c>
      <c r="D104" t="s">
        <v>6</v>
      </c>
      <c r="E104" t="s">
        <v>36</v>
      </c>
      <c r="F104">
        <v>67.5</v>
      </c>
      <c r="G104" t="b">
        <v>1</v>
      </c>
      <c r="H104" t="b">
        <v>1</v>
      </c>
      <c r="I104" t="s">
        <v>73</v>
      </c>
      <c r="M104" t="s">
        <v>56</v>
      </c>
      <c r="N104" t="s">
        <v>57</v>
      </c>
      <c r="P104" t="s">
        <v>266</v>
      </c>
      <c r="Q104">
        <v>39</v>
      </c>
    </row>
    <row r="105" spans="1:18" x14ac:dyDescent="0.25">
      <c r="A105" t="s">
        <v>191</v>
      </c>
      <c r="B105" t="s">
        <v>75</v>
      </c>
      <c r="C105" t="s">
        <v>6</v>
      </c>
      <c r="D105" t="s">
        <v>6</v>
      </c>
      <c r="E105" t="s">
        <v>35</v>
      </c>
      <c r="F105">
        <v>0</v>
      </c>
      <c r="G105" t="b">
        <v>1</v>
      </c>
      <c r="H105" t="b">
        <v>1</v>
      </c>
      <c r="I105" t="s">
        <v>73</v>
      </c>
      <c r="J105">
        <v>16</v>
      </c>
      <c r="K105">
        <v>16</v>
      </c>
      <c r="M105" t="s">
        <v>56</v>
      </c>
      <c r="N105" t="s">
        <v>57</v>
      </c>
      <c r="P105" t="s">
        <v>192</v>
      </c>
      <c r="Q105">
        <v>113</v>
      </c>
    </row>
    <row r="106" spans="1:18" x14ac:dyDescent="0.25">
      <c r="A106" t="s">
        <v>92</v>
      </c>
      <c r="B106" t="s">
        <v>75</v>
      </c>
      <c r="C106" t="s">
        <v>6</v>
      </c>
      <c r="D106" t="s">
        <v>6</v>
      </c>
      <c r="E106" t="s">
        <v>36</v>
      </c>
      <c r="F106">
        <v>16</v>
      </c>
      <c r="G106" t="b">
        <v>0</v>
      </c>
      <c r="H106" t="b">
        <v>1</v>
      </c>
      <c r="I106" t="s">
        <v>71</v>
      </c>
      <c r="M106" t="s">
        <v>56</v>
      </c>
      <c r="N106" t="s">
        <v>57</v>
      </c>
      <c r="P106" t="s">
        <v>302</v>
      </c>
      <c r="Q106">
        <v>72</v>
      </c>
      <c r="R106" t="s">
        <v>10</v>
      </c>
    </row>
    <row r="107" spans="1:18" x14ac:dyDescent="0.25">
      <c r="A107" t="s">
        <v>213</v>
      </c>
      <c r="B107" t="s">
        <v>75</v>
      </c>
      <c r="C107" t="s">
        <v>58</v>
      </c>
      <c r="D107" t="s">
        <v>58</v>
      </c>
      <c r="E107" t="s">
        <v>36</v>
      </c>
      <c r="F107">
        <v>72</v>
      </c>
      <c r="G107" t="b">
        <v>0</v>
      </c>
      <c r="H107" t="b">
        <v>1</v>
      </c>
      <c r="I107" t="s">
        <v>71</v>
      </c>
      <c r="M107" t="s">
        <v>56</v>
      </c>
      <c r="N107" t="s">
        <v>57</v>
      </c>
      <c r="P107" t="s">
        <v>303</v>
      </c>
      <c r="Q107">
        <v>30</v>
      </c>
      <c r="R107" t="s">
        <v>10</v>
      </c>
    </row>
    <row r="108" spans="1:18" x14ac:dyDescent="0.25">
      <c r="A108" t="s">
        <v>230</v>
      </c>
      <c r="B108" t="s">
        <v>75</v>
      </c>
      <c r="C108" t="s">
        <v>6</v>
      </c>
      <c r="D108" t="s">
        <v>6</v>
      </c>
      <c r="E108" t="s">
        <v>36</v>
      </c>
      <c r="F108">
        <v>60</v>
      </c>
      <c r="G108" t="b">
        <v>0</v>
      </c>
      <c r="H108" t="b">
        <v>1</v>
      </c>
      <c r="I108" t="s">
        <v>71</v>
      </c>
      <c r="M108" t="s">
        <v>56</v>
      </c>
      <c r="N108" t="s">
        <v>57</v>
      </c>
      <c r="P108" t="s">
        <v>304</v>
      </c>
      <c r="Q108">
        <v>18</v>
      </c>
      <c r="R108" t="s">
        <v>10</v>
      </c>
    </row>
    <row r="109" spans="1:18" x14ac:dyDescent="0.25">
      <c r="A109" t="s">
        <v>248</v>
      </c>
      <c r="B109" t="s">
        <v>75</v>
      </c>
      <c r="C109" t="s">
        <v>6</v>
      </c>
      <c r="D109" t="s">
        <v>6</v>
      </c>
      <c r="E109" t="s">
        <v>35</v>
      </c>
      <c r="F109">
        <v>0</v>
      </c>
      <c r="G109" t="b">
        <v>0</v>
      </c>
      <c r="H109" t="b">
        <v>1</v>
      </c>
      <c r="I109" t="s">
        <v>71</v>
      </c>
      <c r="J109">
        <v>10</v>
      </c>
      <c r="K109">
        <v>10</v>
      </c>
      <c r="M109" t="s">
        <v>56</v>
      </c>
      <c r="N109" t="s">
        <v>57</v>
      </c>
      <c r="P109" t="s">
        <v>305</v>
      </c>
      <c r="Q109">
        <v>44</v>
      </c>
      <c r="R109" t="s">
        <v>10</v>
      </c>
    </row>
    <row r="110" spans="1:18" x14ac:dyDescent="0.25">
      <c r="A110" t="s">
        <v>280</v>
      </c>
      <c r="B110" t="s">
        <v>75</v>
      </c>
      <c r="C110" t="s">
        <v>6</v>
      </c>
      <c r="D110" t="s">
        <v>6</v>
      </c>
      <c r="E110" t="s">
        <v>36</v>
      </c>
      <c r="F110">
        <v>30</v>
      </c>
      <c r="G110" t="b">
        <v>0</v>
      </c>
      <c r="H110" t="b">
        <v>1</v>
      </c>
      <c r="I110" t="s">
        <v>71</v>
      </c>
      <c r="M110" t="s">
        <v>56</v>
      </c>
      <c r="N110" t="s">
        <v>57</v>
      </c>
      <c r="P110" t="s">
        <v>281</v>
      </c>
      <c r="Q110">
        <v>75</v>
      </c>
      <c r="R110" t="s">
        <v>10</v>
      </c>
    </row>
    <row r="111" spans="1:18" x14ac:dyDescent="0.25">
      <c r="A111" t="s">
        <v>241</v>
      </c>
      <c r="B111" t="s">
        <v>75</v>
      </c>
      <c r="C111" t="s">
        <v>6</v>
      </c>
      <c r="D111" t="s">
        <v>6</v>
      </c>
      <c r="E111" t="s">
        <v>36</v>
      </c>
      <c r="F111">
        <v>37.5</v>
      </c>
      <c r="G111" t="b">
        <v>0</v>
      </c>
      <c r="H111" t="b">
        <v>1</v>
      </c>
      <c r="I111" t="s">
        <v>71</v>
      </c>
      <c r="M111" t="s">
        <v>56</v>
      </c>
      <c r="N111" t="s">
        <v>57</v>
      </c>
      <c r="P111" t="s">
        <v>306</v>
      </c>
      <c r="Q111">
        <v>33</v>
      </c>
      <c r="R111" t="s">
        <v>10</v>
      </c>
    </row>
    <row r="112" spans="1:18" x14ac:dyDescent="0.25">
      <c r="A112" t="s">
        <v>275</v>
      </c>
      <c r="B112" t="s">
        <v>75</v>
      </c>
      <c r="C112" t="s">
        <v>6</v>
      </c>
      <c r="D112" t="s">
        <v>6</v>
      </c>
      <c r="E112" t="s">
        <v>36</v>
      </c>
      <c r="F112">
        <v>45</v>
      </c>
      <c r="G112" t="b">
        <v>0</v>
      </c>
      <c r="H112" t="b">
        <v>1</v>
      </c>
      <c r="I112" t="s">
        <v>71</v>
      </c>
      <c r="M112" t="s">
        <v>56</v>
      </c>
      <c r="N112" t="s">
        <v>57</v>
      </c>
      <c r="P112" t="s">
        <v>276</v>
      </c>
      <c r="Q112">
        <v>80</v>
      </c>
      <c r="R112" t="s">
        <v>10</v>
      </c>
    </row>
    <row r="113" spans="1:18" x14ac:dyDescent="0.25">
      <c r="A113" t="s">
        <v>307</v>
      </c>
      <c r="B113" t="s">
        <v>75</v>
      </c>
      <c r="C113" t="s">
        <v>6</v>
      </c>
      <c r="D113" t="s">
        <v>6</v>
      </c>
      <c r="E113" t="s">
        <v>35</v>
      </c>
      <c r="F113">
        <v>0</v>
      </c>
      <c r="G113" t="b">
        <v>0</v>
      </c>
      <c r="H113" t="b">
        <v>1</v>
      </c>
      <c r="I113" t="s">
        <v>71</v>
      </c>
      <c r="K113">
        <v>20</v>
      </c>
      <c r="L113" t="s">
        <v>308</v>
      </c>
      <c r="M113" t="s">
        <v>56</v>
      </c>
      <c r="N113" t="s">
        <v>57</v>
      </c>
      <c r="P113" t="s">
        <v>309</v>
      </c>
      <c r="Q113">
        <v>32</v>
      </c>
      <c r="R113" t="s">
        <v>10</v>
      </c>
    </row>
    <row r="114" spans="1:18" x14ac:dyDescent="0.25">
      <c r="A114" t="s">
        <v>277</v>
      </c>
      <c r="B114" t="s">
        <v>75</v>
      </c>
      <c r="C114" t="s">
        <v>6</v>
      </c>
      <c r="D114" t="s">
        <v>6</v>
      </c>
      <c r="E114" t="s">
        <v>35</v>
      </c>
      <c r="F114">
        <v>0</v>
      </c>
      <c r="G114" t="b">
        <v>0</v>
      </c>
      <c r="H114" t="b">
        <v>1</v>
      </c>
      <c r="I114" t="s">
        <v>71</v>
      </c>
      <c r="J114">
        <v>8</v>
      </c>
      <c r="K114">
        <v>8</v>
      </c>
      <c r="M114" t="s">
        <v>56</v>
      </c>
      <c r="N114" t="s">
        <v>57</v>
      </c>
      <c r="P114" t="s">
        <v>278</v>
      </c>
      <c r="Q114">
        <v>112</v>
      </c>
      <c r="R114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10FF-EE9B-494F-8D6E-9377B4E18B38}">
  <sheetPr>
    <tabColor theme="5"/>
  </sheetPr>
  <dimension ref="A1:M11"/>
  <sheetViews>
    <sheetView workbookViewId="0">
      <selection activeCell="G33" sqref="G33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21.7109375" bestFit="1" customWidth="1"/>
    <col min="5" max="5" width="23.140625" bestFit="1" customWidth="1"/>
    <col min="6" max="6" width="22.7109375" bestFit="1" customWidth="1"/>
    <col min="7" max="7" width="10" bestFit="1" customWidth="1"/>
    <col min="8" max="8" width="30.140625" bestFit="1" customWidth="1"/>
    <col min="9" max="9" width="26.140625" bestFit="1" customWidth="1"/>
    <col min="10" max="10" width="10.7109375" bestFit="1" customWidth="1"/>
    <col min="11" max="11" width="33.28515625" bestFit="1" customWidth="1"/>
    <col min="12" max="12" width="18" bestFit="1" customWidth="1"/>
    <col min="13" max="13" width="15.7109375" bestFit="1" customWidth="1"/>
  </cols>
  <sheetData>
    <row r="1" spans="1:13" x14ac:dyDescent="0.25">
      <c r="A1" t="s">
        <v>21</v>
      </c>
      <c r="B1" t="s">
        <v>0</v>
      </c>
      <c r="C1" t="s">
        <v>1</v>
      </c>
      <c r="D1" t="s">
        <v>25</v>
      </c>
      <c r="E1" t="s">
        <v>55</v>
      </c>
      <c r="F1" t="s">
        <v>54</v>
      </c>
      <c r="G1" t="s">
        <v>53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9</v>
      </c>
    </row>
    <row r="2" spans="1:13" x14ac:dyDescent="0.25">
      <c r="H2" t="s">
        <v>304</v>
      </c>
      <c r="I2" t="s">
        <v>6</v>
      </c>
      <c r="J2" t="s">
        <v>64</v>
      </c>
      <c r="K2" t="s">
        <v>304</v>
      </c>
      <c r="L2" t="s">
        <v>6</v>
      </c>
      <c r="M2" t="s">
        <v>10</v>
      </c>
    </row>
    <row r="3" spans="1:13" x14ac:dyDescent="0.25">
      <c r="H3" t="s">
        <v>303</v>
      </c>
      <c r="I3" t="s">
        <v>58</v>
      </c>
      <c r="J3" t="s">
        <v>64</v>
      </c>
      <c r="K3" t="s">
        <v>303</v>
      </c>
      <c r="L3" t="s">
        <v>58</v>
      </c>
      <c r="M3" t="s">
        <v>10</v>
      </c>
    </row>
    <row r="4" spans="1:13" x14ac:dyDescent="0.25">
      <c r="H4" t="s">
        <v>309</v>
      </c>
      <c r="I4" t="s">
        <v>6</v>
      </c>
      <c r="J4" t="s">
        <v>64</v>
      </c>
      <c r="K4" t="s">
        <v>309</v>
      </c>
      <c r="L4" t="s">
        <v>6</v>
      </c>
      <c r="M4" t="s">
        <v>10</v>
      </c>
    </row>
    <row r="5" spans="1:13" x14ac:dyDescent="0.25">
      <c r="H5" t="s">
        <v>306</v>
      </c>
      <c r="I5" t="s">
        <v>6</v>
      </c>
      <c r="J5" t="s">
        <v>64</v>
      </c>
      <c r="K5" t="s">
        <v>306</v>
      </c>
      <c r="L5" t="s">
        <v>6</v>
      </c>
      <c r="M5" t="s">
        <v>10</v>
      </c>
    </row>
    <row r="6" spans="1:13" x14ac:dyDescent="0.25">
      <c r="H6" t="s">
        <v>305</v>
      </c>
      <c r="I6" t="s">
        <v>6</v>
      </c>
      <c r="J6" t="s">
        <v>64</v>
      </c>
      <c r="K6" t="s">
        <v>305</v>
      </c>
      <c r="L6" t="s">
        <v>6</v>
      </c>
      <c r="M6" t="s">
        <v>10</v>
      </c>
    </row>
    <row r="7" spans="1:13" x14ac:dyDescent="0.25">
      <c r="H7" t="s">
        <v>302</v>
      </c>
      <c r="I7" t="s">
        <v>6</v>
      </c>
      <c r="J7" t="s">
        <v>64</v>
      </c>
      <c r="K7" t="s">
        <v>302</v>
      </c>
      <c r="L7" t="s">
        <v>6</v>
      </c>
      <c r="M7" t="s">
        <v>10</v>
      </c>
    </row>
    <row r="8" spans="1:13" x14ac:dyDescent="0.25">
      <c r="H8" t="s">
        <v>281</v>
      </c>
      <c r="I8" t="s">
        <v>6</v>
      </c>
      <c r="J8" t="s">
        <v>64</v>
      </c>
      <c r="K8" t="s">
        <v>281</v>
      </c>
      <c r="L8" t="s">
        <v>6</v>
      </c>
      <c r="M8" t="s">
        <v>10</v>
      </c>
    </row>
    <row r="9" spans="1:13" x14ac:dyDescent="0.25">
      <c r="H9" t="s">
        <v>276</v>
      </c>
      <c r="I9" t="s">
        <v>6</v>
      </c>
      <c r="J9" t="s">
        <v>64</v>
      </c>
      <c r="K9" t="s">
        <v>276</v>
      </c>
      <c r="L9" t="s">
        <v>6</v>
      </c>
      <c r="M9" t="s">
        <v>10</v>
      </c>
    </row>
    <row r="10" spans="1:13" x14ac:dyDescent="0.25">
      <c r="H10" t="s">
        <v>278</v>
      </c>
      <c r="I10" t="s">
        <v>6</v>
      </c>
      <c r="J10" t="s">
        <v>64</v>
      </c>
      <c r="K10" t="s">
        <v>278</v>
      </c>
      <c r="L10" t="s">
        <v>6</v>
      </c>
      <c r="M10" t="s">
        <v>10</v>
      </c>
    </row>
    <row r="11" spans="1:13" x14ac:dyDescent="0.25">
      <c r="A11" t="s">
        <v>294</v>
      </c>
      <c r="B11" t="s">
        <v>310</v>
      </c>
      <c r="C11" t="s">
        <v>58</v>
      </c>
      <c r="D11">
        <v>32</v>
      </c>
      <c r="F11" t="s">
        <v>57</v>
      </c>
      <c r="G11" t="s">
        <v>311</v>
      </c>
      <c r="H11" t="s">
        <v>295</v>
      </c>
      <c r="I11" t="s">
        <v>7</v>
      </c>
      <c r="J11" t="s">
        <v>64</v>
      </c>
      <c r="K11" t="s">
        <v>312</v>
      </c>
      <c r="L11" t="s">
        <v>313</v>
      </c>
      <c r="M11" t="s">
        <v>314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sheetPr>
    <tabColor theme="5"/>
  </sheetPr>
  <dimension ref="A1:AA114"/>
  <sheetViews>
    <sheetView tabSelected="1" topLeftCell="A73" workbookViewId="0">
      <selection activeCell="F117" sqref="F117:F118"/>
    </sheetView>
  </sheetViews>
  <sheetFormatPr defaultRowHeight="15" x14ac:dyDescent="0.25"/>
  <cols>
    <col min="1" max="1" width="30.14062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14.42578125" bestFit="1" customWidth="1"/>
    <col min="11" max="11" width="12.42578125" bestFit="1" customWidth="1"/>
    <col min="12" max="12" width="22.140625" bestFit="1" customWidth="1"/>
    <col min="13" max="13" width="22.7109375" bestFit="1" customWidth="1"/>
    <col min="14" max="14" width="23.140625" bestFit="1" customWidth="1"/>
    <col min="15" max="15" width="17.28515625" bestFit="1" customWidth="1"/>
    <col min="16" max="16" width="21.7109375" bestFit="1" customWidth="1"/>
    <col min="17" max="17" width="13.5703125" bestFit="1" customWidth="1"/>
    <col min="18" max="18" width="12.7109375" bestFit="1" customWidth="1"/>
    <col min="19" max="19" width="18.5703125" bestFit="1" customWidth="1"/>
    <col min="20" max="20" width="25.140625" bestFit="1" customWidth="1"/>
    <col min="21" max="21" width="28" bestFit="1" customWidth="1"/>
    <col min="22" max="22" width="18.5703125" bestFit="1" customWidth="1"/>
    <col min="23" max="23" width="25.5703125" bestFit="1" customWidth="1"/>
    <col min="24" max="24" width="19.7109375" bestFit="1" customWidth="1"/>
    <col min="25" max="25" width="32.7109375" bestFit="1" customWidth="1"/>
    <col min="26" max="26" width="19.5703125" bestFit="1" customWidth="1"/>
    <col min="27" max="27" width="11" bestFit="1" customWidth="1"/>
    <col min="28" max="28" width="28" bestFit="1" customWidth="1"/>
    <col min="29" max="29" width="8.42578125" bestFit="1" customWidth="1"/>
    <col min="30" max="30" width="13.28515625" customWidth="1"/>
    <col min="31" max="31" width="11.42578125" bestFit="1" customWidth="1"/>
    <col min="32" max="33" width="13.28515625" bestFit="1" customWidth="1"/>
    <col min="34" max="34" width="10.85546875" customWidth="1"/>
    <col min="35" max="35" width="13.28515625" bestFit="1" customWidth="1"/>
  </cols>
  <sheetData>
    <row r="1" spans="1:27" x14ac:dyDescent="0.25">
      <c r="A1" t="s">
        <v>0</v>
      </c>
      <c r="B1" t="s">
        <v>1</v>
      </c>
      <c r="C1" t="s">
        <v>5</v>
      </c>
      <c r="D1" t="s">
        <v>9</v>
      </c>
      <c r="E1" t="s">
        <v>53</v>
      </c>
      <c r="F1" t="s">
        <v>21</v>
      </c>
      <c r="G1" t="s">
        <v>22</v>
      </c>
      <c r="H1" t="s">
        <v>24</v>
      </c>
      <c r="I1" t="s">
        <v>23</v>
      </c>
      <c r="J1" t="s">
        <v>66</v>
      </c>
      <c r="K1" t="s">
        <v>67</v>
      </c>
      <c r="L1" t="s">
        <v>68</v>
      </c>
      <c r="M1" t="s">
        <v>54</v>
      </c>
      <c r="N1" t="s">
        <v>55</v>
      </c>
      <c r="O1" t="s">
        <v>69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AA1" t="s">
        <v>2</v>
      </c>
    </row>
    <row r="2" spans="1:27" x14ac:dyDescent="0.25">
      <c r="A2" t="s">
        <v>299</v>
      </c>
      <c r="B2" t="s">
        <v>6</v>
      </c>
      <c r="C2">
        <v>2</v>
      </c>
      <c r="E2" t="s">
        <v>56</v>
      </c>
      <c r="F2" t="s">
        <v>298</v>
      </c>
      <c r="G2" t="s">
        <v>75</v>
      </c>
      <c r="H2" t="s">
        <v>35</v>
      </c>
      <c r="I2" t="s">
        <v>6</v>
      </c>
      <c r="J2" t="b">
        <v>1</v>
      </c>
      <c r="K2" t="b">
        <v>1</v>
      </c>
      <c r="L2" t="s">
        <v>73</v>
      </c>
      <c r="M2" t="s">
        <v>57</v>
      </c>
      <c r="O2" t="s">
        <v>315</v>
      </c>
      <c r="Q2" s="10">
        <v>46293</v>
      </c>
      <c r="R2" s="10">
        <v>46320</v>
      </c>
      <c r="S2">
        <v>2</v>
      </c>
      <c r="W2">
        <v>20</v>
      </c>
      <c r="X2">
        <v>8</v>
      </c>
      <c r="Y2" t="s">
        <v>316</v>
      </c>
    </row>
    <row r="3" spans="1:27" x14ac:dyDescent="0.25">
      <c r="A3" t="s">
        <v>236</v>
      </c>
      <c r="B3" t="s">
        <v>6</v>
      </c>
      <c r="C3">
        <v>13</v>
      </c>
      <c r="E3" t="s">
        <v>56</v>
      </c>
      <c r="F3" t="s">
        <v>235</v>
      </c>
      <c r="G3" t="s">
        <v>75</v>
      </c>
      <c r="H3" t="s">
        <v>35</v>
      </c>
      <c r="I3" t="s">
        <v>6</v>
      </c>
      <c r="J3" t="b">
        <v>1</v>
      </c>
      <c r="K3" t="b">
        <v>1</v>
      </c>
      <c r="L3" t="s">
        <v>73</v>
      </c>
      <c r="M3" t="s">
        <v>57</v>
      </c>
      <c r="O3" t="s">
        <v>315</v>
      </c>
      <c r="Q3" s="10">
        <v>46293</v>
      </c>
      <c r="R3" s="10">
        <v>46320</v>
      </c>
      <c r="S3">
        <v>2</v>
      </c>
      <c r="W3">
        <v>20</v>
      </c>
      <c r="X3">
        <v>10</v>
      </c>
      <c r="Y3" t="s">
        <v>316</v>
      </c>
    </row>
    <row r="4" spans="1:27" x14ac:dyDescent="0.25">
      <c r="A4" t="s">
        <v>223</v>
      </c>
      <c r="B4" t="s">
        <v>6</v>
      </c>
      <c r="C4">
        <v>22</v>
      </c>
      <c r="E4" t="s">
        <v>56</v>
      </c>
      <c r="F4" t="s">
        <v>222</v>
      </c>
      <c r="G4" t="s">
        <v>75</v>
      </c>
      <c r="H4" t="s">
        <v>35</v>
      </c>
      <c r="I4" t="s">
        <v>6</v>
      </c>
      <c r="J4" t="b">
        <v>1</v>
      </c>
      <c r="K4" t="b">
        <v>1</v>
      </c>
      <c r="L4" t="s">
        <v>73</v>
      </c>
      <c r="M4" t="s">
        <v>57</v>
      </c>
      <c r="O4" t="s">
        <v>315</v>
      </c>
      <c r="Q4" s="10">
        <v>46293</v>
      </c>
      <c r="R4" s="10">
        <v>46320</v>
      </c>
      <c r="S4">
        <v>2</v>
      </c>
      <c r="W4">
        <v>20</v>
      </c>
      <c r="X4">
        <v>14</v>
      </c>
      <c r="Y4" t="s">
        <v>316</v>
      </c>
    </row>
    <row r="5" spans="1:27" x14ac:dyDescent="0.25">
      <c r="A5" t="s">
        <v>300</v>
      </c>
      <c r="B5" t="s">
        <v>6</v>
      </c>
      <c r="C5">
        <v>28</v>
      </c>
      <c r="E5" t="s">
        <v>56</v>
      </c>
      <c r="F5" t="s">
        <v>282</v>
      </c>
      <c r="G5" t="s">
        <v>75</v>
      </c>
      <c r="H5" t="s">
        <v>35</v>
      </c>
      <c r="I5" t="s">
        <v>6</v>
      </c>
      <c r="J5" t="b">
        <v>1</v>
      </c>
      <c r="K5" t="b">
        <v>1</v>
      </c>
      <c r="L5" t="s">
        <v>73</v>
      </c>
      <c r="M5" t="s">
        <v>57</v>
      </c>
      <c r="O5" t="s">
        <v>315</v>
      </c>
      <c r="Q5" s="10">
        <v>46293</v>
      </c>
      <c r="R5" s="10">
        <v>46320</v>
      </c>
      <c r="S5">
        <v>2</v>
      </c>
      <c r="W5">
        <v>20</v>
      </c>
      <c r="X5">
        <v>10</v>
      </c>
      <c r="Y5" t="s">
        <v>316</v>
      </c>
    </row>
    <row r="6" spans="1:27" x14ac:dyDescent="0.25">
      <c r="A6" t="s">
        <v>309</v>
      </c>
      <c r="B6" t="s">
        <v>6</v>
      </c>
      <c r="C6">
        <v>32</v>
      </c>
      <c r="D6" t="s">
        <v>10</v>
      </c>
      <c r="E6" t="s">
        <v>56</v>
      </c>
      <c r="F6" t="s">
        <v>307</v>
      </c>
      <c r="G6" t="s">
        <v>75</v>
      </c>
      <c r="H6" t="s">
        <v>35</v>
      </c>
      <c r="I6" t="s">
        <v>6</v>
      </c>
      <c r="J6" t="b">
        <v>0</v>
      </c>
      <c r="K6" t="b">
        <v>1</v>
      </c>
      <c r="L6" t="s">
        <v>71</v>
      </c>
      <c r="M6" t="s">
        <v>57</v>
      </c>
      <c r="O6" t="s">
        <v>315</v>
      </c>
      <c r="Q6" s="10">
        <v>46293</v>
      </c>
      <c r="R6" s="10">
        <v>46320</v>
      </c>
      <c r="S6">
        <v>2</v>
      </c>
      <c r="W6">
        <v>20</v>
      </c>
      <c r="X6">
        <v>20</v>
      </c>
      <c r="Y6" t="s">
        <v>317</v>
      </c>
    </row>
    <row r="7" spans="1:27" x14ac:dyDescent="0.25">
      <c r="A7" t="s">
        <v>258</v>
      </c>
      <c r="B7" t="s">
        <v>7</v>
      </c>
      <c r="C7">
        <v>38</v>
      </c>
      <c r="E7" t="s">
        <v>56</v>
      </c>
      <c r="F7" t="s">
        <v>257</v>
      </c>
      <c r="G7" t="s">
        <v>75</v>
      </c>
      <c r="H7" t="s">
        <v>35</v>
      </c>
      <c r="I7" t="s">
        <v>7</v>
      </c>
      <c r="J7" t="b">
        <v>1</v>
      </c>
      <c r="K7" t="b">
        <v>1</v>
      </c>
      <c r="L7" t="s">
        <v>73</v>
      </c>
      <c r="M7" t="s">
        <v>57</v>
      </c>
      <c r="O7" t="s">
        <v>315</v>
      </c>
      <c r="Q7" s="10">
        <v>46293</v>
      </c>
      <c r="R7" s="10">
        <v>46320</v>
      </c>
      <c r="S7">
        <v>2</v>
      </c>
      <c r="W7">
        <v>20</v>
      </c>
      <c r="X7">
        <v>10</v>
      </c>
      <c r="Y7" t="s">
        <v>316</v>
      </c>
    </row>
    <row r="8" spans="1:27" x14ac:dyDescent="0.25">
      <c r="A8" t="s">
        <v>305</v>
      </c>
      <c r="B8" t="s">
        <v>6</v>
      </c>
      <c r="C8">
        <v>44</v>
      </c>
      <c r="D8" t="s">
        <v>10</v>
      </c>
      <c r="E8" t="s">
        <v>56</v>
      </c>
      <c r="F8" t="s">
        <v>248</v>
      </c>
      <c r="G8" t="s">
        <v>75</v>
      </c>
      <c r="H8" t="s">
        <v>35</v>
      </c>
      <c r="I8" t="s">
        <v>6</v>
      </c>
      <c r="J8" t="b">
        <v>0</v>
      </c>
      <c r="K8" t="b">
        <v>1</v>
      </c>
      <c r="L8" t="s">
        <v>71</v>
      </c>
      <c r="M8" t="s">
        <v>57</v>
      </c>
      <c r="O8" t="s">
        <v>315</v>
      </c>
      <c r="Q8" s="10">
        <v>46293</v>
      </c>
      <c r="R8" s="10">
        <v>46320</v>
      </c>
      <c r="S8">
        <v>2</v>
      </c>
      <c r="W8">
        <v>20</v>
      </c>
      <c r="X8">
        <v>10</v>
      </c>
      <c r="Y8" t="s">
        <v>316</v>
      </c>
    </row>
    <row r="9" spans="1:27" x14ac:dyDescent="0.25">
      <c r="A9" t="s">
        <v>245</v>
      </c>
      <c r="B9" t="s">
        <v>58</v>
      </c>
      <c r="C9">
        <v>46</v>
      </c>
      <c r="E9" t="s">
        <v>56</v>
      </c>
      <c r="F9" t="s">
        <v>244</v>
      </c>
      <c r="G9" t="s">
        <v>75</v>
      </c>
      <c r="H9" t="s">
        <v>35</v>
      </c>
      <c r="I9" t="s">
        <v>58</v>
      </c>
      <c r="J9" t="b">
        <v>1</v>
      </c>
      <c r="K9" t="b">
        <v>1</v>
      </c>
      <c r="L9" t="s">
        <v>73</v>
      </c>
      <c r="M9" t="s">
        <v>57</v>
      </c>
      <c r="O9" t="s">
        <v>315</v>
      </c>
      <c r="Q9" s="10">
        <v>46293</v>
      </c>
      <c r="R9" s="10">
        <v>46320</v>
      </c>
      <c r="S9">
        <v>2</v>
      </c>
      <c r="W9">
        <v>20</v>
      </c>
      <c r="X9">
        <v>10</v>
      </c>
      <c r="Y9" t="s">
        <v>316</v>
      </c>
    </row>
    <row r="10" spans="1:27" x14ac:dyDescent="0.25">
      <c r="A10" t="s">
        <v>132</v>
      </c>
      <c r="B10" t="s">
        <v>6</v>
      </c>
      <c r="C10">
        <v>50</v>
      </c>
      <c r="E10" t="s">
        <v>56</v>
      </c>
      <c r="F10" t="s">
        <v>131</v>
      </c>
      <c r="G10" t="s">
        <v>75</v>
      </c>
      <c r="H10" t="s">
        <v>35</v>
      </c>
      <c r="I10" t="s">
        <v>6</v>
      </c>
      <c r="J10" t="b">
        <v>1</v>
      </c>
      <c r="K10" t="b">
        <v>1</v>
      </c>
      <c r="L10" t="s">
        <v>73</v>
      </c>
      <c r="M10" t="s">
        <v>57</v>
      </c>
      <c r="O10" t="s">
        <v>315</v>
      </c>
      <c r="Q10" s="10">
        <v>46293</v>
      </c>
      <c r="R10" s="10">
        <v>46320</v>
      </c>
      <c r="S10">
        <v>2</v>
      </c>
      <c r="W10">
        <v>20</v>
      </c>
      <c r="X10">
        <v>18</v>
      </c>
      <c r="Y10" t="s">
        <v>316</v>
      </c>
    </row>
    <row r="11" spans="1:27" x14ac:dyDescent="0.25">
      <c r="A11" t="s">
        <v>291</v>
      </c>
      <c r="B11" t="s">
        <v>7</v>
      </c>
      <c r="C11">
        <v>68</v>
      </c>
      <c r="E11" t="s">
        <v>56</v>
      </c>
      <c r="F11" t="s">
        <v>290</v>
      </c>
      <c r="G11" t="s">
        <v>75</v>
      </c>
      <c r="H11" t="s">
        <v>35</v>
      </c>
      <c r="I11" t="s">
        <v>7</v>
      </c>
      <c r="J11" t="b">
        <v>1</v>
      </c>
      <c r="K11" t="b">
        <v>0</v>
      </c>
      <c r="L11" t="s">
        <v>70</v>
      </c>
      <c r="M11" t="s">
        <v>57</v>
      </c>
      <c r="O11" t="s">
        <v>315</v>
      </c>
      <c r="Q11" s="10">
        <v>46293</v>
      </c>
      <c r="R11" s="10">
        <v>46320</v>
      </c>
      <c r="S11">
        <v>2</v>
      </c>
      <c r="W11">
        <v>20</v>
      </c>
      <c r="X11">
        <v>10</v>
      </c>
      <c r="Y11" t="s">
        <v>316</v>
      </c>
    </row>
    <row r="12" spans="1:27" x14ac:dyDescent="0.25">
      <c r="A12" t="s">
        <v>102</v>
      </c>
      <c r="B12" t="s">
        <v>6</v>
      </c>
      <c r="C12">
        <v>82</v>
      </c>
      <c r="E12" t="s">
        <v>56</v>
      </c>
      <c r="F12" t="s">
        <v>101</v>
      </c>
      <c r="G12" t="s">
        <v>75</v>
      </c>
      <c r="H12" t="s">
        <v>35</v>
      </c>
      <c r="I12" t="s">
        <v>6</v>
      </c>
      <c r="J12" t="b">
        <v>1</v>
      </c>
      <c r="K12" t="b">
        <v>1</v>
      </c>
      <c r="L12" t="s">
        <v>73</v>
      </c>
      <c r="M12" t="s">
        <v>57</v>
      </c>
      <c r="O12" t="s">
        <v>315</v>
      </c>
      <c r="Q12" s="10">
        <v>46293</v>
      </c>
      <c r="R12" s="10">
        <v>46320</v>
      </c>
      <c r="S12">
        <v>2</v>
      </c>
      <c r="W12">
        <v>20</v>
      </c>
      <c r="X12">
        <v>18</v>
      </c>
      <c r="Y12" t="s">
        <v>316</v>
      </c>
    </row>
    <row r="13" spans="1:27" x14ac:dyDescent="0.25">
      <c r="A13" t="s">
        <v>293</v>
      </c>
      <c r="B13" t="s">
        <v>6</v>
      </c>
      <c r="C13">
        <v>98</v>
      </c>
      <c r="E13" t="s">
        <v>56</v>
      </c>
      <c r="F13" t="s">
        <v>292</v>
      </c>
      <c r="G13" t="s">
        <v>75</v>
      </c>
      <c r="H13" t="s">
        <v>35</v>
      </c>
      <c r="I13" t="s">
        <v>6</v>
      </c>
      <c r="J13" t="b">
        <v>1</v>
      </c>
      <c r="K13" t="b">
        <v>1</v>
      </c>
      <c r="L13" t="s">
        <v>73</v>
      </c>
      <c r="M13" t="s">
        <v>57</v>
      </c>
      <c r="O13" t="s">
        <v>315</v>
      </c>
      <c r="Q13" s="10">
        <v>46293</v>
      </c>
      <c r="R13" s="10">
        <v>46320</v>
      </c>
      <c r="S13">
        <v>2</v>
      </c>
      <c r="W13">
        <v>20</v>
      </c>
      <c r="X13">
        <v>10</v>
      </c>
      <c r="Y13" t="s">
        <v>316</v>
      </c>
    </row>
    <row r="14" spans="1:27" x14ac:dyDescent="0.25">
      <c r="A14" t="s">
        <v>162</v>
      </c>
      <c r="B14" t="s">
        <v>58</v>
      </c>
      <c r="C14">
        <v>100</v>
      </c>
      <c r="E14" t="s">
        <v>56</v>
      </c>
      <c r="F14" t="s">
        <v>161</v>
      </c>
      <c r="G14" t="s">
        <v>75</v>
      </c>
      <c r="H14" t="s">
        <v>35</v>
      </c>
      <c r="I14" t="s">
        <v>58</v>
      </c>
      <c r="J14" t="b">
        <v>1</v>
      </c>
      <c r="K14" t="b">
        <v>0</v>
      </c>
      <c r="L14" t="s">
        <v>70</v>
      </c>
      <c r="M14" t="s">
        <v>57</v>
      </c>
      <c r="O14" t="s">
        <v>315</v>
      </c>
      <c r="Q14" s="10">
        <v>46293</v>
      </c>
      <c r="R14" s="10">
        <v>46320</v>
      </c>
      <c r="S14">
        <v>2</v>
      </c>
      <c r="W14">
        <v>20</v>
      </c>
      <c r="X14">
        <v>8</v>
      </c>
      <c r="Y14" t="s">
        <v>316</v>
      </c>
    </row>
    <row r="15" spans="1:27" x14ac:dyDescent="0.25">
      <c r="A15" t="s">
        <v>278</v>
      </c>
      <c r="B15" t="s">
        <v>6</v>
      </c>
      <c r="C15">
        <v>112</v>
      </c>
      <c r="D15" t="s">
        <v>10</v>
      </c>
      <c r="E15" t="s">
        <v>56</v>
      </c>
      <c r="F15" t="s">
        <v>277</v>
      </c>
      <c r="G15" t="s">
        <v>75</v>
      </c>
      <c r="H15" t="s">
        <v>35</v>
      </c>
      <c r="I15" t="s">
        <v>6</v>
      </c>
      <c r="J15" t="b">
        <v>0</v>
      </c>
      <c r="K15" t="b">
        <v>1</v>
      </c>
      <c r="L15" t="s">
        <v>71</v>
      </c>
      <c r="M15" t="s">
        <v>57</v>
      </c>
      <c r="O15" t="s">
        <v>315</v>
      </c>
      <c r="Q15" s="10">
        <v>46293</v>
      </c>
      <c r="R15" s="10">
        <v>46320</v>
      </c>
      <c r="S15">
        <v>2</v>
      </c>
      <c r="W15">
        <v>20</v>
      </c>
      <c r="X15">
        <v>8</v>
      </c>
      <c r="Y15" t="s">
        <v>316</v>
      </c>
    </row>
    <row r="16" spans="1:27" x14ac:dyDescent="0.25">
      <c r="A16" t="s">
        <v>192</v>
      </c>
      <c r="B16" t="s">
        <v>6</v>
      </c>
      <c r="C16">
        <v>113</v>
      </c>
      <c r="E16" t="s">
        <v>56</v>
      </c>
      <c r="F16" t="s">
        <v>191</v>
      </c>
      <c r="G16" t="s">
        <v>75</v>
      </c>
      <c r="H16" t="s">
        <v>35</v>
      </c>
      <c r="I16" t="s">
        <v>6</v>
      </c>
      <c r="J16" t="b">
        <v>1</v>
      </c>
      <c r="K16" t="b">
        <v>1</v>
      </c>
      <c r="L16" t="s">
        <v>73</v>
      </c>
      <c r="M16" t="s">
        <v>57</v>
      </c>
      <c r="O16" t="s">
        <v>315</v>
      </c>
      <c r="Q16" s="10">
        <v>46293</v>
      </c>
      <c r="R16" s="10">
        <v>46320</v>
      </c>
      <c r="S16">
        <v>2</v>
      </c>
      <c r="W16">
        <v>20</v>
      </c>
      <c r="X16">
        <v>16</v>
      </c>
      <c r="Y16" t="s">
        <v>316</v>
      </c>
    </row>
    <row r="17" spans="1:25" x14ac:dyDescent="0.25">
      <c r="A17" t="s">
        <v>274</v>
      </c>
      <c r="B17" t="s">
        <v>6</v>
      </c>
      <c r="C17">
        <v>1</v>
      </c>
      <c r="E17" t="s">
        <v>56</v>
      </c>
      <c r="F17" t="s">
        <v>273</v>
      </c>
      <c r="G17" t="s">
        <v>75</v>
      </c>
      <c r="H17" t="s">
        <v>36</v>
      </c>
      <c r="I17" t="s">
        <v>6</v>
      </c>
      <c r="J17" t="b">
        <v>1</v>
      </c>
      <c r="K17" t="b">
        <v>1</v>
      </c>
      <c r="L17" t="s">
        <v>73</v>
      </c>
      <c r="M17" t="s">
        <v>57</v>
      </c>
      <c r="O17" t="s">
        <v>72</v>
      </c>
      <c r="P17">
        <v>60</v>
      </c>
      <c r="Q17" s="10">
        <v>46293</v>
      </c>
      <c r="R17" s="10">
        <v>46320</v>
      </c>
      <c r="S17">
        <v>2</v>
      </c>
      <c r="T17">
        <v>120</v>
      </c>
      <c r="U17">
        <v>15.789473684210527</v>
      </c>
      <c r="V17">
        <v>15</v>
      </c>
      <c r="W17">
        <v>20</v>
      </c>
      <c r="X17">
        <v>15</v>
      </c>
      <c r="Y17" t="s">
        <v>37</v>
      </c>
    </row>
    <row r="18" spans="1:25" x14ac:dyDescent="0.25">
      <c r="A18" t="s">
        <v>297</v>
      </c>
      <c r="B18" t="s">
        <v>6</v>
      </c>
      <c r="C18">
        <v>3</v>
      </c>
      <c r="E18" t="s">
        <v>56</v>
      </c>
      <c r="F18" t="s">
        <v>296</v>
      </c>
      <c r="G18" t="s">
        <v>75</v>
      </c>
      <c r="H18" t="s">
        <v>36</v>
      </c>
      <c r="I18" t="s">
        <v>6</v>
      </c>
      <c r="J18" t="b">
        <v>1</v>
      </c>
      <c r="K18" t="b">
        <v>1</v>
      </c>
      <c r="L18" t="s">
        <v>73</v>
      </c>
      <c r="M18" t="s">
        <v>57</v>
      </c>
      <c r="O18" t="s">
        <v>72</v>
      </c>
      <c r="P18">
        <v>36</v>
      </c>
      <c r="Q18" s="10">
        <v>46293</v>
      </c>
      <c r="R18" s="10">
        <v>46320</v>
      </c>
      <c r="S18">
        <v>2</v>
      </c>
      <c r="T18">
        <v>72</v>
      </c>
      <c r="U18">
        <v>9.4736842105263168</v>
      </c>
      <c r="V18">
        <v>9</v>
      </c>
      <c r="W18">
        <v>20</v>
      </c>
      <c r="X18">
        <v>9</v>
      </c>
      <c r="Y18" t="s">
        <v>37</v>
      </c>
    </row>
    <row r="19" spans="1:25" x14ac:dyDescent="0.25">
      <c r="A19" t="s">
        <v>254</v>
      </c>
      <c r="B19" t="s">
        <v>6</v>
      </c>
      <c r="C19">
        <v>4</v>
      </c>
      <c r="E19" t="s">
        <v>56</v>
      </c>
      <c r="F19" t="s">
        <v>253</v>
      </c>
      <c r="G19" t="s">
        <v>75</v>
      </c>
      <c r="H19" t="s">
        <v>36</v>
      </c>
      <c r="I19" t="s">
        <v>6</v>
      </c>
      <c r="J19" t="b">
        <v>1</v>
      </c>
      <c r="K19" t="b">
        <v>1</v>
      </c>
      <c r="L19" t="s">
        <v>73</v>
      </c>
      <c r="M19" t="s">
        <v>57</v>
      </c>
      <c r="O19" t="s">
        <v>72</v>
      </c>
      <c r="P19">
        <v>30</v>
      </c>
      <c r="Q19" s="10">
        <v>46293</v>
      </c>
      <c r="R19" s="10">
        <v>46320</v>
      </c>
      <c r="S19">
        <v>2</v>
      </c>
      <c r="T19">
        <v>60</v>
      </c>
      <c r="U19">
        <v>7.8947368421052637</v>
      </c>
      <c r="V19">
        <v>7</v>
      </c>
      <c r="W19">
        <v>20</v>
      </c>
      <c r="X19">
        <v>7</v>
      </c>
      <c r="Y19" t="s">
        <v>37</v>
      </c>
    </row>
    <row r="20" spans="1:25" x14ac:dyDescent="0.25">
      <c r="A20" t="s">
        <v>272</v>
      </c>
      <c r="B20" t="s">
        <v>58</v>
      </c>
      <c r="C20">
        <v>5</v>
      </c>
      <c r="E20" t="s">
        <v>56</v>
      </c>
      <c r="F20" t="s">
        <v>271</v>
      </c>
      <c r="G20" t="s">
        <v>75</v>
      </c>
      <c r="H20" t="s">
        <v>36</v>
      </c>
      <c r="I20" t="s">
        <v>58</v>
      </c>
      <c r="J20" t="b">
        <v>1</v>
      </c>
      <c r="K20" t="b">
        <v>1</v>
      </c>
      <c r="L20" t="s">
        <v>73</v>
      </c>
      <c r="M20" t="s">
        <v>57</v>
      </c>
      <c r="O20" t="s">
        <v>72</v>
      </c>
      <c r="P20">
        <v>54</v>
      </c>
      <c r="Q20" s="10">
        <v>46293</v>
      </c>
      <c r="R20" s="10">
        <v>46320</v>
      </c>
      <c r="S20">
        <v>2</v>
      </c>
      <c r="T20">
        <v>108</v>
      </c>
      <c r="U20">
        <v>14.210526315789474</v>
      </c>
      <c r="V20">
        <v>14</v>
      </c>
      <c r="W20">
        <v>20</v>
      </c>
      <c r="X20">
        <v>14</v>
      </c>
      <c r="Y20" t="s">
        <v>37</v>
      </c>
    </row>
    <row r="21" spans="1:25" x14ac:dyDescent="0.25">
      <c r="A21" t="s">
        <v>196</v>
      </c>
      <c r="B21" t="s">
        <v>7</v>
      </c>
      <c r="C21">
        <v>6</v>
      </c>
      <c r="E21" t="s">
        <v>56</v>
      </c>
      <c r="F21" t="s">
        <v>195</v>
      </c>
      <c r="G21" t="s">
        <v>75</v>
      </c>
      <c r="H21" t="s">
        <v>36</v>
      </c>
      <c r="I21" t="s">
        <v>7</v>
      </c>
      <c r="J21" t="b">
        <v>1</v>
      </c>
      <c r="K21" t="b">
        <v>1</v>
      </c>
      <c r="L21" t="s">
        <v>73</v>
      </c>
      <c r="M21" t="s">
        <v>57</v>
      </c>
      <c r="O21" t="s">
        <v>72</v>
      </c>
      <c r="P21">
        <v>64</v>
      </c>
      <c r="Q21" s="10">
        <v>46293</v>
      </c>
      <c r="R21" s="10">
        <v>46320</v>
      </c>
      <c r="S21">
        <v>2</v>
      </c>
      <c r="T21">
        <v>128</v>
      </c>
      <c r="U21">
        <v>16.842105263157894</v>
      </c>
      <c r="V21">
        <v>16</v>
      </c>
      <c r="W21">
        <v>20</v>
      </c>
      <c r="X21">
        <v>16</v>
      </c>
      <c r="Y21" t="s">
        <v>37</v>
      </c>
    </row>
    <row r="22" spans="1:25" x14ac:dyDescent="0.25">
      <c r="A22" t="s">
        <v>198</v>
      </c>
      <c r="B22" t="s">
        <v>7</v>
      </c>
      <c r="C22">
        <v>7</v>
      </c>
      <c r="E22" t="s">
        <v>56</v>
      </c>
      <c r="F22" t="s">
        <v>197</v>
      </c>
      <c r="G22" t="s">
        <v>75</v>
      </c>
      <c r="H22" t="s">
        <v>36</v>
      </c>
      <c r="I22" t="s">
        <v>7</v>
      </c>
      <c r="J22" t="b">
        <v>1</v>
      </c>
      <c r="K22" t="b">
        <v>1</v>
      </c>
      <c r="L22" t="s">
        <v>73</v>
      </c>
      <c r="M22" t="s">
        <v>57</v>
      </c>
      <c r="O22" t="s">
        <v>72</v>
      </c>
      <c r="P22">
        <v>16</v>
      </c>
      <c r="Q22" s="10">
        <v>46293</v>
      </c>
      <c r="R22" s="10">
        <v>46320</v>
      </c>
      <c r="S22">
        <v>2</v>
      </c>
      <c r="T22">
        <v>32</v>
      </c>
      <c r="U22">
        <v>4.2105263157894735</v>
      </c>
      <c r="V22">
        <v>4</v>
      </c>
      <c r="W22">
        <v>20</v>
      </c>
      <c r="X22">
        <v>4</v>
      </c>
      <c r="Y22" t="s">
        <v>37</v>
      </c>
    </row>
    <row r="23" spans="1:25" x14ac:dyDescent="0.25">
      <c r="A23" t="s">
        <v>202</v>
      </c>
      <c r="B23" t="s">
        <v>6</v>
      </c>
      <c r="C23">
        <v>8</v>
      </c>
      <c r="E23" t="s">
        <v>56</v>
      </c>
      <c r="F23" t="s">
        <v>201</v>
      </c>
      <c r="G23" t="s">
        <v>75</v>
      </c>
      <c r="H23" t="s">
        <v>36</v>
      </c>
      <c r="I23" t="s">
        <v>6</v>
      </c>
      <c r="J23" t="b">
        <v>1</v>
      </c>
      <c r="K23" t="b">
        <v>1</v>
      </c>
      <c r="L23" t="s">
        <v>73</v>
      </c>
      <c r="M23" t="s">
        <v>57</v>
      </c>
      <c r="O23" t="s">
        <v>72</v>
      </c>
      <c r="P23">
        <v>37.5</v>
      </c>
      <c r="Q23" s="10">
        <v>46293</v>
      </c>
      <c r="R23" s="10">
        <v>46320</v>
      </c>
      <c r="S23">
        <v>2</v>
      </c>
      <c r="T23">
        <v>75</v>
      </c>
      <c r="U23">
        <v>9.8684210526315788</v>
      </c>
      <c r="V23">
        <v>9</v>
      </c>
      <c r="W23">
        <v>20</v>
      </c>
      <c r="X23">
        <v>9</v>
      </c>
      <c r="Y23" t="s">
        <v>37</v>
      </c>
    </row>
    <row r="24" spans="1:25" x14ac:dyDescent="0.25">
      <c r="A24" t="s">
        <v>204</v>
      </c>
      <c r="B24" t="s">
        <v>6</v>
      </c>
      <c r="C24">
        <v>9</v>
      </c>
      <c r="E24" t="s">
        <v>56</v>
      </c>
      <c r="F24" t="s">
        <v>203</v>
      </c>
      <c r="G24" t="s">
        <v>75</v>
      </c>
      <c r="H24" t="s">
        <v>36</v>
      </c>
      <c r="I24" t="s">
        <v>6</v>
      </c>
      <c r="J24" t="b">
        <v>1</v>
      </c>
      <c r="K24" t="b">
        <v>1</v>
      </c>
      <c r="L24" t="s">
        <v>73</v>
      </c>
      <c r="M24" t="s">
        <v>57</v>
      </c>
      <c r="O24" t="s">
        <v>72</v>
      </c>
      <c r="P24">
        <v>60</v>
      </c>
      <c r="Q24" s="10">
        <v>46293</v>
      </c>
      <c r="R24" s="10">
        <v>46320</v>
      </c>
      <c r="S24">
        <v>2</v>
      </c>
      <c r="T24">
        <v>120</v>
      </c>
      <c r="U24">
        <v>15.789473684210527</v>
      </c>
      <c r="V24">
        <v>15</v>
      </c>
      <c r="W24">
        <v>20</v>
      </c>
      <c r="X24">
        <v>15</v>
      </c>
      <c r="Y24" t="s">
        <v>37</v>
      </c>
    </row>
    <row r="25" spans="1:25" x14ac:dyDescent="0.25">
      <c r="A25" t="s">
        <v>206</v>
      </c>
      <c r="B25" t="s">
        <v>6</v>
      </c>
      <c r="C25">
        <v>10</v>
      </c>
      <c r="E25" t="s">
        <v>56</v>
      </c>
      <c r="F25" t="s">
        <v>205</v>
      </c>
      <c r="G25" t="s">
        <v>75</v>
      </c>
      <c r="H25" t="s">
        <v>38</v>
      </c>
      <c r="I25" t="s">
        <v>6</v>
      </c>
      <c r="J25" t="b">
        <v>1</v>
      </c>
      <c r="K25" t="b">
        <v>1</v>
      </c>
      <c r="L25" t="s">
        <v>73</v>
      </c>
      <c r="M25" t="s">
        <v>57</v>
      </c>
      <c r="O25" t="s">
        <v>72</v>
      </c>
      <c r="P25">
        <v>76</v>
      </c>
      <c r="Q25" s="10">
        <v>46293</v>
      </c>
      <c r="R25" s="10">
        <v>46320</v>
      </c>
      <c r="S25">
        <v>2</v>
      </c>
      <c r="T25">
        <v>152</v>
      </c>
      <c r="U25">
        <v>20</v>
      </c>
      <c r="V25">
        <v>20</v>
      </c>
      <c r="W25">
        <v>20</v>
      </c>
      <c r="X25">
        <v>20</v>
      </c>
      <c r="Y25" t="s">
        <v>39</v>
      </c>
    </row>
    <row r="26" spans="1:25" x14ac:dyDescent="0.25">
      <c r="A26" t="s">
        <v>212</v>
      </c>
      <c r="B26" t="s">
        <v>58</v>
      </c>
      <c r="C26">
        <v>11</v>
      </c>
      <c r="E26" t="s">
        <v>56</v>
      </c>
      <c r="F26" t="s">
        <v>211</v>
      </c>
      <c r="G26" t="s">
        <v>75</v>
      </c>
      <c r="H26" t="s">
        <v>36</v>
      </c>
      <c r="I26" t="s">
        <v>58</v>
      </c>
      <c r="J26" t="b">
        <v>1</v>
      </c>
      <c r="K26" t="b">
        <v>0</v>
      </c>
      <c r="L26" t="s">
        <v>70</v>
      </c>
      <c r="M26" t="s">
        <v>57</v>
      </c>
      <c r="O26" t="s">
        <v>72</v>
      </c>
      <c r="P26">
        <v>32</v>
      </c>
      <c r="Q26" s="10">
        <v>46293</v>
      </c>
      <c r="R26" s="10">
        <v>46320</v>
      </c>
      <c r="S26">
        <v>2</v>
      </c>
      <c r="T26">
        <v>64</v>
      </c>
      <c r="U26">
        <v>8.4210526315789469</v>
      </c>
      <c r="V26">
        <v>8</v>
      </c>
      <c r="W26">
        <v>20</v>
      </c>
      <c r="X26">
        <v>8</v>
      </c>
      <c r="Y26" t="s">
        <v>37</v>
      </c>
    </row>
    <row r="27" spans="1:25" x14ac:dyDescent="0.25">
      <c r="A27" t="s">
        <v>215</v>
      </c>
      <c r="B27" t="s">
        <v>58</v>
      </c>
      <c r="C27">
        <v>12</v>
      </c>
      <c r="E27" t="s">
        <v>56</v>
      </c>
      <c r="F27" t="s">
        <v>214</v>
      </c>
      <c r="G27" t="s">
        <v>75</v>
      </c>
      <c r="H27" t="s">
        <v>36</v>
      </c>
      <c r="I27" t="s">
        <v>58</v>
      </c>
      <c r="J27" t="b">
        <v>1</v>
      </c>
      <c r="K27" t="b">
        <v>0</v>
      </c>
      <c r="L27" t="s">
        <v>70</v>
      </c>
      <c r="M27" t="s">
        <v>57</v>
      </c>
      <c r="O27" t="s">
        <v>72</v>
      </c>
      <c r="P27">
        <v>47.5</v>
      </c>
      <c r="Q27" s="10">
        <v>46293</v>
      </c>
      <c r="R27" s="10">
        <v>46320</v>
      </c>
      <c r="S27">
        <v>2</v>
      </c>
      <c r="T27">
        <v>95</v>
      </c>
      <c r="U27">
        <v>12.5</v>
      </c>
      <c r="V27">
        <v>12</v>
      </c>
      <c r="W27">
        <v>20</v>
      </c>
      <c r="X27">
        <v>12</v>
      </c>
      <c r="Y27" t="s">
        <v>37</v>
      </c>
    </row>
    <row r="28" spans="1:25" x14ac:dyDescent="0.25">
      <c r="A28" t="s">
        <v>270</v>
      </c>
      <c r="B28" t="s">
        <v>6</v>
      </c>
      <c r="C28">
        <v>14</v>
      </c>
      <c r="E28" t="s">
        <v>56</v>
      </c>
      <c r="F28" t="s">
        <v>269</v>
      </c>
      <c r="G28" t="s">
        <v>75</v>
      </c>
      <c r="H28" t="s">
        <v>36</v>
      </c>
      <c r="I28" t="s">
        <v>6</v>
      </c>
      <c r="J28" t="b">
        <v>1</v>
      </c>
      <c r="K28" t="b">
        <v>1</v>
      </c>
      <c r="L28" t="s">
        <v>73</v>
      </c>
      <c r="M28" t="s">
        <v>57</v>
      </c>
      <c r="O28" t="s">
        <v>72</v>
      </c>
      <c r="P28">
        <v>75</v>
      </c>
      <c r="Q28" s="10">
        <v>46293</v>
      </c>
      <c r="R28" s="10">
        <v>46320</v>
      </c>
      <c r="S28">
        <v>2</v>
      </c>
      <c r="T28">
        <v>150</v>
      </c>
      <c r="U28">
        <v>19.736842105263158</v>
      </c>
      <c r="V28">
        <v>19</v>
      </c>
      <c r="W28">
        <v>20</v>
      </c>
      <c r="X28">
        <v>19</v>
      </c>
      <c r="Y28" t="s">
        <v>37</v>
      </c>
    </row>
    <row r="29" spans="1:25" x14ac:dyDescent="0.25">
      <c r="A29" t="s">
        <v>238</v>
      </c>
      <c r="B29" t="s">
        <v>6</v>
      </c>
      <c r="C29">
        <v>15</v>
      </c>
      <c r="E29" t="s">
        <v>56</v>
      </c>
      <c r="F29" t="s">
        <v>237</v>
      </c>
      <c r="G29" t="s">
        <v>75</v>
      </c>
      <c r="H29" t="s">
        <v>36</v>
      </c>
      <c r="I29" t="s">
        <v>6</v>
      </c>
      <c r="J29" t="b">
        <v>1</v>
      </c>
      <c r="K29" t="b">
        <v>1</v>
      </c>
      <c r="L29" t="s">
        <v>73</v>
      </c>
      <c r="M29" t="s">
        <v>57</v>
      </c>
      <c r="O29" t="s">
        <v>72</v>
      </c>
      <c r="P29">
        <v>52.5</v>
      </c>
      <c r="Q29" s="10">
        <v>46293</v>
      </c>
      <c r="R29" s="10">
        <v>46320</v>
      </c>
      <c r="S29">
        <v>2</v>
      </c>
      <c r="T29">
        <v>105</v>
      </c>
      <c r="U29">
        <v>13.815789473684211</v>
      </c>
      <c r="V29">
        <v>13</v>
      </c>
      <c r="W29">
        <v>20</v>
      </c>
      <c r="X29">
        <v>13</v>
      </c>
      <c r="Y29" t="s">
        <v>37</v>
      </c>
    </row>
    <row r="30" spans="1:25" x14ac:dyDescent="0.25">
      <c r="A30" t="s">
        <v>234</v>
      </c>
      <c r="B30" t="s">
        <v>6</v>
      </c>
      <c r="C30">
        <v>16</v>
      </c>
      <c r="E30" t="s">
        <v>56</v>
      </c>
      <c r="F30" t="s">
        <v>233</v>
      </c>
      <c r="G30" t="s">
        <v>75</v>
      </c>
      <c r="H30" t="s">
        <v>36</v>
      </c>
      <c r="I30" t="s">
        <v>6</v>
      </c>
      <c r="J30" t="b">
        <v>1</v>
      </c>
      <c r="K30" t="b">
        <v>1</v>
      </c>
      <c r="L30" t="s">
        <v>73</v>
      </c>
      <c r="M30" t="s">
        <v>57</v>
      </c>
      <c r="O30" t="s">
        <v>72</v>
      </c>
      <c r="P30">
        <v>66.5</v>
      </c>
      <c r="Q30" s="10">
        <v>46293</v>
      </c>
      <c r="R30" s="10">
        <v>46320</v>
      </c>
      <c r="S30">
        <v>2</v>
      </c>
      <c r="T30">
        <v>133</v>
      </c>
      <c r="U30">
        <v>17.5</v>
      </c>
      <c r="V30">
        <v>17</v>
      </c>
      <c r="W30">
        <v>20</v>
      </c>
      <c r="X30">
        <v>17</v>
      </c>
      <c r="Y30" t="s">
        <v>37</v>
      </c>
    </row>
    <row r="31" spans="1:25" x14ac:dyDescent="0.25">
      <c r="A31" t="s">
        <v>232</v>
      </c>
      <c r="B31" t="s">
        <v>6</v>
      </c>
      <c r="C31">
        <v>17</v>
      </c>
      <c r="E31" t="s">
        <v>56</v>
      </c>
      <c r="F31" t="s">
        <v>231</v>
      </c>
      <c r="G31" t="s">
        <v>75</v>
      </c>
      <c r="H31" t="s">
        <v>36</v>
      </c>
      <c r="I31" t="s">
        <v>6</v>
      </c>
      <c r="J31" t="b">
        <v>1</v>
      </c>
      <c r="K31" t="b">
        <v>1</v>
      </c>
      <c r="L31" t="s">
        <v>73</v>
      </c>
      <c r="M31" t="s">
        <v>57</v>
      </c>
      <c r="O31" t="s">
        <v>72</v>
      </c>
      <c r="P31">
        <v>52.5</v>
      </c>
      <c r="Q31" s="10">
        <v>46293</v>
      </c>
      <c r="R31" s="10">
        <v>46320</v>
      </c>
      <c r="S31">
        <v>2</v>
      </c>
      <c r="T31">
        <v>105</v>
      </c>
      <c r="U31">
        <v>13.815789473684211</v>
      </c>
      <c r="V31">
        <v>13</v>
      </c>
      <c r="W31">
        <v>20</v>
      </c>
      <c r="X31">
        <v>13</v>
      </c>
      <c r="Y31" t="s">
        <v>37</v>
      </c>
    </row>
    <row r="32" spans="1:25" x14ac:dyDescent="0.25">
      <c r="A32" t="s">
        <v>304</v>
      </c>
      <c r="B32" t="s">
        <v>6</v>
      </c>
      <c r="C32">
        <v>18</v>
      </c>
      <c r="D32" t="s">
        <v>10</v>
      </c>
      <c r="E32" t="s">
        <v>56</v>
      </c>
      <c r="F32" t="s">
        <v>230</v>
      </c>
      <c r="G32" t="s">
        <v>75</v>
      </c>
      <c r="H32" t="s">
        <v>36</v>
      </c>
      <c r="I32" t="s">
        <v>6</v>
      </c>
      <c r="J32" t="b">
        <v>0</v>
      </c>
      <c r="K32" t="b">
        <v>1</v>
      </c>
      <c r="L32" t="s">
        <v>71</v>
      </c>
      <c r="M32" t="s">
        <v>57</v>
      </c>
      <c r="O32" t="s">
        <v>72</v>
      </c>
      <c r="P32">
        <v>60</v>
      </c>
      <c r="Q32" s="10">
        <v>46293</v>
      </c>
      <c r="R32" s="10">
        <v>46320</v>
      </c>
      <c r="S32">
        <v>2</v>
      </c>
      <c r="T32">
        <v>120</v>
      </c>
      <c r="U32">
        <v>15.789473684210527</v>
      </c>
      <c r="V32">
        <v>15</v>
      </c>
      <c r="W32">
        <v>20</v>
      </c>
      <c r="X32">
        <v>15</v>
      </c>
      <c r="Y32" t="s">
        <v>37</v>
      </c>
    </row>
    <row r="33" spans="1:25" x14ac:dyDescent="0.25">
      <c r="A33" t="s">
        <v>229</v>
      </c>
      <c r="B33" t="s">
        <v>58</v>
      </c>
      <c r="C33">
        <v>19</v>
      </c>
      <c r="E33" t="s">
        <v>56</v>
      </c>
      <c r="F33" t="s">
        <v>228</v>
      </c>
      <c r="G33" t="s">
        <v>75</v>
      </c>
      <c r="H33" t="s">
        <v>36</v>
      </c>
      <c r="I33" t="s">
        <v>58</v>
      </c>
      <c r="J33" t="b">
        <v>1</v>
      </c>
      <c r="K33" t="b">
        <v>1</v>
      </c>
      <c r="L33" t="s">
        <v>73</v>
      </c>
      <c r="M33" t="s">
        <v>57</v>
      </c>
      <c r="O33" t="s">
        <v>72</v>
      </c>
      <c r="P33">
        <v>48</v>
      </c>
      <c r="Q33" s="10">
        <v>46293</v>
      </c>
      <c r="R33" s="10">
        <v>46320</v>
      </c>
      <c r="S33">
        <v>2</v>
      </c>
      <c r="T33">
        <v>96</v>
      </c>
      <c r="U33">
        <v>12.631578947368421</v>
      </c>
      <c r="V33">
        <v>12</v>
      </c>
      <c r="W33">
        <v>20</v>
      </c>
      <c r="X33">
        <v>12</v>
      </c>
      <c r="Y33" t="s">
        <v>37</v>
      </c>
    </row>
    <row r="34" spans="1:25" x14ac:dyDescent="0.25">
      <c r="A34" t="s">
        <v>227</v>
      </c>
      <c r="B34" t="s">
        <v>7</v>
      </c>
      <c r="C34">
        <v>20</v>
      </c>
      <c r="E34" t="s">
        <v>56</v>
      </c>
      <c r="F34" t="s">
        <v>226</v>
      </c>
      <c r="G34" t="s">
        <v>75</v>
      </c>
      <c r="H34" t="s">
        <v>36</v>
      </c>
      <c r="I34" t="s">
        <v>7</v>
      </c>
      <c r="J34" t="b">
        <v>1</v>
      </c>
      <c r="K34" t="b">
        <v>0</v>
      </c>
      <c r="L34" t="s">
        <v>70</v>
      </c>
      <c r="M34" t="s">
        <v>57</v>
      </c>
      <c r="O34" t="s">
        <v>72</v>
      </c>
      <c r="P34">
        <v>45</v>
      </c>
      <c r="Q34" s="10">
        <v>46293</v>
      </c>
      <c r="R34" s="10">
        <v>46320</v>
      </c>
      <c r="S34">
        <v>2</v>
      </c>
      <c r="T34">
        <v>90</v>
      </c>
      <c r="U34">
        <v>11.842105263157896</v>
      </c>
      <c r="V34">
        <v>11</v>
      </c>
      <c r="W34">
        <v>20</v>
      </c>
      <c r="X34">
        <v>11</v>
      </c>
      <c r="Y34" t="s">
        <v>37</v>
      </c>
    </row>
    <row r="35" spans="1:25" x14ac:dyDescent="0.25">
      <c r="A35" t="s">
        <v>225</v>
      </c>
      <c r="B35" t="s">
        <v>6</v>
      </c>
      <c r="C35">
        <v>21</v>
      </c>
      <c r="E35" t="s">
        <v>56</v>
      </c>
      <c r="F35" t="s">
        <v>224</v>
      </c>
      <c r="G35" t="s">
        <v>75</v>
      </c>
      <c r="H35" t="s">
        <v>36</v>
      </c>
      <c r="I35" t="s">
        <v>6</v>
      </c>
      <c r="J35" t="b">
        <v>1</v>
      </c>
      <c r="K35" t="b">
        <v>1</v>
      </c>
      <c r="L35" t="s">
        <v>73</v>
      </c>
      <c r="M35" t="s">
        <v>57</v>
      </c>
      <c r="O35" t="s">
        <v>72</v>
      </c>
      <c r="P35">
        <v>60</v>
      </c>
      <c r="Q35" s="10">
        <v>46293</v>
      </c>
      <c r="R35" s="10">
        <v>46320</v>
      </c>
      <c r="S35">
        <v>2</v>
      </c>
      <c r="T35">
        <v>120</v>
      </c>
      <c r="U35">
        <v>15.789473684210527</v>
      </c>
      <c r="V35">
        <v>15</v>
      </c>
      <c r="W35">
        <v>20</v>
      </c>
      <c r="X35">
        <v>15</v>
      </c>
      <c r="Y35" t="s">
        <v>37</v>
      </c>
    </row>
    <row r="36" spans="1:25" x14ac:dyDescent="0.25">
      <c r="A36" t="s">
        <v>221</v>
      </c>
      <c r="B36" t="s">
        <v>6</v>
      </c>
      <c r="C36">
        <v>23</v>
      </c>
      <c r="E36" t="s">
        <v>56</v>
      </c>
      <c r="F36" t="s">
        <v>220</v>
      </c>
      <c r="G36" t="s">
        <v>75</v>
      </c>
      <c r="H36" t="s">
        <v>36</v>
      </c>
      <c r="I36" t="s">
        <v>6</v>
      </c>
      <c r="J36" t="b">
        <v>1</v>
      </c>
      <c r="K36" t="b">
        <v>0</v>
      </c>
      <c r="L36" t="s">
        <v>70</v>
      </c>
      <c r="M36" t="s">
        <v>57</v>
      </c>
      <c r="O36" t="s">
        <v>72</v>
      </c>
      <c r="P36">
        <v>30</v>
      </c>
      <c r="Q36" s="10">
        <v>46293</v>
      </c>
      <c r="R36" s="10">
        <v>46320</v>
      </c>
      <c r="S36">
        <v>2</v>
      </c>
      <c r="T36">
        <v>60</v>
      </c>
      <c r="U36">
        <v>7.8947368421052637</v>
      </c>
      <c r="V36">
        <v>7</v>
      </c>
      <c r="W36">
        <v>20</v>
      </c>
      <c r="X36">
        <v>7</v>
      </c>
      <c r="Y36" t="s">
        <v>37</v>
      </c>
    </row>
    <row r="37" spans="1:25" x14ac:dyDescent="0.25">
      <c r="A37" t="s">
        <v>219</v>
      </c>
      <c r="B37" t="s">
        <v>58</v>
      </c>
      <c r="C37">
        <v>24</v>
      </c>
      <c r="E37" t="s">
        <v>56</v>
      </c>
      <c r="F37" t="s">
        <v>218</v>
      </c>
      <c r="G37" t="s">
        <v>75</v>
      </c>
      <c r="H37" t="s">
        <v>36</v>
      </c>
      <c r="I37" t="s">
        <v>58</v>
      </c>
      <c r="J37" t="b">
        <v>1</v>
      </c>
      <c r="K37" t="b">
        <v>0</v>
      </c>
      <c r="L37" t="s">
        <v>70</v>
      </c>
      <c r="M37" t="s">
        <v>57</v>
      </c>
      <c r="O37" t="s">
        <v>72</v>
      </c>
      <c r="P37">
        <v>52.5</v>
      </c>
      <c r="Q37" s="10">
        <v>46293</v>
      </c>
      <c r="R37" s="10">
        <v>46320</v>
      </c>
      <c r="S37">
        <v>2</v>
      </c>
      <c r="T37">
        <v>105</v>
      </c>
      <c r="U37">
        <v>13.815789473684211</v>
      </c>
      <c r="V37">
        <v>13</v>
      </c>
      <c r="W37">
        <v>20</v>
      </c>
      <c r="X37">
        <v>13</v>
      </c>
      <c r="Y37" t="s">
        <v>37</v>
      </c>
    </row>
    <row r="38" spans="1:25" x14ac:dyDescent="0.25">
      <c r="A38" t="s">
        <v>217</v>
      </c>
      <c r="B38" t="s">
        <v>6</v>
      </c>
      <c r="C38">
        <v>25</v>
      </c>
      <c r="E38" t="s">
        <v>56</v>
      </c>
      <c r="F38" t="s">
        <v>216</v>
      </c>
      <c r="G38" t="s">
        <v>75</v>
      </c>
      <c r="H38" t="s">
        <v>36</v>
      </c>
      <c r="I38" t="s">
        <v>6</v>
      </c>
      <c r="J38" t="b">
        <v>1</v>
      </c>
      <c r="K38" t="b">
        <v>1</v>
      </c>
      <c r="L38" t="s">
        <v>73</v>
      </c>
      <c r="M38" t="s">
        <v>57</v>
      </c>
      <c r="O38" t="s">
        <v>72</v>
      </c>
      <c r="P38">
        <v>67.5</v>
      </c>
      <c r="Q38" s="10">
        <v>46293</v>
      </c>
      <c r="R38" s="10">
        <v>46320</v>
      </c>
      <c r="S38">
        <v>2</v>
      </c>
      <c r="T38">
        <v>135</v>
      </c>
      <c r="U38">
        <v>17.763157894736842</v>
      </c>
      <c r="V38">
        <v>17</v>
      </c>
      <c r="W38">
        <v>20</v>
      </c>
      <c r="X38">
        <v>17</v>
      </c>
      <c r="Y38" t="s">
        <v>37</v>
      </c>
    </row>
    <row r="39" spans="1:25" x14ac:dyDescent="0.25">
      <c r="A39" t="s">
        <v>210</v>
      </c>
      <c r="B39" t="s">
        <v>6</v>
      </c>
      <c r="C39">
        <v>26</v>
      </c>
      <c r="E39" t="s">
        <v>56</v>
      </c>
      <c r="F39" t="s">
        <v>209</v>
      </c>
      <c r="G39" t="s">
        <v>75</v>
      </c>
      <c r="H39" t="s">
        <v>36</v>
      </c>
      <c r="I39" t="s">
        <v>6</v>
      </c>
      <c r="J39" t="b">
        <v>1</v>
      </c>
      <c r="K39" t="b">
        <v>0</v>
      </c>
      <c r="L39" t="s">
        <v>70</v>
      </c>
      <c r="M39" t="s">
        <v>57</v>
      </c>
      <c r="O39" t="s">
        <v>72</v>
      </c>
      <c r="P39">
        <v>45</v>
      </c>
      <c r="Q39" s="10">
        <v>46293</v>
      </c>
      <c r="R39" s="10">
        <v>46320</v>
      </c>
      <c r="S39">
        <v>2</v>
      </c>
      <c r="T39">
        <v>90</v>
      </c>
      <c r="U39">
        <v>11.842105263157896</v>
      </c>
      <c r="V39">
        <v>11</v>
      </c>
      <c r="W39">
        <v>20</v>
      </c>
      <c r="X39">
        <v>11</v>
      </c>
      <c r="Y39" t="s">
        <v>37</v>
      </c>
    </row>
    <row r="40" spans="1:25" x14ac:dyDescent="0.25">
      <c r="A40" t="s">
        <v>208</v>
      </c>
      <c r="B40" t="s">
        <v>6</v>
      </c>
      <c r="C40">
        <v>27</v>
      </c>
      <c r="E40" t="s">
        <v>56</v>
      </c>
      <c r="F40" t="s">
        <v>207</v>
      </c>
      <c r="G40" t="s">
        <v>75</v>
      </c>
      <c r="H40" t="s">
        <v>36</v>
      </c>
      <c r="I40" t="s">
        <v>6</v>
      </c>
      <c r="J40" t="b">
        <v>1</v>
      </c>
      <c r="K40" t="b">
        <v>1</v>
      </c>
      <c r="L40" t="s">
        <v>73</v>
      </c>
      <c r="M40" t="s">
        <v>57</v>
      </c>
      <c r="O40" t="s">
        <v>72</v>
      </c>
      <c r="P40">
        <v>75</v>
      </c>
      <c r="Q40" s="10">
        <v>46293</v>
      </c>
      <c r="R40" s="10">
        <v>46320</v>
      </c>
      <c r="S40">
        <v>2</v>
      </c>
      <c r="T40">
        <v>150</v>
      </c>
      <c r="U40">
        <v>19.736842105263158</v>
      </c>
      <c r="V40">
        <v>19</v>
      </c>
      <c r="W40">
        <v>20</v>
      </c>
      <c r="X40">
        <v>19</v>
      </c>
      <c r="Y40" t="s">
        <v>37</v>
      </c>
    </row>
    <row r="41" spans="1:25" x14ac:dyDescent="0.25">
      <c r="A41" t="s">
        <v>200</v>
      </c>
      <c r="B41" t="s">
        <v>6</v>
      </c>
      <c r="C41">
        <v>29</v>
      </c>
      <c r="E41" t="s">
        <v>56</v>
      </c>
      <c r="F41" t="s">
        <v>199</v>
      </c>
      <c r="G41" t="s">
        <v>75</v>
      </c>
      <c r="H41" t="s">
        <v>36</v>
      </c>
      <c r="I41" t="s">
        <v>6</v>
      </c>
      <c r="J41" t="b">
        <v>1</v>
      </c>
      <c r="K41" t="b">
        <v>1</v>
      </c>
      <c r="L41" t="s">
        <v>73</v>
      </c>
      <c r="M41" t="s">
        <v>57</v>
      </c>
      <c r="O41" t="s">
        <v>72</v>
      </c>
      <c r="P41">
        <v>52.5</v>
      </c>
      <c r="Q41" s="10">
        <v>46293</v>
      </c>
      <c r="R41" s="10">
        <v>46320</v>
      </c>
      <c r="S41">
        <v>2</v>
      </c>
      <c r="T41">
        <v>105</v>
      </c>
      <c r="U41">
        <v>13.815789473684211</v>
      </c>
      <c r="V41">
        <v>13</v>
      </c>
      <c r="W41">
        <v>20</v>
      </c>
      <c r="X41">
        <v>13</v>
      </c>
      <c r="Y41" t="s">
        <v>37</v>
      </c>
    </row>
    <row r="42" spans="1:25" x14ac:dyDescent="0.25">
      <c r="A42" t="s">
        <v>303</v>
      </c>
      <c r="B42" t="s">
        <v>58</v>
      </c>
      <c r="C42">
        <v>30</v>
      </c>
      <c r="D42" t="s">
        <v>10</v>
      </c>
      <c r="E42" t="s">
        <v>56</v>
      </c>
      <c r="F42" t="s">
        <v>213</v>
      </c>
      <c r="G42" t="s">
        <v>75</v>
      </c>
      <c r="H42" t="s">
        <v>36</v>
      </c>
      <c r="I42" t="s">
        <v>58</v>
      </c>
      <c r="J42" t="b">
        <v>0</v>
      </c>
      <c r="K42" t="b">
        <v>1</v>
      </c>
      <c r="L42" t="s">
        <v>71</v>
      </c>
      <c r="M42" t="s">
        <v>57</v>
      </c>
      <c r="O42" t="s">
        <v>72</v>
      </c>
      <c r="P42">
        <v>72</v>
      </c>
      <c r="Q42" s="10">
        <v>46293</v>
      </c>
      <c r="R42" s="10">
        <v>46320</v>
      </c>
      <c r="S42">
        <v>2</v>
      </c>
      <c r="T42">
        <v>144</v>
      </c>
      <c r="U42">
        <v>18.947368421052634</v>
      </c>
      <c r="V42">
        <v>18</v>
      </c>
      <c r="W42">
        <v>20</v>
      </c>
      <c r="X42">
        <v>18</v>
      </c>
      <c r="Y42" t="s">
        <v>37</v>
      </c>
    </row>
    <row r="43" spans="1:25" x14ac:dyDescent="0.25">
      <c r="A43" t="s">
        <v>240</v>
      </c>
      <c r="B43" t="s">
        <v>6</v>
      </c>
      <c r="C43">
        <v>31</v>
      </c>
      <c r="E43" t="s">
        <v>56</v>
      </c>
      <c r="F43" t="s">
        <v>239</v>
      </c>
      <c r="G43" t="s">
        <v>75</v>
      </c>
      <c r="H43" t="s">
        <v>36</v>
      </c>
      <c r="I43" t="s">
        <v>6</v>
      </c>
      <c r="J43" t="b">
        <v>1</v>
      </c>
      <c r="K43" t="b">
        <v>1</v>
      </c>
      <c r="L43" t="s">
        <v>73</v>
      </c>
      <c r="M43" t="s">
        <v>57</v>
      </c>
      <c r="O43" t="s">
        <v>72</v>
      </c>
      <c r="P43">
        <v>60</v>
      </c>
      <c r="Q43" s="10">
        <v>46293</v>
      </c>
      <c r="R43" s="10">
        <v>46320</v>
      </c>
      <c r="S43">
        <v>2</v>
      </c>
      <c r="T43">
        <v>120</v>
      </c>
      <c r="U43">
        <v>15.789473684210527</v>
      </c>
      <c r="V43">
        <v>15</v>
      </c>
      <c r="W43">
        <v>20</v>
      </c>
      <c r="X43">
        <v>15</v>
      </c>
      <c r="Y43" t="s">
        <v>37</v>
      </c>
    </row>
    <row r="44" spans="1:25" x14ac:dyDescent="0.25">
      <c r="A44" t="s">
        <v>306</v>
      </c>
      <c r="B44" t="s">
        <v>6</v>
      </c>
      <c r="C44">
        <v>33</v>
      </c>
      <c r="D44" t="s">
        <v>10</v>
      </c>
      <c r="E44" t="s">
        <v>56</v>
      </c>
      <c r="F44" t="s">
        <v>241</v>
      </c>
      <c r="G44" t="s">
        <v>75</v>
      </c>
      <c r="H44" t="s">
        <v>36</v>
      </c>
      <c r="I44" t="s">
        <v>6</v>
      </c>
      <c r="J44" t="b">
        <v>0</v>
      </c>
      <c r="K44" t="b">
        <v>1</v>
      </c>
      <c r="L44" t="s">
        <v>71</v>
      </c>
      <c r="M44" t="s">
        <v>57</v>
      </c>
      <c r="O44" t="s">
        <v>72</v>
      </c>
      <c r="P44">
        <v>37.5</v>
      </c>
      <c r="Q44" s="10">
        <v>46293</v>
      </c>
      <c r="R44" s="10">
        <v>46320</v>
      </c>
      <c r="S44">
        <v>2</v>
      </c>
      <c r="T44">
        <v>75</v>
      </c>
      <c r="U44">
        <v>9.8684210526315788</v>
      </c>
      <c r="V44">
        <v>9</v>
      </c>
      <c r="W44">
        <v>20</v>
      </c>
      <c r="X44">
        <v>9</v>
      </c>
      <c r="Y44" t="s">
        <v>37</v>
      </c>
    </row>
    <row r="45" spans="1:25" x14ac:dyDescent="0.25">
      <c r="A45" t="s">
        <v>260</v>
      </c>
      <c r="B45" t="s">
        <v>6</v>
      </c>
      <c r="C45">
        <v>34</v>
      </c>
      <c r="E45" t="s">
        <v>56</v>
      </c>
      <c r="F45" t="s">
        <v>259</v>
      </c>
      <c r="G45" t="s">
        <v>75</v>
      </c>
      <c r="H45" t="s">
        <v>36</v>
      </c>
      <c r="I45" t="s">
        <v>6</v>
      </c>
      <c r="J45" t="b">
        <v>1</v>
      </c>
      <c r="K45" t="b">
        <v>1</v>
      </c>
      <c r="L45" t="s">
        <v>73</v>
      </c>
      <c r="M45" t="s">
        <v>57</v>
      </c>
      <c r="O45" t="s">
        <v>72</v>
      </c>
      <c r="P45">
        <v>67.5</v>
      </c>
      <c r="Q45" s="10">
        <v>46293</v>
      </c>
      <c r="R45" s="10">
        <v>46320</v>
      </c>
      <c r="S45">
        <v>2</v>
      </c>
      <c r="T45">
        <v>135</v>
      </c>
      <c r="U45">
        <v>17.763157894736842</v>
      </c>
      <c r="V45">
        <v>17</v>
      </c>
      <c r="W45">
        <v>20</v>
      </c>
      <c r="X45">
        <v>17</v>
      </c>
      <c r="Y45" t="s">
        <v>37</v>
      </c>
    </row>
    <row r="46" spans="1:25" s="11" customFormat="1" x14ac:dyDescent="0.25">
      <c r="A46" t="s">
        <v>262</v>
      </c>
      <c r="B46" t="s">
        <v>6</v>
      </c>
      <c r="C46">
        <v>35</v>
      </c>
      <c r="D46"/>
      <c r="E46" t="s">
        <v>56</v>
      </c>
      <c r="F46" t="s">
        <v>261</v>
      </c>
      <c r="G46" t="s">
        <v>75</v>
      </c>
      <c r="H46" t="s">
        <v>36</v>
      </c>
      <c r="I46" t="s">
        <v>6</v>
      </c>
      <c r="J46" t="b">
        <v>1</v>
      </c>
      <c r="K46" t="b">
        <v>1</v>
      </c>
      <c r="L46" t="s">
        <v>73</v>
      </c>
      <c r="M46" t="s">
        <v>57</v>
      </c>
      <c r="N46"/>
      <c r="O46" t="s">
        <v>72</v>
      </c>
      <c r="P46">
        <v>22.5</v>
      </c>
      <c r="Q46" s="10">
        <v>46293</v>
      </c>
      <c r="R46" s="10">
        <v>46320</v>
      </c>
      <c r="S46">
        <v>2</v>
      </c>
      <c r="T46">
        <v>45</v>
      </c>
      <c r="U46">
        <v>5.9210526315789478</v>
      </c>
      <c r="V46">
        <v>5</v>
      </c>
      <c r="W46">
        <v>20</v>
      </c>
      <c r="X46">
        <v>5</v>
      </c>
      <c r="Y46" t="s">
        <v>37</v>
      </c>
    </row>
    <row r="47" spans="1:25" x14ac:dyDescent="0.25">
      <c r="A47" t="s">
        <v>264</v>
      </c>
      <c r="B47" t="s">
        <v>58</v>
      </c>
      <c r="C47">
        <v>36</v>
      </c>
      <c r="E47" t="s">
        <v>56</v>
      </c>
      <c r="F47" t="s">
        <v>263</v>
      </c>
      <c r="G47" t="s">
        <v>75</v>
      </c>
      <c r="H47" t="s">
        <v>36</v>
      </c>
      <c r="I47" t="s">
        <v>58</v>
      </c>
      <c r="J47" t="b">
        <v>1</v>
      </c>
      <c r="K47" t="b">
        <v>1</v>
      </c>
      <c r="L47" t="s">
        <v>73</v>
      </c>
      <c r="M47" t="s">
        <v>57</v>
      </c>
      <c r="O47" t="s">
        <v>72</v>
      </c>
      <c r="P47">
        <v>16</v>
      </c>
      <c r="Q47" s="10">
        <v>46293</v>
      </c>
      <c r="R47" s="10">
        <v>46320</v>
      </c>
      <c r="S47">
        <v>2</v>
      </c>
      <c r="T47">
        <v>32</v>
      </c>
      <c r="U47">
        <v>4.2105263157894735</v>
      </c>
      <c r="V47">
        <v>4</v>
      </c>
      <c r="W47">
        <v>20</v>
      </c>
      <c r="X47">
        <v>4</v>
      </c>
      <c r="Y47" t="s">
        <v>37</v>
      </c>
    </row>
    <row r="48" spans="1:25" x14ac:dyDescent="0.25">
      <c r="A48" t="s">
        <v>268</v>
      </c>
      <c r="B48" t="s">
        <v>6</v>
      </c>
      <c r="C48">
        <v>37</v>
      </c>
      <c r="E48" t="s">
        <v>56</v>
      </c>
      <c r="F48" t="s">
        <v>267</v>
      </c>
      <c r="G48" t="s">
        <v>75</v>
      </c>
      <c r="H48" t="s">
        <v>36</v>
      </c>
      <c r="I48" t="s">
        <v>6</v>
      </c>
      <c r="J48" t="b">
        <v>1</v>
      </c>
      <c r="K48" t="b">
        <v>1</v>
      </c>
      <c r="L48" t="s">
        <v>73</v>
      </c>
      <c r="M48" t="s">
        <v>57</v>
      </c>
      <c r="O48" t="s">
        <v>72</v>
      </c>
      <c r="P48">
        <v>60</v>
      </c>
      <c r="Q48" s="10">
        <v>46293</v>
      </c>
      <c r="R48" s="10">
        <v>46320</v>
      </c>
      <c r="S48">
        <v>2</v>
      </c>
      <c r="T48">
        <v>120</v>
      </c>
      <c r="U48">
        <v>15.789473684210527</v>
      </c>
      <c r="V48">
        <v>15</v>
      </c>
      <c r="W48">
        <v>20</v>
      </c>
      <c r="X48">
        <v>15</v>
      </c>
      <c r="Y48" t="s">
        <v>37</v>
      </c>
    </row>
    <row r="49" spans="1:25" x14ac:dyDescent="0.25">
      <c r="A49" t="s">
        <v>266</v>
      </c>
      <c r="B49" t="s">
        <v>6</v>
      </c>
      <c r="C49">
        <v>39</v>
      </c>
      <c r="E49" t="s">
        <v>56</v>
      </c>
      <c r="F49" t="s">
        <v>265</v>
      </c>
      <c r="G49" t="s">
        <v>75</v>
      </c>
      <c r="H49" t="s">
        <v>36</v>
      </c>
      <c r="I49" t="s">
        <v>6</v>
      </c>
      <c r="J49" t="b">
        <v>1</v>
      </c>
      <c r="K49" t="b">
        <v>1</v>
      </c>
      <c r="L49" t="s">
        <v>73</v>
      </c>
      <c r="M49" t="s">
        <v>57</v>
      </c>
      <c r="O49" t="s">
        <v>72</v>
      </c>
      <c r="P49">
        <v>67.5</v>
      </c>
      <c r="Q49" s="10">
        <v>46293</v>
      </c>
      <c r="R49" s="10">
        <v>46320</v>
      </c>
      <c r="S49">
        <v>2</v>
      </c>
      <c r="T49">
        <v>135</v>
      </c>
      <c r="U49">
        <v>17.763157894736842</v>
      </c>
      <c r="V49">
        <v>17</v>
      </c>
      <c r="W49">
        <v>20</v>
      </c>
      <c r="X49">
        <v>17</v>
      </c>
      <c r="Y49" t="s">
        <v>37</v>
      </c>
    </row>
    <row r="50" spans="1:25" x14ac:dyDescent="0.25">
      <c r="A50" t="s">
        <v>256</v>
      </c>
      <c r="B50" t="s">
        <v>6</v>
      </c>
      <c r="C50">
        <v>40</v>
      </c>
      <c r="E50" t="s">
        <v>56</v>
      </c>
      <c r="F50" t="s">
        <v>255</v>
      </c>
      <c r="G50" t="s">
        <v>75</v>
      </c>
      <c r="H50" t="s">
        <v>36</v>
      </c>
      <c r="I50" t="s">
        <v>6</v>
      </c>
      <c r="J50" t="b">
        <v>1</v>
      </c>
      <c r="K50" t="b">
        <v>1</v>
      </c>
      <c r="L50" t="s">
        <v>73</v>
      </c>
      <c r="M50" t="s">
        <v>57</v>
      </c>
      <c r="O50" t="s">
        <v>72</v>
      </c>
      <c r="P50">
        <v>60</v>
      </c>
      <c r="Q50" s="10">
        <v>46293</v>
      </c>
      <c r="R50" s="10">
        <v>46320</v>
      </c>
      <c r="S50">
        <v>2</v>
      </c>
      <c r="T50">
        <v>120</v>
      </c>
      <c r="U50">
        <v>15.789473684210527</v>
      </c>
      <c r="V50">
        <v>15</v>
      </c>
      <c r="W50">
        <v>20</v>
      </c>
      <c r="X50">
        <v>15</v>
      </c>
      <c r="Y50" t="s">
        <v>37</v>
      </c>
    </row>
    <row r="51" spans="1:25" x14ac:dyDescent="0.25">
      <c r="A51" t="s">
        <v>301</v>
      </c>
      <c r="B51" t="s">
        <v>58</v>
      </c>
      <c r="C51">
        <v>41</v>
      </c>
      <c r="E51" t="s">
        <v>56</v>
      </c>
      <c r="F51" t="s">
        <v>279</v>
      </c>
      <c r="G51" t="s">
        <v>75</v>
      </c>
      <c r="H51" t="s">
        <v>36</v>
      </c>
      <c r="I51" t="s">
        <v>58</v>
      </c>
      <c r="J51" t="b">
        <v>1</v>
      </c>
      <c r="K51" t="b">
        <v>1</v>
      </c>
      <c r="L51" t="s">
        <v>73</v>
      </c>
      <c r="M51" t="s">
        <v>57</v>
      </c>
      <c r="O51" t="s">
        <v>72</v>
      </c>
      <c r="P51">
        <v>60</v>
      </c>
      <c r="Q51" s="10">
        <v>46293</v>
      </c>
      <c r="R51" s="10">
        <v>46320</v>
      </c>
      <c r="S51">
        <v>2</v>
      </c>
      <c r="T51">
        <v>120</v>
      </c>
      <c r="U51">
        <v>15.789473684210527</v>
      </c>
      <c r="V51">
        <v>15</v>
      </c>
      <c r="W51">
        <v>20</v>
      </c>
      <c r="X51">
        <v>15</v>
      </c>
      <c r="Y51" t="s">
        <v>37</v>
      </c>
    </row>
    <row r="52" spans="1:25" x14ac:dyDescent="0.25">
      <c r="A52" t="s">
        <v>252</v>
      </c>
      <c r="B52" t="s">
        <v>58</v>
      </c>
      <c r="C52">
        <v>42</v>
      </c>
      <c r="E52" t="s">
        <v>56</v>
      </c>
      <c r="F52" t="s">
        <v>251</v>
      </c>
      <c r="G52" t="s">
        <v>75</v>
      </c>
      <c r="H52" t="s">
        <v>36</v>
      </c>
      <c r="I52" t="s">
        <v>58</v>
      </c>
      <c r="J52" t="b">
        <v>1</v>
      </c>
      <c r="K52" t="b">
        <v>0</v>
      </c>
      <c r="L52" t="s">
        <v>70</v>
      </c>
      <c r="M52" t="s">
        <v>57</v>
      </c>
      <c r="O52" t="s">
        <v>72</v>
      </c>
      <c r="P52">
        <v>22.5</v>
      </c>
      <c r="Q52" s="10">
        <v>46293</v>
      </c>
      <c r="R52" s="10">
        <v>46320</v>
      </c>
      <c r="S52">
        <v>2</v>
      </c>
      <c r="T52">
        <v>45</v>
      </c>
      <c r="U52">
        <v>5.9210526315789478</v>
      </c>
      <c r="V52">
        <v>5</v>
      </c>
      <c r="W52">
        <v>20</v>
      </c>
      <c r="X52">
        <v>5</v>
      </c>
      <c r="Y52" t="s">
        <v>37</v>
      </c>
    </row>
    <row r="53" spans="1:25" x14ac:dyDescent="0.25">
      <c r="A53" s="11" t="s">
        <v>250</v>
      </c>
      <c r="B53" s="11" t="s">
        <v>6</v>
      </c>
      <c r="C53" s="11">
        <v>43</v>
      </c>
      <c r="D53" s="11"/>
      <c r="E53" s="11" t="s">
        <v>56</v>
      </c>
      <c r="F53" s="11" t="s">
        <v>249</v>
      </c>
      <c r="G53" s="11" t="s">
        <v>75</v>
      </c>
      <c r="H53" s="11" t="s">
        <v>36</v>
      </c>
      <c r="I53" s="11" t="s">
        <v>6</v>
      </c>
      <c r="J53" s="11" t="b">
        <v>1</v>
      </c>
      <c r="K53" s="11" t="b">
        <v>1</v>
      </c>
      <c r="L53" s="11" t="s">
        <v>73</v>
      </c>
      <c r="M53" s="11" t="s">
        <v>57</v>
      </c>
      <c r="N53" s="11"/>
      <c r="O53" s="11" t="s">
        <v>72</v>
      </c>
      <c r="P53" s="11">
        <v>75</v>
      </c>
      <c r="Q53" s="12">
        <v>46293</v>
      </c>
      <c r="R53" s="12">
        <v>46320</v>
      </c>
      <c r="S53" s="11">
        <v>2</v>
      </c>
      <c r="T53" s="11">
        <v>150</v>
      </c>
      <c r="U53" s="11">
        <v>19.736842105263158</v>
      </c>
      <c r="V53" s="11">
        <v>19</v>
      </c>
      <c r="W53" s="11">
        <v>20</v>
      </c>
      <c r="X53" s="11">
        <v>19</v>
      </c>
      <c r="Y53" s="11" t="s">
        <v>37</v>
      </c>
    </row>
    <row r="54" spans="1:25" x14ac:dyDescent="0.25">
      <c r="A54" t="s">
        <v>247</v>
      </c>
      <c r="B54" t="s">
        <v>6</v>
      </c>
      <c r="C54">
        <v>45</v>
      </c>
      <c r="E54" t="s">
        <v>56</v>
      </c>
      <c r="F54" t="s">
        <v>246</v>
      </c>
      <c r="G54" t="s">
        <v>75</v>
      </c>
      <c r="H54" t="s">
        <v>36</v>
      </c>
      <c r="I54" t="s">
        <v>6</v>
      </c>
      <c r="J54" t="b">
        <v>1</v>
      </c>
      <c r="K54" t="b">
        <v>1</v>
      </c>
      <c r="L54" t="s">
        <v>73</v>
      </c>
      <c r="M54" t="s">
        <v>57</v>
      </c>
      <c r="O54" t="s">
        <v>72</v>
      </c>
      <c r="P54">
        <v>60</v>
      </c>
      <c r="Q54" s="10">
        <v>46293</v>
      </c>
      <c r="R54" s="10">
        <v>46320</v>
      </c>
      <c r="S54">
        <v>2</v>
      </c>
      <c r="T54">
        <v>120</v>
      </c>
      <c r="U54">
        <v>15.789473684210527</v>
      </c>
      <c r="V54">
        <v>15</v>
      </c>
      <c r="W54">
        <v>20</v>
      </c>
      <c r="X54">
        <v>15</v>
      </c>
      <c r="Y54" t="s">
        <v>37</v>
      </c>
    </row>
    <row r="55" spans="1:25" x14ac:dyDescent="0.25">
      <c r="A55" t="s">
        <v>243</v>
      </c>
      <c r="B55" t="s">
        <v>6</v>
      </c>
      <c r="C55">
        <v>47</v>
      </c>
      <c r="E55" t="s">
        <v>56</v>
      </c>
      <c r="F55" t="s">
        <v>242</v>
      </c>
      <c r="G55" t="s">
        <v>75</v>
      </c>
      <c r="H55" t="s">
        <v>36</v>
      </c>
      <c r="I55" t="s">
        <v>6</v>
      </c>
      <c r="J55" t="b">
        <v>1</v>
      </c>
      <c r="K55" t="b">
        <v>1</v>
      </c>
      <c r="L55" t="s">
        <v>73</v>
      </c>
      <c r="M55" t="s">
        <v>57</v>
      </c>
      <c r="O55" t="s">
        <v>72</v>
      </c>
      <c r="P55">
        <v>22.5</v>
      </c>
      <c r="Q55" s="10">
        <v>46293</v>
      </c>
      <c r="R55" s="10">
        <v>46320</v>
      </c>
      <c r="S55">
        <v>2</v>
      </c>
      <c r="T55">
        <v>45</v>
      </c>
      <c r="U55">
        <v>5.9210526315789478</v>
      </c>
      <c r="V55">
        <v>5</v>
      </c>
      <c r="W55">
        <v>20</v>
      </c>
      <c r="X55">
        <v>5</v>
      </c>
      <c r="Y55" t="s">
        <v>37</v>
      </c>
    </row>
    <row r="56" spans="1:25" x14ac:dyDescent="0.25">
      <c r="A56" t="s">
        <v>194</v>
      </c>
      <c r="B56" t="s">
        <v>7</v>
      </c>
      <c r="C56">
        <v>48</v>
      </c>
      <c r="E56" t="s">
        <v>56</v>
      </c>
      <c r="F56" t="s">
        <v>193</v>
      </c>
      <c r="G56" t="s">
        <v>75</v>
      </c>
      <c r="H56" t="s">
        <v>36</v>
      </c>
      <c r="I56" t="s">
        <v>7</v>
      </c>
      <c r="J56" t="b">
        <v>1</v>
      </c>
      <c r="K56" t="b">
        <v>1</v>
      </c>
      <c r="L56" t="s">
        <v>73</v>
      </c>
      <c r="M56" t="s">
        <v>57</v>
      </c>
      <c r="O56" t="s">
        <v>72</v>
      </c>
      <c r="P56">
        <v>40</v>
      </c>
      <c r="Q56" s="10">
        <v>46293</v>
      </c>
      <c r="R56" s="10">
        <v>46320</v>
      </c>
      <c r="S56">
        <v>2</v>
      </c>
      <c r="T56">
        <v>80</v>
      </c>
      <c r="U56">
        <v>10.526315789473685</v>
      </c>
      <c r="V56">
        <v>10</v>
      </c>
      <c r="W56">
        <v>20</v>
      </c>
      <c r="X56">
        <v>10</v>
      </c>
      <c r="Y56" t="s">
        <v>37</v>
      </c>
    </row>
    <row r="57" spans="1:25" x14ac:dyDescent="0.25">
      <c r="A57" t="s">
        <v>190</v>
      </c>
      <c r="B57" t="s">
        <v>6</v>
      </c>
      <c r="C57">
        <v>49</v>
      </c>
      <c r="E57" t="s">
        <v>56</v>
      </c>
      <c r="F57" t="s">
        <v>189</v>
      </c>
      <c r="G57" t="s">
        <v>75</v>
      </c>
      <c r="H57" t="s">
        <v>36</v>
      </c>
      <c r="I57" t="s">
        <v>6</v>
      </c>
      <c r="J57" t="b">
        <v>1</v>
      </c>
      <c r="K57" t="b">
        <v>1</v>
      </c>
      <c r="L57" t="s">
        <v>73</v>
      </c>
      <c r="M57" t="s">
        <v>57</v>
      </c>
      <c r="O57" t="s">
        <v>72</v>
      </c>
      <c r="P57">
        <v>52.5</v>
      </c>
      <c r="Q57" s="10">
        <v>46293</v>
      </c>
      <c r="R57" s="10">
        <v>46320</v>
      </c>
      <c r="S57">
        <v>2</v>
      </c>
      <c r="T57">
        <v>105</v>
      </c>
      <c r="U57">
        <v>13.815789473684211</v>
      </c>
      <c r="V57">
        <v>13</v>
      </c>
      <c r="W57">
        <v>20</v>
      </c>
      <c r="X57">
        <v>13</v>
      </c>
      <c r="Y57" t="s">
        <v>37</v>
      </c>
    </row>
    <row r="58" spans="1:25" x14ac:dyDescent="0.25">
      <c r="A58" t="s">
        <v>128</v>
      </c>
      <c r="B58" t="s">
        <v>6</v>
      </c>
      <c r="C58">
        <v>51</v>
      </c>
      <c r="E58" t="s">
        <v>56</v>
      </c>
      <c r="F58" t="s">
        <v>127</v>
      </c>
      <c r="G58" t="s">
        <v>75</v>
      </c>
      <c r="H58" t="s">
        <v>36</v>
      </c>
      <c r="I58" t="s">
        <v>6</v>
      </c>
      <c r="J58" t="b">
        <v>1</v>
      </c>
      <c r="K58" t="b">
        <v>1</v>
      </c>
      <c r="L58" t="s">
        <v>73</v>
      </c>
      <c r="M58" t="s">
        <v>57</v>
      </c>
      <c r="O58" t="s">
        <v>72</v>
      </c>
      <c r="P58">
        <v>37.5</v>
      </c>
      <c r="Q58" s="10">
        <v>46293</v>
      </c>
      <c r="R58" s="10">
        <v>46320</v>
      </c>
      <c r="S58">
        <v>2</v>
      </c>
      <c r="T58">
        <v>75</v>
      </c>
      <c r="U58">
        <v>9.8684210526315788</v>
      </c>
      <c r="V58">
        <v>9</v>
      </c>
      <c r="W58">
        <v>20</v>
      </c>
      <c r="X58">
        <v>9</v>
      </c>
      <c r="Y58" t="s">
        <v>37</v>
      </c>
    </row>
    <row r="59" spans="1:25" x14ac:dyDescent="0.25">
      <c r="A59" t="s">
        <v>126</v>
      </c>
      <c r="B59" t="s">
        <v>6</v>
      </c>
      <c r="C59">
        <v>52</v>
      </c>
      <c r="E59" t="s">
        <v>56</v>
      </c>
      <c r="F59" t="s">
        <v>125</v>
      </c>
      <c r="G59" t="s">
        <v>75</v>
      </c>
      <c r="H59" t="s">
        <v>36</v>
      </c>
      <c r="I59" t="s">
        <v>6</v>
      </c>
      <c r="J59" t="b">
        <v>1</v>
      </c>
      <c r="K59" t="b">
        <v>1</v>
      </c>
      <c r="L59" t="s">
        <v>73</v>
      </c>
      <c r="M59" t="s">
        <v>57</v>
      </c>
      <c r="O59" t="s">
        <v>72</v>
      </c>
      <c r="P59">
        <v>60</v>
      </c>
      <c r="Q59" s="10">
        <v>46293</v>
      </c>
      <c r="R59" s="10">
        <v>46320</v>
      </c>
      <c r="S59">
        <v>2</v>
      </c>
      <c r="T59">
        <v>120</v>
      </c>
      <c r="U59">
        <v>15.789473684210527</v>
      </c>
      <c r="V59">
        <v>15</v>
      </c>
      <c r="W59">
        <v>20</v>
      </c>
      <c r="X59">
        <v>15</v>
      </c>
      <c r="Y59" t="s">
        <v>37</v>
      </c>
    </row>
    <row r="60" spans="1:25" x14ac:dyDescent="0.25">
      <c r="A60" t="s">
        <v>124</v>
      </c>
      <c r="B60" t="s">
        <v>58</v>
      </c>
      <c r="C60">
        <v>53</v>
      </c>
      <c r="E60" t="s">
        <v>56</v>
      </c>
      <c r="F60" t="s">
        <v>123</v>
      </c>
      <c r="G60" t="s">
        <v>75</v>
      </c>
      <c r="H60" t="s">
        <v>36</v>
      </c>
      <c r="I60" t="s">
        <v>58</v>
      </c>
      <c r="J60" t="b">
        <v>1</v>
      </c>
      <c r="K60" t="b">
        <v>1</v>
      </c>
      <c r="L60" t="s">
        <v>73</v>
      </c>
      <c r="M60" t="s">
        <v>57</v>
      </c>
      <c r="O60" t="s">
        <v>72</v>
      </c>
      <c r="P60">
        <v>70</v>
      </c>
      <c r="Q60" s="10">
        <v>46293</v>
      </c>
      <c r="R60" s="10">
        <v>46320</v>
      </c>
      <c r="S60">
        <v>2</v>
      </c>
      <c r="T60">
        <v>140</v>
      </c>
      <c r="U60">
        <v>18.421052631578949</v>
      </c>
      <c r="V60">
        <v>18</v>
      </c>
      <c r="W60">
        <v>20</v>
      </c>
      <c r="X60">
        <v>18</v>
      </c>
      <c r="Y60" t="s">
        <v>37</v>
      </c>
    </row>
    <row r="61" spans="1:25" x14ac:dyDescent="0.25">
      <c r="A61" t="s">
        <v>122</v>
      </c>
      <c r="B61" t="s">
        <v>6</v>
      </c>
      <c r="C61">
        <v>54</v>
      </c>
      <c r="E61" t="s">
        <v>56</v>
      </c>
      <c r="F61" t="s">
        <v>121</v>
      </c>
      <c r="G61" t="s">
        <v>75</v>
      </c>
      <c r="H61" t="s">
        <v>36</v>
      </c>
      <c r="I61" t="s">
        <v>6</v>
      </c>
      <c r="J61" t="b">
        <v>1</v>
      </c>
      <c r="K61" t="b">
        <v>1</v>
      </c>
      <c r="L61" t="s">
        <v>73</v>
      </c>
      <c r="M61" t="s">
        <v>57</v>
      </c>
      <c r="O61" t="s">
        <v>72</v>
      </c>
      <c r="P61">
        <v>60</v>
      </c>
      <c r="Q61" s="10">
        <v>46293</v>
      </c>
      <c r="R61" s="10">
        <v>46320</v>
      </c>
      <c r="S61">
        <v>2</v>
      </c>
      <c r="T61">
        <v>120</v>
      </c>
      <c r="U61">
        <v>15.789473684210527</v>
      </c>
      <c r="V61">
        <v>15</v>
      </c>
      <c r="W61">
        <v>20</v>
      </c>
      <c r="X61">
        <v>15</v>
      </c>
      <c r="Y61" t="s">
        <v>37</v>
      </c>
    </row>
    <row r="62" spans="1:25" x14ac:dyDescent="0.25">
      <c r="A62" t="s">
        <v>295</v>
      </c>
      <c r="B62" t="s">
        <v>7</v>
      </c>
      <c r="C62">
        <v>55</v>
      </c>
      <c r="E62" t="s">
        <v>56</v>
      </c>
      <c r="F62" t="s">
        <v>294</v>
      </c>
      <c r="G62" t="s">
        <v>75</v>
      </c>
      <c r="H62" t="s">
        <v>36</v>
      </c>
      <c r="I62" t="s">
        <v>7</v>
      </c>
      <c r="J62" t="b">
        <v>1</v>
      </c>
      <c r="K62" t="b">
        <v>1</v>
      </c>
      <c r="L62" t="s">
        <v>73</v>
      </c>
      <c r="M62" t="s">
        <v>57</v>
      </c>
      <c r="O62" t="s">
        <v>72</v>
      </c>
      <c r="P62">
        <v>32</v>
      </c>
      <c r="Q62" s="10">
        <v>46293</v>
      </c>
      <c r="R62" s="10">
        <v>46320</v>
      </c>
      <c r="S62">
        <v>2</v>
      </c>
      <c r="T62">
        <v>64</v>
      </c>
      <c r="U62">
        <v>8.4210526315789469</v>
      </c>
      <c r="V62">
        <v>8</v>
      </c>
      <c r="W62">
        <v>20</v>
      </c>
      <c r="X62">
        <v>8</v>
      </c>
      <c r="Y62" t="s">
        <v>37</v>
      </c>
    </row>
    <row r="63" spans="1:25" x14ac:dyDescent="0.25">
      <c r="A63" t="s">
        <v>120</v>
      </c>
      <c r="B63" t="s">
        <v>58</v>
      </c>
      <c r="C63">
        <v>56</v>
      </c>
      <c r="E63" t="s">
        <v>56</v>
      </c>
      <c r="F63" t="s">
        <v>119</v>
      </c>
      <c r="G63" t="s">
        <v>75</v>
      </c>
      <c r="H63" t="s">
        <v>36</v>
      </c>
      <c r="I63" t="s">
        <v>58</v>
      </c>
      <c r="J63" t="b">
        <v>1</v>
      </c>
      <c r="K63" t="b">
        <v>1</v>
      </c>
      <c r="L63" t="s">
        <v>73</v>
      </c>
      <c r="M63" t="s">
        <v>57</v>
      </c>
      <c r="O63" t="s">
        <v>72</v>
      </c>
      <c r="P63">
        <v>70</v>
      </c>
      <c r="Q63" s="10">
        <v>46293</v>
      </c>
      <c r="R63" s="10">
        <v>46320</v>
      </c>
      <c r="S63">
        <v>2</v>
      </c>
      <c r="T63">
        <v>140</v>
      </c>
      <c r="U63">
        <v>18.421052631578949</v>
      </c>
      <c r="V63">
        <v>18</v>
      </c>
      <c r="W63">
        <v>20</v>
      </c>
      <c r="X63">
        <v>18</v>
      </c>
      <c r="Y63" t="s">
        <v>37</v>
      </c>
    </row>
    <row r="64" spans="1:25" x14ac:dyDescent="0.25">
      <c r="A64" t="s">
        <v>77</v>
      </c>
      <c r="B64" t="s">
        <v>6</v>
      </c>
      <c r="C64">
        <v>57</v>
      </c>
      <c r="E64" t="s">
        <v>56</v>
      </c>
      <c r="F64" t="s">
        <v>76</v>
      </c>
      <c r="G64" t="s">
        <v>75</v>
      </c>
      <c r="H64" t="s">
        <v>36</v>
      </c>
      <c r="I64" t="s">
        <v>6</v>
      </c>
      <c r="J64" t="b">
        <v>1</v>
      </c>
      <c r="K64" t="b">
        <v>1</v>
      </c>
      <c r="L64" t="s">
        <v>73</v>
      </c>
      <c r="M64" t="s">
        <v>57</v>
      </c>
      <c r="O64" t="s">
        <v>72</v>
      </c>
      <c r="P64">
        <v>30</v>
      </c>
      <c r="Q64" s="10">
        <v>46293</v>
      </c>
      <c r="R64" s="10">
        <v>46320</v>
      </c>
      <c r="S64">
        <v>2</v>
      </c>
      <c r="T64">
        <v>60</v>
      </c>
      <c r="U64">
        <v>7.8947368421052637</v>
      </c>
      <c r="V64">
        <v>7</v>
      </c>
      <c r="W64">
        <v>20</v>
      </c>
      <c r="X64">
        <v>7</v>
      </c>
      <c r="Y64" t="s">
        <v>37</v>
      </c>
    </row>
    <row r="65" spans="1:25" x14ac:dyDescent="0.25">
      <c r="A65" t="s">
        <v>118</v>
      </c>
      <c r="B65" t="s">
        <v>6</v>
      </c>
      <c r="C65">
        <v>58</v>
      </c>
      <c r="E65" t="s">
        <v>56</v>
      </c>
      <c r="F65" t="s">
        <v>117</v>
      </c>
      <c r="G65" t="s">
        <v>75</v>
      </c>
      <c r="H65" t="s">
        <v>36</v>
      </c>
      <c r="I65" t="s">
        <v>6</v>
      </c>
      <c r="J65" t="b">
        <v>1</v>
      </c>
      <c r="K65" t="b">
        <v>1</v>
      </c>
      <c r="L65" t="s">
        <v>73</v>
      </c>
      <c r="M65" t="s">
        <v>57</v>
      </c>
      <c r="O65" t="s">
        <v>72</v>
      </c>
      <c r="P65">
        <v>67.5</v>
      </c>
      <c r="Q65" s="10">
        <v>46293</v>
      </c>
      <c r="R65" s="10">
        <v>46320</v>
      </c>
      <c r="S65">
        <v>2</v>
      </c>
      <c r="T65">
        <v>135</v>
      </c>
      <c r="U65">
        <v>17.763157894736842</v>
      </c>
      <c r="V65">
        <v>17</v>
      </c>
      <c r="W65">
        <v>20</v>
      </c>
      <c r="X65">
        <v>17</v>
      </c>
      <c r="Y65" t="s">
        <v>37</v>
      </c>
    </row>
    <row r="66" spans="1:25" x14ac:dyDescent="0.25">
      <c r="A66" t="s">
        <v>116</v>
      </c>
      <c r="B66" t="s">
        <v>6</v>
      </c>
      <c r="C66">
        <v>59</v>
      </c>
      <c r="E66" t="s">
        <v>56</v>
      </c>
      <c r="F66" t="s">
        <v>115</v>
      </c>
      <c r="G66" t="s">
        <v>75</v>
      </c>
      <c r="H66" t="s">
        <v>36</v>
      </c>
      <c r="I66" t="s">
        <v>6</v>
      </c>
      <c r="J66" t="b">
        <v>1</v>
      </c>
      <c r="K66" t="b">
        <v>1</v>
      </c>
      <c r="L66" t="s">
        <v>73</v>
      </c>
      <c r="M66" t="s">
        <v>57</v>
      </c>
      <c r="O66" t="s">
        <v>72</v>
      </c>
      <c r="P66">
        <v>45</v>
      </c>
      <c r="Q66" s="10">
        <v>46293</v>
      </c>
      <c r="R66" s="10">
        <v>46320</v>
      </c>
      <c r="S66">
        <v>2</v>
      </c>
      <c r="T66">
        <v>90</v>
      </c>
      <c r="U66">
        <v>11.842105263157896</v>
      </c>
      <c r="V66">
        <v>11</v>
      </c>
      <c r="W66">
        <v>20</v>
      </c>
      <c r="X66">
        <v>11</v>
      </c>
      <c r="Y66" t="s">
        <v>37</v>
      </c>
    </row>
    <row r="67" spans="1:25" x14ac:dyDescent="0.25">
      <c r="A67" t="s">
        <v>114</v>
      </c>
      <c r="B67" t="s">
        <v>6</v>
      </c>
      <c r="C67">
        <v>60</v>
      </c>
      <c r="E67" t="s">
        <v>56</v>
      </c>
      <c r="F67" t="s">
        <v>113</v>
      </c>
      <c r="G67" t="s">
        <v>75</v>
      </c>
      <c r="H67" t="s">
        <v>36</v>
      </c>
      <c r="I67" t="s">
        <v>6</v>
      </c>
      <c r="J67" t="b">
        <v>1</v>
      </c>
      <c r="K67" t="b">
        <v>1</v>
      </c>
      <c r="L67" t="s">
        <v>73</v>
      </c>
      <c r="M67" t="s">
        <v>57</v>
      </c>
      <c r="O67" t="s">
        <v>72</v>
      </c>
      <c r="P67">
        <v>67.5</v>
      </c>
      <c r="Q67" s="10">
        <v>46293</v>
      </c>
      <c r="R67" s="10">
        <v>46320</v>
      </c>
      <c r="S67">
        <v>2</v>
      </c>
      <c r="T67">
        <v>135</v>
      </c>
      <c r="U67">
        <v>17.763157894736842</v>
      </c>
      <c r="V67">
        <v>17</v>
      </c>
      <c r="W67">
        <v>20</v>
      </c>
      <c r="X67">
        <v>17</v>
      </c>
      <c r="Y67" t="s">
        <v>37</v>
      </c>
    </row>
    <row r="68" spans="1:25" x14ac:dyDescent="0.25">
      <c r="A68" t="s">
        <v>112</v>
      </c>
      <c r="B68" t="s">
        <v>6</v>
      </c>
      <c r="C68">
        <v>61</v>
      </c>
      <c r="E68" t="s">
        <v>56</v>
      </c>
      <c r="F68" t="s">
        <v>111</v>
      </c>
      <c r="G68" t="s">
        <v>75</v>
      </c>
      <c r="H68" t="s">
        <v>36</v>
      </c>
      <c r="I68" t="s">
        <v>6</v>
      </c>
      <c r="J68" t="b">
        <v>1</v>
      </c>
      <c r="K68" t="b">
        <v>1</v>
      </c>
      <c r="L68" t="s">
        <v>73</v>
      </c>
      <c r="M68" t="s">
        <v>57</v>
      </c>
      <c r="O68" t="s">
        <v>72</v>
      </c>
      <c r="P68">
        <v>67.5</v>
      </c>
      <c r="Q68" s="10">
        <v>46293</v>
      </c>
      <c r="R68" s="10">
        <v>46320</v>
      </c>
      <c r="S68">
        <v>2</v>
      </c>
      <c r="T68">
        <v>135</v>
      </c>
      <c r="U68">
        <v>17.763157894736842</v>
      </c>
      <c r="V68">
        <v>17</v>
      </c>
      <c r="W68">
        <v>20</v>
      </c>
      <c r="X68">
        <v>17</v>
      </c>
      <c r="Y68" t="s">
        <v>37</v>
      </c>
    </row>
    <row r="69" spans="1:25" x14ac:dyDescent="0.25">
      <c r="A69" t="s">
        <v>110</v>
      </c>
      <c r="B69" t="s">
        <v>6</v>
      </c>
      <c r="C69">
        <v>62</v>
      </c>
      <c r="E69" t="s">
        <v>56</v>
      </c>
      <c r="F69" t="s">
        <v>109</v>
      </c>
      <c r="G69" t="s">
        <v>75</v>
      </c>
      <c r="H69" t="s">
        <v>36</v>
      </c>
      <c r="I69" t="s">
        <v>6</v>
      </c>
      <c r="J69" t="b">
        <v>1</v>
      </c>
      <c r="K69" t="b">
        <v>1</v>
      </c>
      <c r="L69" t="s">
        <v>73</v>
      </c>
      <c r="M69" t="s">
        <v>57</v>
      </c>
      <c r="O69" t="s">
        <v>72</v>
      </c>
      <c r="P69">
        <v>52.5</v>
      </c>
      <c r="Q69" s="10">
        <v>46293</v>
      </c>
      <c r="R69" s="10">
        <v>46320</v>
      </c>
      <c r="S69">
        <v>2</v>
      </c>
      <c r="T69">
        <v>105</v>
      </c>
      <c r="U69">
        <v>13.815789473684211</v>
      </c>
      <c r="V69">
        <v>13</v>
      </c>
      <c r="W69">
        <v>20</v>
      </c>
      <c r="X69">
        <v>13</v>
      </c>
      <c r="Y69" t="s">
        <v>37</v>
      </c>
    </row>
    <row r="70" spans="1:25" x14ac:dyDescent="0.25">
      <c r="A70" t="s">
        <v>108</v>
      </c>
      <c r="B70" t="s">
        <v>58</v>
      </c>
      <c r="C70">
        <v>63</v>
      </c>
      <c r="E70" t="s">
        <v>56</v>
      </c>
      <c r="F70" t="s">
        <v>107</v>
      </c>
      <c r="G70" t="s">
        <v>75</v>
      </c>
      <c r="H70" t="s">
        <v>35</v>
      </c>
      <c r="I70" t="s">
        <v>58</v>
      </c>
      <c r="J70" t="b">
        <v>1</v>
      </c>
      <c r="K70" t="b">
        <v>1</v>
      </c>
      <c r="L70" t="s">
        <v>73</v>
      </c>
      <c r="M70" t="s">
        <v>57</v>
      </c>
      <c r="O70" t="s">
        <v>72</v>
      </c>
      <c r="P70">
        <v>22.5</v>
      </c>
      <c r="Q70" s="10">
        <v>46293</v>
      </c>
      <c r="R70" s="10">
        <v>46320</v>
      </c>
      <c r="S70">
        <v>2</v>
      </c>
      <c r="T70">
        <v>45</v>
      </c>
      <c r="U70">
        <v>5.9210526315789478</v>
      </c>
      <c r="V70">
        <v>5</v>
      </c>
      <c r="W70">
        <v>20</v>
      </c>
      <c r="X70">
        <v>5</v>
      </c>
      <c r="Y70" t="s">
        <v>37</v>
      </c>
    </row>
    <row r="71" spans="1:25" x14ac:dyDescent="0.25">
      <c r="A71" t="s">
        <v>106</v>
      </c>
      <c r="B71" t="s">
        <v>7</v>
      </c>
      <c r="C71">
        <v>64</v>
      </c>
      <c r="E71" t="s">
        <v>56</v>
      </c>
      <c r="F71" t="s">
        <v>105</v>
      </c>
      <c r="G71" t="s">
        <v>75</v>
      </c>
      <c r="H71" t="s">
        <v>36</v>
      </c>
      <c r="I71" t="s">
        <v>7</v>
      </c>
      <c r="J71" t="b">
        <v>1</v>
      </c>
      <c r="K71" t="b">
        <v>1</v>
      </c>
      <c r="L71" t="s">
        <v>73</v>
      </c>
      <c r="M71" t="s">
        <v>57</v>
      </c>
      <c r="O71" t="s">
        <v>72</v>
      </c>
      <c r="P71">
        <v>48</v>
      </c>
      <c r="Q71" s="10">
        <v>46293</v>
      </c>
      <c r="R71" s="10">
        <v>46320</v>
      </c>
      <c r="S71">
        <v>2</v>
      </c>
      <c r="T71">
        <v>96</v>
      </c>
      <c r="U71">
        <v>12.631578947368421</v>
      </c>
      <c r="V71">
        <v>12</v>
      </c>
      <c r="W71">
        <v>20</v>
      </c>
      <c r="X71">
        <v>12</v>
      </c>
      <c r="Y71" t="s">
        <v>37</v>
      </c>
    </row>
    <row r="72" spans="1:25" x14ac:dyDescent="0.25">
      <c r="A72" t="s">
        <v>130</v>
      </c>
      <c r="B72" t="s">
        <v>7</v>
      </c>
      <c r="C72">
        <v>65</v>
      </c>
      <c r="E72" t="s">
        <v>56</v>
      </c>
      <c r="F72" t="s">
        <v>129</v>
      </c>
      <c r="G72" t="s">
        <v>75</v>
      </c>
      <c r="H72" t="s">
        <v>36</v>
      </c>
      <c r="I72" t="s">
        <v>7</v>
      </c>
      <c r="J72" t="b">
        <v>1</v>
      </c>
      <c r="K72" t="b">
        <v>0</v>
      </c>
      <c r="L72" t="s">
        <v>70</v>
      </c>
      <c r="M72" t="s">
        <v>57</v>
      </c>
      <c r="O72" t="s">
        <v>72</v>
      </c>
      <c r="P72">
        <v>48</v>
      </c>
      <c r="Q72" s="10">
        <v>46293</v>
      </c>
      <c r="R72" s="10">
        <v>46320</v>
      </c>
      <c r="S72">
        <v>2</v>
      </c>
      <c r="T72">
        <v>96</v>
      </c>
      <c r="U72">
        <v>12.631578947368421</v>
      </c>
      <c r="V72">
        <v>12</v>
      </c>
      <c r="W72">
        <v>20</v>
      </c>
      <c r="X72">
        <v>12</v>
      </c>
      <c r="Y72" t="s">
        <v>37</v>
      </c>
    </row>
    <row r="73" spans="1:25" x14ac:dyDescent="0.25">
      <c r="A73" t="s">
        <v>104</v>
      </c>
      <c r="B73" t="s">
        <v>6</v>
      </c>
      <c r="C73">
        <v>66</v>
      </c>
      <c r="E73" t="s">
        <v>56</v>
      </c>
      <c r="F73" t="s">
        <v>103</v>
      </c>
      <c r="G73" t="s">
        <v>75</v>
      </c>
      <c r="H73" t="s">
        <v>36</v>
      </c>
      <c r="I73" t="s">
        <v>6</v>
      </c>
      <c r="J73" t="b">
        <v>1</v>
      </c>
      <c r="K73" t="b">
        <v>1</v>
      </c>
      <c r="L73" t="s">
        <v>73</v>
      </c>
      <c r="M73" t="s">
        <v>57</v>
      </c>
      <c r="O73" t="s">
        <v>72</v>
      </c>
      <c r="P73">
        <v>60</v>
      </c>
      <c r="Q73" s="10">
        <v>46293</v>
      </c>
      <c r="R73" s="10">
        <v>46320</v>
      </c>
      <c r="S73">
        <v>2</v>
      </c>
      <c r="T73">
        <v>120</v>
      </c>
      <c r="U73">
        <v>15.789473684210527</v>
      </c>
      <c r="V73">
        <v>15</v>
      </c>
      <c r="W73">
        <v>20</v>
      </c>
      <c r="X73">
        <v>15</v>
      </c>
      <c r="Y73" t="s">
        <v>37</v>
      </c>
    </row>
    <row r="74" spans="1:25" x14ac:dyDescent="0.25">
      <c r="A74" t="s">
        <v>100</v>
      </c>
      <c r="B74" t="s">
        <v>7</v>
      </c>
      <c r="C74">
        <v>67</v>
      </c>
      <c r="E74" t="s">
        <v>56</v>
      </c>
      <c r="F74" t="s">
        <v>99</v>
      </c>
      <c r="G74" t="s">
        <v>75</v>
      </c>
      <c r="H74" t="s">
        <v>38</v>
      </c>
      <c r="I74" t="s">
        <v>7</v>
      </c>
      <c r="J74" t="b">
        <v>1</v>
      </c>
      <c r="K74" t="b">
        <v>0</v>
      </c>
      <c r="L74" t="s">
        <v>70</v>
      </c>
      <c r="M74" t="s">
        <v>57</v>
      </c>
      <c r="O74" t="s">
        <v>72</v>
      </c>
      <c r="P74">
        <v>76</v>
      </c>
      <c r="Q74" s="10">
        <v>46293</v>
      </c>
      <c r="R74" s="10">
        <v>46320</v>
      </c>
      <c r="S74">
        <v>2</v>
      </c>
      <c r="T74">
        <v>152</v>
      </c>
      <c r="U74">
        <v>20</v>
      </c>
      <c r="V74">
        <v>20</v>
      </c>
      <c r="W74">
        <v>20</v>
      </c>
      <c r="X74">
        <v>20</v>
      </c>
      <c r="Y74" t="s">
        <v>39</v>
      </c>
    </row>
    <row r="75" spans="1:25" x14ac:dyDescent="0.25">
      <c r="A75" t="s">
        <v>98</v>
      </c>
      <c r="B75" t="s">
        <v>58</v>
      </c>
      <c r="C75">
        <v>69</v>
      </c>
      <c r="E75" t="s">
        <v>56</v>
      </c>
      <c r="F75" t="s">
        <v>97</v>
      </c>
      <c r="G75" t="s">
        <v>75</v>
      </c>
      <c r="H75" t="s">
        <v>36</v>
      </c>
      <c r="I75" t="s">
        <v>58</v>
      </c>
      <c r="J75" t="b">
        <v>1</v>
      </c>
      <c r="K75" t="b">
        <v>1</v>
      </c>
      <c r="L75" t="s">
        <v>73</v>
      </c>
      <c r="M75" t="s">
        <v>57</v>
      </c>
      <c r="O75" t="s">
        <v>72</v>
      </c>
      <c r="P75">
        <v>47.5</v>
      </c>
      <c r="Q75" s="10">
        <v>46293</v>
      </c>
      <c r="R75" s="10">
        <v>46320</v>
      </c>
      <c r="S75">
        <v>2</v>
      </c>
      <c r="T75">
        <v>95</v>
      </c>
      <c r="U75">
        <v>12.5</v>
      </c>
      <c r="V75">
        <v>12</v>
      </c>
      <c r="W75">
        <v>20</v>
      </c>
      <c r="X75">
        <v>12</v>
      </c>
      <c r="Y75" t="s">
        <v>37</v>
      </c>
    </row>
    <row r="76" spans="1:25" x14ac:dyDescent="0.25">
      <c r="A76" t="s">
        <v>96</v>
      </c>
      <c r="B76" t="s">
        <v>6</v>
      </c>
      <c r="C76">
        <v>70</v>
      </c>
      <c r="E76" t="s">
        <v>56</v>
      </c>
      <c r="F76" t="s">
        <v>95</v>
      </c>
      <c r="G76" t="s">
        <v>75</v>
      </c>
      <c r="H76" t="s">
        <v>36</v>
      </c>
      <c r="I76" t="s">
        <v>6</v>
      </c>
      <c r="J76" t="b">
        <v>1</v>
      </c>
      <c r="K76" t="b">
        <v>1</v>
      </c>
      <c r="L76" t="s">
        <v>73</v>
      </c>
      <c r="M76" t="s">
        <v>57</v>
      </c>
      <c r="O76" t="s">
        <v>72</v>
      </c>
      <c r="P76">
        <v>52.5</v>
      </c>
      <c r="Q76" s="10">
        <v>46293</v>
      </c>
      <c r="R76" s="10">
        <v>46320</v>
      </c>
      <c r="S76">
        <v>2</v>
      </c>
      <c r="T76">
        <v>105</v>
      </c>
      <c r="U76">
        <v>13.815789473684211</v>
      </c>
      <c r="V76">
        <v>13</v>
      </c>
      <c r="W76">
        <v>20</v>
      </c>
      <c r="X76">
        <v>13</v>
      </c>
      <c r="Y76" t="s">
        <v>37</v>
      </c>
    </row>
    <row r="77" spans="1:25" x14ac:dyDescent="0.25">
      <c r="A77" t="s">
        <v>94</v>
      </c>
      <c r="B77" t="s">
        <v>7</v>
      </c>
      <c r="C77">
        <v>71</v>
      </c>
      <c r="E77" t="s">
        <v>56</v>
      </c>
      <c r="F77" t="s">
        <v>93</v>
      </c>
      <c r="G77" t="s">
        <v>75</v>
      </c>
      <c r="H77" t="s">
        <v>36</v>
      </c>
      <c r="I77" t="s">
        <v>7</v>
      </c>
      <c r="J77" t="b">
        <v>1</v>
      </c>
      <c r="K77" t="b">
        <v>1</v>
      </c>
      <c r="L77" t="s">
        <v>73</v>
      </c>
      <c r="M77" t="s">
        <v>57</v>
      </c>
      <c r="O77" t="s">
        <v>72</v>
      </c>
      <c r="P77">
        <v>48</v>
      </c>
      <c r="Q77" s="10">
        <v>46293</v>
      </c>
      <c r="R77" s="10">
        <v>46320</v>
      </c>
      <c r="S77">
        <v>2</v>
      </c>
      <c r="T77">
        <v>96</v>
      </c>
      <c r="U77">
        <v>12.631578947368421</v>
      </c>
      <c r="V77">
        <v>12</v>
      </c>
      <c r="W77">
        <v>20</v>
      </c>
      <c r="X77">
        <v>12</v>
      </c>
      <c r="Y77" t="s">
        <v>37</v>
      </c>
    </row>
    <row r="78" spans="1:25" x14ac:dyDescent="0.25">
      <c r="A78" t="s">
        <v>302</v>
      </c>
      <c r="B78" t="s">
        <v>6</v>
      </c>
      <c r="C78">
        <v>72</v>
      </c>
      <c r="D78" t="s">
        <v>10</v>
      </c>
      <c r="E78" t="s">
        <v>56</v>
      </c>
      <c r="F78" t="s">
        <v>92</v>
      </c>
      <c r="G78" t="s">
        <v>75</v>
      </c>
      <c r="H78" t="s">
        <v>36</v>
      </c>
      <c r="I78" t="s">
        <v>6</v>
      </c>
      <c r="J78" t="b">
        <v>0</v>
      </c>
      <c r="K78" t="b">
        <v>1</v>
      </c>
      <c r="L78" t="s">
        <v>71</v>
      </c>
      <c r="M78" t="s">
        <v>57</v>
      </c>
      <c r="O78" t="s">
        <v>72</v>
      </c>
      <c r="P78">
        <v>16</v>
      </c>
      <c r="Q78" s="10">
        <v>46293</v>
      </c>
      <c r="R78" s="10">
        <v>46320</v>
      </c>
      <c r="S78">
        <v>2</v>
      </c>
      <c r="T78">
        <v>32</v>
      </c>
      <c r="U78">
        <v>4.2105263157894735</v>
      </c>
      <c r="V78">
        <v>4</v>
      </c>
      <c r="W78">
        <v>20</v>
      </c>
      <c r="X78">
        <v>4</v>
      </c>
      <c r="Y78" t="s">
        <v>37</v>
      </c>
    </row>
    <row r="79" spans="1:25" x14ac:dyDescent="0.25">
      <c r="A79" t="s">
        <v>91</v>
      </c>
      <c r="B79" t="s">
        <v>6</v>
      </c>
      <c r="C79">
        <v>73</v>
      </c>
      <c r="E79" t="s">
        <v>56</v>
      </c>
      <c r="F79" t="s">
        <v>90</v>
      </c>
      <c r="G79" t="s">
        <v>75</v>
      </c>
      <c r="H79" t="s">
        <v>36</v>
      </c>
      <c r="I79" t="s">
        <v>6</v>
      </c>
      <c r="J79" t="b">
        <v>1</v>
      </c>
      <c r="K79" t="b">
        <v>1</v>
      </c>
      <c r="L79" t="s">
        <v>73</v>
      </c>
      <c r="M79" t="s">
        <v>57</v>
      </c>
      <c r="O79" t="s">
        <v>72</v>
      </c>
      <c r="P79">
        <v>75</v>
      </c>
      <c r="Q79" s="10">
        <v>46293</v>
      </c>
      <c r="R79" s="10">
        <v>46320</v>
      </c>
      <c r="S79">
        <v>2</v>
      </c>
      <c r="T79">
        <v>150</v>
      </c>
      <c r="U79">
        <v>19.736842105263158</v>
      </c>
      <c r="V79">
        <v>19</v>
      </c>
      <c r="W79">
        <v>20</v>
      </c>
      <c r="X79">
        <v>19</v>
      </c>
      <c r="Y79" t="s">
        <v>37</v>
      </c>
    </row>
    <row r="80" spans="1:25" x14ac:dyDescent="0.25">
      <c r="A80" t="s">
        <v>89</v>
      </c>
      <c r="B80" t="s">
        <v>6</v>
      </c>
      <c r="C80">
        <v>74</v>
      </c>
      <c r="E80" t="s">
        <v>56</v>
      </c>
      <c r="F80" t="s">
        <v>88</v>
      </c>
      <c r="G80" t="s">
        <v>75</v>
      </c>
      <c r="H80" t="s">
        <v>38</v>
      </c>
      <c r="I80" t="s">
        <v>6</v>
      </c>
      <c r="J80" t="b">
        <v>1</v>
      </c>
      <c r="K80" t="b">
        <v>1</v>
      </c>
      <c r="L80" t="s">
        <v>73</v>
      </c>
      <c r="M80" t="s">
        <v>57</v>
      </c>
      <c r="O80" t="s">
        <v>72</v>
      </c>
      <c r="P80">
        <v>76</v>
      </c>
      <c r="Q80" s="10">
        <v>46293</v>
      </c>
      <c r="R80" s="10">
        <v>46320</v>
      </c>
      <c r="S80">
        <v>2</v>
      </c>
      <c r="T80">
        <v>152</v>
      </c>
      <c r="U80">
        <v>20</v>
      </c>
      <c r="V80">
        <v>20</v>
      </c>
      <c r="W80">
        <v>20</v>
      </c>
      <c r="X80">
        <v>20</v>
      </c>
      <c r="Y80" t="s">
        <v>39</v>
      </c>
    </row>
    <row r="81" spans="1:25" x14ac:dyDescent="0.25">
      <c r="A81" t="s">
        <v>281</v>
      </c>
      <c r="B81" t="s">
        <v>6</v>
      </c>
      <c r="C81">
        <v>75</v>
      </c>
      <c r="D81" t="s">
        <v>10</v>
      </c>
      <c r="E81" t="s">
        <v>56</v>
      </c>
      <c r="F81" t="s">
        <v>280</v>
      </c>
      <c r="G81" t="s">
        <v>75</v>
      </c>
      <c r="H81" t="s">
        <v>36</v>
      </c>
      <c r="I81" t="s">
        <v>6</v>
      </c>
      <c r="J81" t="b">
        <v>0</v>
      </c>
      <c r="K81" t="b">
        <v>1</v>
      </c>
      <c r="L81" t="s">
        <v>71</v>
      </c>
      <c r="M81" t="s">
        <v>57</v>
      </c>
      <c r="O81" t="s">
        <v>72</v>
      </c>
      <c r="P81">
        <v>30</v>
      </c>
      <c r="Q81" s="10">
        <v>46293</v>
      </c>
      <c r="R81" s="10">
        <v>46320</v>
      </c>
      <c r="S81">
        <v>2</v>
      </c>
      <c r="T81">
        <v>60</v>
      </c>
      <c r="U81">
        <v>7.8947368421052637</v>
      </c>
      <c r="V81">
        <v>7</v>
      </c>
      <c r="W81">
        <v>20</v>
      </c>
      <c r="X81">
        <v>7</v>
      </c>
      <c r="Y81" t="s">
        <v>37</v>
      </c>
    </row>
    <row r="82" spans="1:25" x14ac:dyDescent="0.25">
      <c r="A82" t="s">
        <v>87</v>
      </c>
      <c r="B82" t="s">
        <v>58</v>
      </c>
      <c r="C82">
        <v>76</v>
      </c>
      <c r="E82" t="s">
        <v>56</v>
      </c>
      <c r="F82" t="s">
        <v>86</v>
      </c>
      <c r="G82" t="s">
        <v>75</v>
      </c>
      <c r="H82" t="s">
        <v>36</v>
      </c>
      <c r="I82" t="s">
        <v>58</v>
      </c>
      <c r="J82" t="b">
        <v>1</v>
      </c>
      <c r="K82" t="b">
        <v>1</v>
      </c>
      <c r="L82" t="s">
        <v>73</v>
      </c>
      <c r="M82" t="s">
        <v>57</v>
      </c>
      <c r="O82" t="s">
        <v>72</v>
      </c>
      <c r="P82">
        <v>45</v>
      </c>
      <c r="Q82" s="10">
        <v>46293</v>
      </c>
      <c r="R82" s="10">
        <v>46320</v>
      </c>
      <c r="S82">
        <v>2</v>
      </c>
      <c r="T82">
        <v>90</v>
      </c>
      <c r="U82">
        <v>11.842105263157896</v>
      </c>
      <c r="V82">
        <v>11</v>
      </c>
      <c r="W82">
        <v>20</v>
      </c>
      <c r="X82">
        <v>11</v>
      </c>
      <c r="Y82" t="s">
        <v>37</v>
      </c>
    </row>
    <row r="83" spans="1:25" x14ac:dyDescent="0.25">
      <c r="A83" t="s">
        <v>85</v>
      </c>
      <c r="B83" t="s">
        <v>58</v>
      </c>
      <c r="C83">
        <v>77</v>
      </c>
      <c r="E83" t="s">
        <v>56</v>
      </c>
      <c r="F83" t="s">
        <v>84</v>
      </c>
      <c r="G83" t="s">
        <v>75</v>
      </c>
      <c r="H83" t="s">
        <v>36</v>
      </c>
      <c r="I83" t="s">
        <v>58</v>
      </c>
      <c r="J83" t="b">
        <v>1</v>
      </c>
      <c r="K83" t="b">
        <v>0</v>
      </c>
      <c r="L83" t="s">
        <v>70</v>
      </c>
      <c r="M83" t="s">
        <v>57</v>
      </c>
      <c r="O83" t="s">
        <v>72</v>
      </c>
      <c r="P83">
        <v>31.5</v>
      </c>
      <c r="Q83" s="10">
        <v>46293</v>
      </c>
      <c r="R83" s="10">
        <v>46320</v>
      </c>
      <c r="S83">
        <v>2</v>
      </c>
      <c r="T83">
        <v>63</v>
      </c>
      <c r="U83">
        <v>8.2894736842105274</v>
      </c>
      <c r="V83">
        <v>8</v>
      </c>
      <c r="W83">
        <v>20</v>
      </c>
      <c r="X83">
        <v>8</v>
      </c>
      <c r="Y83" t="s">
        <v>37</v>
      </c>
    </row>
    <row r="84" spans="1:25" s="11" customFormat="1" x14ac:dyDescent="0.25">
      <c r="A84" s="11" t="s">
        <v>83</v>
      </c>
      <c r="B84" s="11" t="s">
        <v>58</v>
      </c>
      <c r="C84" s="11">
        <v>78</v>
      </c>
      <c r="E84" s="11" t="s">
        <v>56</v>
      </c>
      <c r="F84" s="11" t="s">
        <v>82</v>
      </c>
      <c r="G84" s="11" t="s">
        <v>75</v>
      </c>
      <c r="H84" s="11" t="s">
        <v>36</v>
      </c>
      <c r="I84" s="11" t="s">
        <v>58</v>
      </c>
      <c r="J84" s="11" t="b">
        <v>1</v>
      </c>
      <c r="K84" s="11" t="b">
        <v>0</v>
      </c>
      <c r="L84" s="11" t="s">
        <v>70</v>
      </c>
      <c r="M84" s="11" t="s">
        <v>57</v>
      </c>
      <c r="O84" s="11" t="s">
        <v>72</v>
      </c>
      <c r="P84" s="11">
        <v>48</v>
      </c>
      <c r="Q84" s="12">
        <v>46293</v>
      </c>
      <c r="R84" s="12">
        <v>46320</v>
      </c>
      <c r="S84" s="11">
        <v>2</v>
      </c>
      <c r="T84" s="11">
        <v>96</v>
      </c>
      <c r="U84" s="11">
        <v>12.631578947368421</v>
      </c>
      <c r="V84" s="11">
        <v>12</v>
      </c>
      <c r="W84" s="11">
        <v>20</v>
      </c>
      <c r="X84" s="11">
        <v>12</v>
      </c>
      <c r="Y84" s="11" t="s">
        <v>37</v>
      </c>
    </row>
    <row r="85" spans="1:25" x14ac:dyDescent="0.25">
      <c r="A85" t="s">
        <v>81</v>
      </c>
      <c r="B85" t="s">
        <v>6</v>
      </c>
      <c r="C85">
        <v>79</v>
      </c>
      <c r="E85" t="s">
        <v>56</v>
      </c>
      <c r="F85" t="s">
        <v>80</v>
      </c>
      <c r="G85" t="s">
        <v>75</v>
      </c>
      <c r="H85" t="s">
        <v>36</v>
      </c>
      <c r="I85" t="s">
        <v>6</v>
      </c>
      <c r="J85" t="b">
        <v>1</v>
      </c>
      <c r="K85" t="b">
        <v>1</v>
      </c>
      <c r="L85" t="s">
        <v>73</v>
      </c>
      <c r="M85" t="s">
        <v>57</v>
      </c>
      <c r="O85" t="s">
        <v>72</v>
      </c>
      <c r="P85">
        <v>36.5</v>
      </c>
      <c r="Q85" s="10">
        <v>46293</v>
      </c>
      <c r="R85" s="10">
        <v>46320</v>
      </c>
      <c r="S85">
        <v>2</v>
      </c>
      <c r="T85">
        <v>73</v>
      </c>
      <c r="U85">
        <v>9.6052631578947381</v>
      </c>
      <c r="V85">
        <v>9</v>
      </c>
      <c r="W85">
        <v>20</v>
      </c>
      <c r="X85">
        <v>9</v>
      </c>
      <c r="Y85" t="s">
        <v>37</v>
      </c>
    </row>
    <row r="86" spans="1:25" x14ac:dyDescent="0.25">
      <c r="A86" t="s">
        <v>276</v>
      </c>
      <c r="B86" t="s">
        <v>6</v>
      </c>
      <c r="C86">
        <v>80</v>
      </c>
      <c r="D86" t="s">
        <v>10</v>
      </c>
      <c r="E86" t="s">
        <v>56</v>
      </c>
      <c r="F86" t="s">
        <v>275</v>
      </c>
      <c r="G86" t="s">
        <v>75</v>
      </c>
      <c r="H86" t="s">
        <v>36</v>
      </c>
      <c r="I86" t="s">
        <v>6</v>
      </c>
      <c r="J86" t="b">
        <v>0</v>
      </c>
      <c r="K86" t="b">
        <v>1</v>
      </c>
      <c r="L86" t="s">
        <v>71</v>
      </c>
      <c r="M86" t="s">
        <v>57</v>
      </c>
      <c r="O86" t="s">
        <v>72</v>
      </c>
      <c r="P86">
        <v>45</v>
      </c>
      <c r="Q86" s="10">
        <v>46293</v>
      </c>
      <c r="R86" s="10">
        <v>46320</v>
      </c>
      <c r="S86">
        <v>2</v>
      </c>
      <c r="T86">
        <v>90</v>
      </c>
      <c r="U86">
        <v>11.842105263157896</v>
      </c>
      <c r="V86">
        <v>11</v>
      </c>
      <c r="W86">
        <v>20</v>
      </c>
      <c r="X86">
        <v>11</v>
      </c>
      <c r="Y86" t="s">
        <v>37</v>
      </c>
    </row>
    <row r="87" spans="1:25" x14ac:dyDescent="0.25">
      <c r="A87" t="s">
        <v>79</v>
      </c>
      <c r="B87" t="s">
        <v>6</v>
      </c>
      <c r="C87">
        <v>81</v>
      </c>
      <c r="E87" t="s">
        <v>56</v>
      </c>
      <c r="F87" t="s">
        <v>78</v>
      </c>
      <c r="G87" t="s">
        <v>75</v>
      </c>
      <c r="H87" t="s">
        <v>36</v>
      </c>
      <c r="I87" t="s">
        <v>6</v>
      </c>
      <c r="J87" t="b">
        <v>1</v>
      </c>
      <c r="K87" t="b">
        <v>1</v>
      </c>
      <c r="L87" t="s">
        <v>73</v>
      </c>
      <c r="M87" t="s">
        <v>57</v>
      </c>
      <c r="O87" t="s">
        <v>72</v>
      </c>
      <c r="P87">
        <v>45</v>
      </c>
      <c r="Q87" s="10">
        <v>46293</v>
      </c>
      <c r="R87" s="10">
        <v>46320</v>
      </c>
      <c r="S87">
        <v>2</v>
      </c>
      <c r="T87">
        <v>90</v>
      </c>
      <c r="U87">
        <v>11.842105263157896</v>
      </c>
      <c r="V87">
        <v>11</v>
      </c>
      <c r="W87">
        <v>20</v>
      </c>
      <c r="X87">
        <v>11</v>
      </c>
      <c r="Y87" t="s">
        <v>37</v>
      </c>
    </row>
    <row r="88" spans="1:25" x14ac:dyDescent="0.25">
      <c r="A88" t="s">
        <v>134</v>
      </c>
      <c r="B88" t="s">
        <v>7</v>
      </c>
      <c r="C88">
        <v>83</v>
      </c>
      <c r="E88" t="s">
        <v>56</v>
      </c>
      <c r="F88" t="s">
        <v>133</v>
      </c>
      <c r="G88" t="s">
        <v>75</v>
      </c>
      <c r="H88" t="s">
        <v>38</v>
      </c>
      <c r="I88" t="s">
        <v>7</v>
      </c>
      <c r="J88" t="b">
        <v>1</v>
      </c>
      <c r="K88" t="b">
        <v>1</v>
      </c>
      <c r="L88" t="s">
        <v>73</v>
      </c>
      <c r="M88" t="s">
        <v>57</v>
      </c>
      <c r="O88" t="s">
        <v>72</v>
      </c>
      <c r="P88">
        <v>76</v>
      </c>
      <c r="Q88" s="10">
        <v>46293</v>
      </c>
      <c r="R88" s="10">
        <v>46320</v>
      </c>
      <c r="S88">
        <v>2</v>
      </c>
      <c r="T88">
        <v>152</v>
      </c>
      <c r="U88">
        <v>20</v>
      </c>
      <c r="V88">
        <v>20</v>
      </c>
      <c r="W88">
        <v>20</v>
      </c>
      <c r="X88">
        <v>20</v>
      </c>
      <c r="Y88" t="s">
        <v>39</v>
      </c>
    </row>
    <row r="89" spans="1:25" x14ac:dyDescent="0.25">
      <c r="A89" t="s">
        <v>160</v>
      </c>
      <c r="B89" t="s">
        <v>6</v>
      </c>
      <c r="C89">
        <v>84</v>
      </c>
      <c r="E89" t="s">
        <v>56</v>
      </c>
      <c r="F89" t="s">
        <v>159</v>
      </c>
      <c r="G89" t="s">
        <v>75</v>
      </c>
      <c r="H89" t="s">
        <v>36</v>
      </c>
      <c r="I89" t="s">
        <v>6</v>
      </c>
      <c r="J89" t="b">
        <v>1</v>
      </c>
      <c r="K89" t="b">
        <v>1</v>
      </c>
      <c r="L89" t="s">
        <v>73</v>
      </c>
      <c r="M89" t="s">
        <v>57</v>
      </c>
      <c r="O89" t="s">
        <v>72</v>
      </c>
      <c r="P89">
        <v>22.5</v>
      </c>
      <c r="Q89" s="10">
        <v>46293</v>
      </c>
      <c r="R89" s="10">
        <v>46320</v>
      </c>
      <c r="S89">
        <v>2</v>
      </c>
      <c r="T89">
        <v>45</v>
      </c>
      <c r="U89">
        <v>5.9210526315789478</v>
      </c>
      <c r="V89">
        <v>5</v>
      </c>
      <c r="W89">
        <v>20</v>
      </c>
      <c r="X89">
        <v>5</v>
      </c>
      <c r="Y89" t="s">
        <v>37</v>
      </c>
    </row>
    <row r="90" spans="1:25" x14ac:dyDescent="0.25">
      <c r="A90" t="s">
        <v>136</v>
      </c>
      <c r="B90" t="s">
        <v>6</v>
      </c>
      <c r="C90">
        <v>85</v>
      </c>
      <c r="E90" t="s">
        <v>56</v>
      </c>
      <c r="F90" t="s">
        <v>135</v>
      </c>
      <c r="G90" t="s">
        <v>75</v>
      </c>
      <c r="H90" t="s">
        <v>36</v>
      </c>
      <c r="I90" t="s">
        <v>6</v>
      </c>
      <c r="J90" t="b">
        <v>1</v>
      </c>
      <c r="K90" t="b">
        <v>0</v>
      </c>
      <c r="L90" t="s">
        <v>70</v>
      </c>
      <c r="M90" t="s">
        <v>57</v>
      </c>
      <c r="O90" t="s">
        <v>72</v>
      </c>
      <c r="P90">
        <v>45</v>
      </c>
      <c r="Q90" s="10">
        <v>46293</v>
      </c>
      <c r="R90" s="10">
        <v>46320</v>
      </c>
      <c r="S90">
        <v>2</v>
      </c>
      <c r="T90">
        <v>90</v>
      </c>
      <c r="U90">
        <v>11.842105263157896</v>
      </c>
      <c r="V90">
        <v>11</v>
      </c>
      <c r="W90">
        <v>20</v>
      </c>
      <c r="X90">
        <v>11</v>
      </c>
      <c r="Y90" t="s">
        <v>37</v>
      </c>
    </row>
    <row r="91" spans="1:25" x14ac:dyDescent="0.25">
      <c r="A91" t="s">
        <v>186</v>
      </c>
      <c r="B91" t="s">
        <v>7</v>
      </c>
      <c r="C91">
        <v>86</v>
      </c>
      <c r="E91" t="s">
        <v>56</v>
      </c>
      <c r="F91" t="s">
        <v>185</v>
      </c>
      <c r="G91" t="s">
        <v>75</v>
      </c>
      <c r="H91" t="s">
        <v>38</v>
      </c>
      <c r="I91" t="s">
        <v>7</v>
      </c>
      <c r="J91" t="b">
        <v>1</v>
      </c>
      <c r="K91" t="b">
        <v>1</v>
      </c>
      <c r="L91" t="s">
        <v>73</v>
      </c>
      <c r="M91" t="s">
        <v>57</v>
      </c>
      <c r="O91" t="s">
        <v>72</v>
      </c>
      <c r="P91">
        <v>76</v>
      </c>
      <c r="Q91" s="10">
        <v>46293</v>
      </c>
      <c r="R91" s="10">
        <v>46320</v>
      </c>
      <c r="S91">
        <v>2</v>
      </c>
      <c r="T91">
        <v>152</v>
      </c>
      <c r="U91">
        <v>20</v>
      </c>
      <c r="V91">
        <v>20</v>
      </c>
      <c r="W91">
        <v>20</v>
      </c>
      <c r="X91">
        <v>20</v>
      </c>
      <c r="Y91" t="s">
        <v>39</v>
      </c>
    </row>
    <row r="92" spans="1:25" x14ac:dyDescent="0.25">
      <c r="A92" t="s">
        <v>184</v>
      </c>
      <c r="B92" t="s">
        <v>7</v>
      </c>
      <c r="C92">
        <v>87</v>
      </c>
      <c r="E92" t="s">
        <v>56</v>
      </c>
      <c r="F92" t="s">
        <v>183</v>
      </c>
      <c r="G92" t="s">
        <v>75</v>
      </c>
      <c r="H92" t="s">
        <v>38</v>
      </c>
      <c r="I92" t="s">
        <v>7</v>
      </c>
      <c r="J92" t="b">
        <v>1</v>
      </c>
      <c r="K92" t="b">
        <v>1</v>
      </c>
      <c r="L92" t="s">
        <v>73</v>
      </c>
      <c r="M92" t="s">
        <v>57</v>
      </c>
      <c r="O92" t="s">
        <v>72</v>
      </c>
      <c r="P92">
        <v>76</v>
      </c>
      <c r="Q92" s="10">
        <v>46293</v>
      </c>
      <c r="R92" s="10">
        <v>46320</v>
      </c>
      <c r="S92">
        <v>2</v>
      </c>
      <c r="T92">
        <v>152</v>
      </c>
      <c r="U92">
        <v>20</v>
      </c>
      <c r="V92">
        <v>20</v>
      </c>
      <c r="W92">
        <v>20</v>
      </c>
      <c r="X92">
        <v>20</v>
      </c>
      <c r="Y92" t="s">
        <v>39</v>
      </c>
    </row>
    <row r="93" spans="1:25" x14ac:dyDescent="0.25">
      <c r="A93" t="s">
        <v>182</v>
      </c>
      <c r="B93" t="s">
        <v>6</v>
      </c>
      <c r="C93">
        <v>88</v>
      </c>
      <c r="E93" t="s">
        <v>56</v>
      </c>
      <c r="F93" t="s">
        <v>181</v>
      </c>
      <c r="G93" t="s">
        <v>75</v>
      </c>
      <c r="H93" t="s">
        <v>36</v>
      </c>
      <c r="I93" t="s">
        <v>6</v>
      </c>
      <c r="J93" t="b">
        <v>1</v>
      </c>
      <c r="K93" t="b">
        <v>1</v>
      </c>
      <c r="L93" t="s">
        <v>73</v>
      </c>
      <c r="M93" t="s">
        <v>57</v>
      </c>
      <c r="O93" t="s">
        <v>72</v>
      </c>
      <c r="P93">
        <v>60</v>
      </c>
      <c r="Q93" s="10">
        <v>46293</v>
      </c>
      <c r="R93" s="10">
        <v>46320</v>
      </c>
      <c r="S93">
        <v>2</v>
      </c>
      <c r="T93">
        <v>120</v>
      </c>
      <c r="U93">
        <v>15.789473684210527</v>
      </c>
      <c r="V93">
        <v>15</v>
      </c>
      <c r="W93">
        <v>20</v>
      </c>
      <c r="X93">
        <v>15</v>
      </c>
      <c r="Y93" t="s">
        <v>37</v>
      </c>
    </row>
    <row r="94" spans="1:25" x14ac:dyDescent="0.25">
      <c r="A94" t="s">
        <v>180</v>
      </c>
      <c r="B94" t="s">
        <v>6</v>
      </c>
      <c r="C94">
        <v>89</v>
      </c>
      <c r="E94" t="s">
        <v>56</v>
      </c>
      <c r="F94" t="s">
        <v>179</v>
      </c>
      <c r="G94" t="s">
        <v>75</v>
      </c>
      <c r="H94" t="s">
        <v>36</v>
      </c>
      <c r="I94" t="s">
        <v>6</v>
      </c>
      <c r="J94" t="b">
        <v>1</v>
      </c>
      <c r="K94" t="b">
        <v>1</v>
      </c>
      <c r="L94" t="s">
        <v>73</v>
      </c>
      <c r="M94" t="s">
        <v>57</v>
      </c>
      <c r="O94" t="s">
        <v>72</v>
      </c>
      <c r="P94">
        <v>75</v>
      </c>
      <c r="Q94" s="10">
        <v>46293</v>
      </c>
      <c r="R94" s="10">
        <v>46320</v>
      </c>
      <c r="S94">
        <v>2</v>
      </c>
      <c r="T94">
        <v>150</v>
      </c>
      <c r="U94">
        <v>19.736842105263158</v>
      </c>
      <c r="V94">
        <v>19</v>
      </c>
      <c r="W94">
        <v>20</v>
      </c>
      <c r="X94">
        <v>19</v>
      </c>
      <c r="Y94" t="s">
        <v>37</v>
      </c>
    </row>
    <row r="95" spans="1:25" x14ac:dyDescent="0.25">
      <c r="A95" t="s">
        <v>178</v>
      </c>
      <c r="B95" t="s">
        <v>6</v>
      </c>
      <c r="C95">
        <v>90</v>
      </c>
      <c r="E95" t="s">
        <v>56</v>
      </c>
      <c r="F95" t="s">
        <v>177</v>
      </c>
      <c r="G95" t="s">
        <v>75</v>
      </c>
      <c r="H95" t="s">
        <v>36</v>
      </c>
      <c r="I95" t="s">
        <v>6</v>
      </c>
      <c r="J95" t="b">
        <v>1</v>
      </c>
      <c r="K95" t="b">
        <v>1</v>
      </c>
      <c r="L95" t="s">
        <v>73</v>
      </c>
      <c r="M95" t="s">
        <v>57</v>
      </c>
      <c r="O95" t="s">
        <v>72</v>
      </c>
      <c r="P95">
        <v>60</v>
      </c>
      <c r="Q95" s="10">
        <v>46293</v>
      </c>
      <c r="R95" s="10">
        <v>46320</v>
      </c>
      <c r="S95">
        <v>2</v>
      </c>
      <c r="T95">
        <v>120</v>
      </c>
      <c r="U95">
        <v>15.789473684210527</v>
      </c>
      <c r="V95">
        <v>15</v>
      </c>
      <c r="W95">
        <v>20</v>
      </c>
      <c r="X95">
        <v>15</v>
      </c>
      <c r="Y95" t="s">
        <v>37</v>
      </c>
    </row>
    <row r="96" spans="1:25" x14ac:dyDescent="0.25">
      <c r="A96" t="s">
        <v>176</v>
      </c>
      <c r="B96" t="s">
        <v>6</v>
      </c>
      <c r="C96">
        <v>91</v>
      </c>
      <c r="E96" t="s">
        <v>56</v>
      </c>
      <c r="F96" t="s">
        <v>175</v>
      </c>
      <c r="G96" t="s">
        <v>75</v>
      </c>
      <c r="H96" t="s">
        <v>36</v>
      </c>
      <c r="I96" t="s">
        <v>6</v>
      </c>
      <c r="J96" t="b">
        <v>1</v>
      </c>
      <c r="K96" t="b">
        <v>1</v>
      </c>
      <c r="L96" t="s">
        <v>73</v>
      </c>
      <c r="M96" t="s">
        <v>57</v>
      </c>
      <c r="O96" t="s">
        <v>72</v>
      </c>
      <c r="P96">
        <v>37.5</v>
      </c>
      <c r="Q96" s="10">
        <v>46293</v>
      </c>
      <c r="R96" s="10">
        <v>46320</v>
      </c>
      <c r="S96">
        <v>2</v>
      </c>
      <c r="T96">
        <v>75</v>
      </c>
      <c r="U96">
        <v>9.8684210526315788</v>
      </c>
      <c r="V96">
        <v>9</v>
      </c>
      <c r="W96">
        <v>20</v>
      </c>
      <c r="X96">
        <v>9</v>
      </c>
      <c r="Y96" t="s">
        <v>37</v>
      </c>
    </row>
    <row r="97" spans="1:25" x14ac:dyDescent="0.25">
      <c r="A97" t="s">
        <v>174</v>
      </c>
      <c r="B97" t="s">
        <v>6</v>
      </c>
      <c r="C97">
        <v>92</v>
      </c>
      <c r="E97" t="s">
        <v>56</v>
      </c>
      <c r="F97" t="s">
        <v>173</v>
      </c>
      <c r="G97" t="s">
        <v>75</v>
      </c>
      <c r="H97" t="s">
        <v>36</v>
      </c>
      <c r="I97" t="s">
        <v>6</v>
      </c>
      <c r="J97" t="b">
        <v>1</v>
      </c>
      <c r="K97" t="b">
        <v>1</v>
      </c>
      <c r="L97" t="s">
        <v>73</v>
      </c>
      <c r="M97" t="s">
        <v>57</v>
      </c>
      <c r="O97" t="s">
        <v>72</v>
      </c>
      <c r="P97">
        <v>37.5</v>
      </c>
      <c r="Q97" s="10">
        <v>46293</v>
      </c>
      <c r="R97" s="10">
        <v>46320</v>
      </c>
      <c r="S97">
        <v>2</v>
      </c>
      <c r="T97">
        <v>75</v>
      </c>
      <c r="U97">
        <v>9.8684210526315788</v>
      </c>
      <c r="V97">
        <v>9</v>
      </c>
      <c r="W97">
        <v>20</v>
      </c>
      <c r="X97">
        <v>9</v>
      </c>
      <c r="Y97" t="s">
        <v>37</v>
      </c>
    </row>
    <row r="98" spans="1:25" x14ac:dyDescent="0.25">
      <c r="A98" t="s">
        <v>172</v>
      </c>
      <c r="B98" t="s">
        <v>7</v>
      </c>
      <c r="C98">
        <v>93</v>
      </c>
      <c r="E98" t="s">
        <v>56</v>
      </c>
      <c r="F98" t="s">
        <v>171</v>
      </c>
      <c r="G98" t="s">
        <v>75</v>
      </c>
      <c r="H98" t="s">
        <v>36</v>
      </c>
      <c r="I98" t="s">
        <v>7</v>
      </c>
      <c r="J98" t="b">
        <v>1</v>
      </c>
      <c r="K98" t="b">
        <v>0</v>
      </c>
      <c r="L98" t="s">
        <v>70</v>
      </c>
      <c r="M98" t="s">
        <v>57</v>
      </c>
      <c r="O98" t="s">
        <v>72</v>
      </c>
      <c r="P98">
        <v>72</v>
      </c>
      <c r="Q98" s="10">
        <v>46293</v>
      </c>
      <c r="R98" s="10">
        <v>46320</v>
      </c>
      <c r="S98">
        <v>2</v>
      </c>
      <c r="T98">
        <v>144</v>
      </c>
      <c r="U98">
        <v>18.947368421052634</v>
      </c>
      <c r="V98">
        <v>18</v>
      </c>
      <c r="W98">
        <v>20</v>
      </c>
      <c r="X98">
        <v>18</v>
      </c>
      <c r="Y98" t="s">
        <v>37</v>
      </c>
    </row>
    <row r="99" spans="1:25" x14ac:dyDescent="0.25">
      <c r="A99" t="s">
        <v>170</v>
      </c>
      <c r="B99" t="s">
        <v>6</v>
      </c>
      <c r="C99">
        <v>94</v>
      </c>
      <c r="E99" t="s">
        <v>56</v>
      </c>
      <c r="F99" t="s">
        <v>169</v>
      </c>
      <c r="G99" t="s">
        <v>75</v>
      </c>
      <c r="H99" t="s">
        <v>36</v>
      </c>
      <c r="I99" t="s">
        <v>6</v>
      </c>
      <c r="J99" t="b">
        <v>1</v>
      </c>
      <c r="K99" t="b">
        <v>1</v>
      </c>
      <c r="L99" t="s">
        <v>73</v>
      </c>
      <c r="M99" t="s">
        <v>57</v>
      </c>
      <c r="O99" t="s">
        <v>72</v>
      </c>
      <c r="P99">
        <v>20.5</v>
      </c>
      <c r="Q99" s="10">
        <v>46293</v>
      </c>
      <c r="R99" s="10">
        <v>46320</v>
      </c>
      <c r="S99">
        <v>2</v>
      </c>
      <c r="T99">
        <v>41</v>
      </c>
      <c r="U99">
        <v>5.3947368421052637</v>
      </c>
      <c r="V99">
        <v>5</v>
      </c>
      <c r="W99">
        <v>20</v>
      </c>
      <c r="X99">
        <v>5</v>
      </c>
      <c r="Y99" t="s">
        <v>37</v>
      </c>
    </row>
    <row r="100" spans="1:25" x14ac:dyDescent="0.25">
      <c r="A100" t="s">
        <v>168</v>
      </c>
      <c r="B100" t="s">
        <v>6</v>
      </c>
      <c r="C100">
        <v>95</v>
      </c>
      <c r="E100" t="s">
        <v>56</v>
      </c>
      <c r="F100" t="s">
        <v>167</v>
      </c>
      <c r="G100" t="s">
        <v>75</v>
      </c>
      <c r="H100" t="s">
        <v>36</v>
      </c>
      <c r="I100" t="s">
        <v>6</v>
      </c>
      <c r="J100" t="b">
        <v>1</v>
      </c>
      <c r="K100" t="b">
        <v>1</v>
      </c>
      <c r="L100" t="s">
        <v>73</v>
      </c>
      <c r="M100" t="s">
        <v>57</v>
      </c>
      <c r="O100" t="s">
        <v>72</v>
      </c>
      <c r="P100">
        <v>67.5</v>
      </c>
      <c r="Q100" s="10">
        <v>46293</v>
      </c>
      <c r="R100" s="10">
        <v>46320</v>
      </c>
      <c r="S100">
        <v>2</v>
      </c>
      <c r="T100">
        <v>135</v>
      </c>
      <c r="U100">
        <v>17.763157894736842</v>
      </c>
      <c r="V100">
        <v>17</v>
      </c>
      <c r="W100">
        <v>20</v>
      </c>
      <c r="X100">
        <v>17</v>
      </c>
      <c r="Y100" t="s">
        <v>37</v>
      </c>
    </row>
    <row r="101" spans="1:25" x14ac:dyDescent="0.25">
      <c r="A101" t="s">
        <v>166</v>
      </c>
      <c r="B101" t="s">
        <v>58</v>
      </c>
      <c r="C101">
        <v>96</v>
      </c>
      <c r="E101" t="s">
        <v>56</v>
      </c>
      <c r="F101" t="s">
        <v>165</v>
      </c>
      <c r="G101" t="s">
        <v>75</v>
      </c>
      <c r="H101" t="s">
        <v>36</v>
      </c>
      <c r="I101" t="s">
        <v>58</v>
      </c>
      <c r="J101" t="b">
        <v>1</v>
      </c>
      <c r="K101" t="b">
        <v>1</v>
      </c>
      <c r="L101" t="s">
        <v>73</v>
      </c>
      <c r="M101" t="s">
        <v>57</v>
      </c>
      <c r="O101" t="s">
        <v>72</v>
      </c>
      <c r="P101">
        <v>45</v>
      </c>
      <c r="Q101" s="10">
        <v>46293</v>
      </c>
      <c r="R101" s="10">
        <v>46320</v>
      </c>
      <c r="S101">
        <v>2</v>
      </c>
      <c r="T101">
        <v>90</v>
      </c>
      <c r="U101">
        <v>11.842105263157896</v>
      </c>
      <c r="V101">
        <v>11</v>
      </c>
      <c r="W101">
        <v>20</v>
      </c>
      <c r="X101">
        <v>11</v>
      </c>
      <c r="Y101" t="s">
        <v>37</v>
      </c>
    </row>
    <row r="102" spans="1:25" x14ac:dyDescent="0.25">
      <c r="A102" t="s">
        <v>164</v>
      </c>
      <c r="B102" t="s">
        <v>6</v>
      </c>
      <c r="C102">
        <v>97</v>
      </c>
      <c r="E102" t="s">
        <v>56</v>
      </c>
      <c r="F102" t="s">
        <v>163</v>
      </c>
      <c r="G102" t="s">
        <v>75</v>
      </c>
      <c r="H102" t="s">
        <v>36</v>
      </c>
      <c r="I102" t="s">
        <v>6</v>
      </c>
      <c r="J102" t="b">
        <v>1</v>
      </c>
      <c r="K102" t="b">
        <v>1</v>
      </c>
      <c r="L102" t="s">
        <v>73</v>
      </c>
      <c r="M102" t="s">
        <v>57</v>
      </c>
      <c r="O102" t="s">
        <v>72</v>
      </c>
      <c r="P102">
        <v>45</v>
      </c>
      <c r="Q102" s="10">
        <v>46293</v>
      </c>
      <c r="R102" s="10">
        <v>46320</v>
      </c>
      <c r="S102">
        <v>2</v>
      </c>
      <c r="T102">
        <v>90</v>
      </c>
      <c r="U102">
        <v>11.842105263157896</v>
      </c>
      <c r="V102">
        <v>11</v>
      </c>
      <c r="W102">
        <v>20</v>
      </c>
      <c r="X102">
        <v>11</v>
      </c>
      <c r="Y102" t="s">
        <v>37</v>
      </c>
    </row>
    <row r="103" spans="1:25" x14ac:dyDescent="0.25">
      <c r="A103" t="s">
        <v>188</v>
      </c>
      <c r="B103" t="s">
        <v>6</v>
      </c>
      <c r="C103">
        <v>99</v>
      </c>
      <c r="E103" t="s">
        <v>56</v>
      </c>
      <c r="F103" t="s">
        <v>187</v>
      </c>
      <c r="G103" t="s">
        <v>75</v>
      </c>
      <c r="H103" t="s">
        <v>36</v>
      </c>
      <c r="I103" t="s">
        <v>6</v>
      </c>
      <c r="J103" t="b">
        <v>1</v>
      </c>
      <c r="K103" t="b">
        <v>1</v>
      </c>
      <c r="L103" t="s">
        <v>73</v>
      </c>
      <c r="M103" t="s">
        <v>57</v>
      </c>
      <c r="O103" t="s">
        <v>72</v>
      </c>
      <c r="P103">
        <v>60</v>
      </c>
      <c r="Q103" s="10">
        <v>46293</v>
      </c>
      <c r="R103" s="10">
        <v>46320</v>
      </c>
      <c r="S103">
        <v>2</v>
      </c>
      <c r="T103">
        <v>120</v>
      </c>
      <c r="U103">
        <v>15.789473684210527</v>
      </c>
      <c r="V103">
        <v>15</v>
      </c>
      <c r="W103">
        <v>20</v>
      </c>
      <c r="X103">
        <v>15</v>
      </c>
      <c r="Y103" t="s">
        <v>37</v>
      </c>
    </row>
    <row r="104" spans="1:25" x14ac:dyDescent="0.25">
      <c r="A104" t="s">
        <v>158</v>
      </c>
      <c r="B104" t="s">
        <v>6</v>
      </c>
      <c r="C104">
        <v>101</v>
      </c>
      <c r="E104" t="s">
        <v>56</v>
      </c>
      <c r="F104" t="s">
        <v>157</v>
      </c>
      <c r="G104" t="s">
        <v>75</v>
      </c>
      <c r="H104" t="s">
        <v>38</v>
      </c>
      <c r="I104" t="s">
        <v>6</v>
      </c>
      <c r="J104" t="b">
        <v>1</v>
      </c>
      <c r="K104" t="b">
        <v>1</v>
      </c>
      <c r="L104" t="s">
        <v>73</v>
      </c>
      <c r="M104" t="s">
        <v>57</v>
      </c>
      <c r="O104" t="s">
        <v>72</v>
      </c>
      <c r="P104">
        <v>76</v>
      </c>
      <c r="Q104" s="10">
        <v>46293</v>
      </c>
      <c r="R104" s="10">
        <v>46320</v>
      </c>
      <c r="S104">
        <v>2</v>
      </c>
      <c r="T104">
        <v>152</v>
      </c>
      <c r="U104">
        <v>20</v>
      </c>
      <c r="V104">
        <v>20</v>
      </c>
      <c r="W104">
        <v>20</v>
      </c>
      <c r="X104">
        <v>20</v>
      </c>
      <c r="Y104" t="s">
        <v>39</v>
      </c>
    </row>
    <row r="105" spans="1:25" x14ac:dyDescent="0.25">
      <c r="A105" t="s">
        <v>156</v>
      </c>
      <c r="B105" t="s">
        <v>6</v>
      </c>
      <c r="C105">
        <v>102</v>
      </c>
      <c r="E105" t="s">
        <v>56</v>
      </c>
      <c r="F105" t="s">
        <v>155</v>
      </c>
      <c r="G105" t="s">
        <v>75</v>
      </c>
      <c r="H105" t="s">
        <v>36</v>
      </c>
      <c r="I105" t="s">
        <v>6</v>
      </c>
      <c r="J105" t="b">
        <v>1</v>
      </c>
      <c r="K105" t="b">
        <v>0</v>
      </c>
      <c r="L105" t="s">
        <v>70</v>
      </c>
      <c r="M105" t="s">
        <v>57</v>
      </c>
      <c r="O105" t="s">
        <v>72</v>
      </c>
      <c r="P105">
        <v>45</v>
      </c>
      <c r="Q105" s="10">
        <v>46293</v>
      </c>
      <c r="R105" s="10">
        <v>46320</v>
      </c>
      <c r="S105">
        <v>2</v>
      </c>
      <c r="T105">
        <v>90</v>
      </c>
      <c r="U105">
        <v>11.842105263157896</v>
      </c>
      <c r="V105">
        <v>11</v>
      </c>
      <c r="W105">
        <v>20</v>
      </c>
      <c r="X105">
        <v>11</v>
      </c>
      <c r="Y105" t="s">
        <v>37</v>
      </c>
    </row>
    <row r="106" spans="1:25" x14ac:dyDescent="0.25">
      <c r="A106" t="s">
        <v>154</v>
      </c>
      <c r="B106" t="s">
        <v>7</v>
      </c>
      <c r="C106">
        <v>103</v>
      </c>
      <c r="E106" t="s">
        <v>56</v>
      </c>
      <c r="F106" t="s">
        <v>153</v>
      </c>
      <c r="G106" t="s">
        <v>75</v>
      </c>
      <c r="H106" t="s">
        <v>36</v>
      </c>
      <c r="I106" t="s">
        <v>7</v>
      </c>
      <c r="J106" t="b">
        <v>1</v>
      </c>
      <c r="K106" t="b">
        <v>0</v>
      </c>
      <c r="L106" t="s">
        <v>70</v>
      </c>
      <c r="M106" t="s">
        <v>57</v>
      </c>
      <c r="O106" t="s">
        <v>72</v>
      </c>
      <c r="P106">
        <v>40</v>
      </c>
      <c r="Q106" s="10">
        <v>46293</v>
      </c>
      <c r="R106" s="10">
        <v>46320</v>
      </c>
      <c r="S106">
        <v>2</v>
      </c>
      <c r="T106">
        <v>80</v>
      </c>
      <c r="U106">
        <v>10.526315789473685</v>
      </c>
      <c r="V106">
        <v>10</v>
      </c>
      <c r="W106">
        <v>20</v>
      </c>
      <c r="X106">
        <v>10</v>
      </c>
      <c r="Y106" t="s">
        <v>37</v>
      </c>
    </row>
    <row r="107" spans="1:25" x14ac:dyDescent="0.25">
      <c r="A107" t="s">
        <v>152</v>
      </c>
      <c r="B107" t="s">
        <v>6</v>
      </c>
      <c r="C107">
        <v>104</v>
      </c>
      <c r="E107" t="s">
        <v>56</v>
      </c>
      <c r="F107" t="s">
        <v>151</v>
      </c>
      <c r="G107" t="s">
        <v>75</v>
      </c>
      <c r="H107" t="s">
        <v>36</v>
      </c>
      <c r="I107" t="s">
        <v>6</v>
      </c>
      <c r="J107" t="b">
        <v>1</v>
      </c>
      <c r="K107" t="b">
        <v>1</v>
      </c>
      <c r="L107" t="s">
        <v>73</v>
      </c>
      <c r="M107" t="s">
        <v>57</v>
      </c>
      <c r="O107" t="s">
        <v>72</v>
      </c>
      <c r="P107">
        <v>60</v>
      </c>
      <c r="Q107" s="10">
        <v>46293</v>
      </c>
      <c r="R107" s="10">
        <v>46320</v>
      </c>
      <c r="S107">
        <v>2</v>
      </c>
      <c r="T107">
        <v>120</v>
      </c>
      <c r="U107">
        <v>15.789473684210527</v>
      </c>
      <c r="V107">
        <v>15</v>
      </c>
      <c r="W107">
        <v>20</v>
      </c>
      <c r="X107">
        <v>15</v>
      </c>
      <c r="Y107" t="s">
        <v>37</v>
      </c>
    </row>
    <row r="108" spans="1:25" x14ac:dyDescent="0.25">
      <c r="A108" t="s">
        <v>150</v>
      </c>
      <c r="B108" t="s">
        <v>6</v>
      </c>
      <c r="C108">
        <v>105</v>
      </c>
      <c r="E108" t="s">
        <v>56</v>
      </c>
      <c r="F108" t="s">
        <v>149</v>
      </c>
      <c r="G108" t="s">
        <v>75</v>
      </c>
      <c r="H108" t="s">
        <v>36</v>
      </c>
      <c r="I108" t="s">
        <v>6</v>
      </c>
      <c r="J108" t="b">
        <v>1</v>
      </c>
      <c r="K108" t="b">
        <v>1</v>
      </c>
      <c r="L108" t="s">
        <v>73</v>
      </c>
      <c r="M108" t="s">
        <v>57</v>
      </c>
      <c r="O108" t="s">
        <v>72</v>
      </c>
      <c r="P108">
        <v>67.5</v>
      </c>
      <c r="Q108" s="10">
        <v>46293</v>
      </c>
      <c r="R108" s="10">
        <v>46320</v>
      </c>
      <c r="S108">
        <v>2</v>
      </c>
      <c r="T108">
        <v>135</v>
      </c>
      <c r="U108">
        <v>17.763157894736842</v>
      </c>
      <c r="V108">
        <v>17</v>
      </c>
      <c r="W108">
        <v>20</v>
      </c>
      <c r="X108">
        <v>17</v>
      </c>
      <c r="Y108" t="s">
        <v>37</v>
      </c>
    </row>
    <row r="109" spans="1:25" x14ac:dyDescent="0.25">
      <c r="A109" t="s">
        <v>148</v>
      </c>
      <c r="B109" t="s">
        <v>58</v>
      </c>
      <c r="C109">
        <v>106</v>
      </c>
      <c r="E109" t="s">
        <v>56</v>
      </c>
      <c r="F109" t="s">
        <v>147</v>
      </c>
      <c r="G109" t="s">
        <v>75</v>
      </c>
      <c r="H109" t="s">
        <v>36</v>
      </c>
      <c r="I109" t="s">
        <v>58</v>
      </c>
      <c r="J109" t="b">
        <v>1</v>
      </c>
      <c r="K109" t="b">
        <v>1</v>
      </c>
      <c r="L109" t="s">
        <v>73</v>
      </c>
      <c r="M109" t="s">
        <v>57</v>
      </c>
      <c r="O109" t="s">
        <v>72</v>
      </c>
      <c r="P109">
        <v>60</v>
      </c>
      <c r="Q109" s="10">
        <v>46293</v>
      </c>
      <c r="R109" s="10">
        <v>46320</v>
      </c>
      <c r="S109">
        <v>2</v>
      </c>
      <c r="T109">
        <v>120</v>
      </c>
      <c r="U109">
        <v>15.789473684210527</v>
      </c>
      <c r="V109">
        <v>15</v>
      </c>
      <c r="W109">
        <v>20</v>
      </c>
      <c r="X109">
        <v>15</v>
      </c>
      <c r="Y109" t="s">
        <v>37</v>
      </c>
    </row>
    <row r="110" spans="1:25" x14ac:dyDescent="0.25">
      <c r="A110" t="s">
        <v>146</v>
      </c>
      <c r="B110" t="s">
        <v>6</v>
      </c>
      <c r="C110">
        <v>107</v>
      </c>
      <c r="E110" t="s">
        <v>56</v>
      </c>
      <c r="F110" t="s">
        <v>145</v>
      </c>
      <c r="G110" t="s">
        <v>75</v>
      </c>
      <c r="H110" t="s">
        <v>36</v>
      </c>
      <c r="I110" t="s">
        <v>6</v>
      </c>
      <c r="J110" t="b">
        <v>1</v>
      </c>
      <c r="K110" t="b">
        <v>1</v>
      </c>
      <c r="L110" t="s">
        <v>73</v>
      </c>
      <c r="M110" t="s">
        <v>57</v>
      </c>
      <c r="O110" t="s">
        <v>72</v>
      </c>
      <c r="P110">
        <v>45</v>
      </c>
      <c r="Q110" s="10">
        <v>46293</v>
      </c>
      <c r="R110" s="10">
        <v>46320</v>
      </c>
      <c r="S110">
        <v>2</v>
      </c>
      <c r="T110">
        <v>90</v>
      </c>
      <c r="U110">
        <v>11.842105263157896</v>
      </c>
      <c r="V110">
        <v>11</v>
      </c>
      <c r="W110">
        <v>20</v>
      </c>
      <c r="X110">
        <v>11</v>
      </c>
      <c r="Y110" t="s">
        <v>37</v>
      </c>
    </row>
    <row r="111" spans="1:25" x14ac:dyDescent="0.25">
      <c r="A111" t="s">
        <v>144</v>
      </c>
      <c r="B111" t="s">
        <v>7</v>
      </c>
      <c r="C111">
        <v>108</v>
      </c>
      <c r="E111" t="s">
        <v>56</v>
      </c>
      <c r="F111" t="s">
        <v>143</v>
      </c>
      <c r="G111" t="s">
        <v>75</v>
      </c>
      <c r="H111" t="s">
        <v>36</v>
      </c>
      <c r="I111" t="s">
        <v>7</v>
      </c>
      <c r="J111" t="b">
        <v>1</v>
      </c>
      <c r="K111" t="b">
        <v>1</v>
      </c>
      <c r="L111" t="s">
        <v>73</v>
      </c>
      <c r="M111" t="s">
        <v>57</v>
      </c>
      <c r="O111" t="s">
        <v>72</v>
      </c>
      <c r="P111">
        <v>32</v>
      </c>
      <c r="Q111" s="10">
        <v>46293</v>
      </c>
      <c r="R111" s="10">
        <v>46320</v>
      </c>
      <c r="S111">
        <v>2</v>
      </c>
      <c r="T111">
        <v>64</v>
      </c>
      <c r="U111">
        <v>8.4210526315789469</v>
      </c>
      <c r="V111">
        <v>8</v>
      </c>
      <c r="W111">
        <v>20</v>
      </c>
      <c r="X111">
        <v>8</v>
      </c>
      <c r="Y111" t="s">
        <v>37</v>
      </c>
    </row>
    <row r="112" spans="1:25" x14ac:dyDescent="0.25">
      <c r="A112" t="s">
        <v>142</v>
      </c>
      <c r="B112" t="s">
        <v>7</v>
      </c>
      <c r="C112">
        <v>109</v>
      </c>
      <c r="E112" t="s">
        <v>56</v>
      </c>
      <c r="F112" t="s">
        <v>141</v>
      </c>
      <c r="G112" t="s">
        <v>75</v>
      </c>
      <c r="H112" t="s">
        <v>36</v>
      </c>
      <c r="I112" t="s">
        <v>7</v>
      </c>
      <c r="J112" t="b">
        <v>1</v>
      </c>
      <c r="K112" t="b">
        <v>1</v>
      </c>
      <c r="L112" t="s">
        <v>73</v>
      </c>
      <c r="M112" t="s">
        <v>57</v>
      </c>
      <c r="O112" t="s">
        <v>72</v>
      </c>
      <c r="P112">
        <v>32</v>
      </c>
      <c r="Q112" s="10">
        <v>46293</v>
      </c>
      <c r="R112" s="10">
        <v>46320</v>
      </c>
      <c r="S112">
        <v>2</v>
      </c>
      <c r="T112">
        <v>64</v>
      </c>
      <c r="U112">
        <v>8.4210526315789469</v>
      </c>
      <c r="V112">
        <v>8</v>
      </c>
      <c r="W112">
        <v>20</v>
      </c>
      <c r="X112">
        <v>8</v>
      </c>
      <c r="Y112" t="s">
        <v>37</v>
      </c>
    </row>
    <row r="113" spans="1:25" x14ac:dyDescent="0.25">
      <c r="A113" t="s">
        <v>140</v>
      </c>
      <c r="B113" t="s">
        <v>6</v>
      </c>
      <c r="C113">
        <v>110</v>
      </c>
      <c r="E113" t="s">
        <v>56</v>
      </c>
      <c r="F113" t="s">
        <v>139</v>
      </c>
      <c r="G113" t="s">
        <v>75</v>
      </c>
      <c r="H113" t="s">
        <v>36</v>
      </c>
      <c r="I113" t="s">
        <v>6</v>
      </c>
      <c r="J113" t="b">
        <v>1</v>
      </c>
      <c r="K113" t="b">
        <v>1</v>
      </c>
      <c r="L113" t="s">
        <v>73</v>
      </c>
      <c r="M113" t="s">
        <v>57</v>
      </c>
      <c r="O113" t="s">
        <v>72</v>
      </c>
      <c r="P113">
        <v>37.5</v>
      </c>
      <c r="Q113" s="10">
        <v>46293</v>
      </c>
      <c r="R113" s="10">
        <v>46320</v>
      </c>
      <c r="S113">
        <v>2</v>
      </c>
      <c r="T113">
        <v>75</v>
      </c>
      <c r="U113">
        <v>9.8684210526315788</v>
      </c>
      <c r="V113">
        <v>9</v>
      </c>
      <c r="W113">
        <v>20</v>
      </c>
      <c r="X113">
        <v>9</v>
      </c>
      <c r="Y113" t="s">
        <v>37</v>
      </c>
    </row>
    <row r="114" spans="1:25" x14ac:dyDescent="0.25">
      <c r="A114" t="s">
        <v>138</v>
      </c>
      <c r="B114" t="s">
        <v>7</v>
      </c>
      <c r="C114">
        <v>111</v>
      </c>
      <c r="E114" t="s">
        <v>56</v>
      </c>
      <c r="F114" t="s">
        <v>137</v>
      </c>
      <c r="G114" t="s">
        <v>75</v>
      </c>
      <c r="H114" t="s">
        <v>36</v>
      </c>
      <c r="I114" t="s">
        <v>7</v>
      </c>
      <c r="J114" t="b">
        <v>1</v>
      </c>
      <c r="K114" t="b">
        <v>1</v>
      </c>
      <c r="L114" t="s">
        <v>73</v>
      </c>
      <c r="M114" t="s">
        <v>57</v>
      </c>
      <c r="O114" t="s">
        <v>72</v>
      </c>
      <c r="P114">
        <v>32</v>
      </c>
      <c r="Q114" s="10">
        <v>46293</v>
      </c>
      <c r="R114" s="10">
        <v>46320</v>
      </c>
      <c r="S114">
        <v>2</v>
      </c>
      <c r="T114">
        <v>64</v>
      </c>
      <c r="U114">
        <v>8.4210526315789469</v>
      </c>
      <c r="V114">
        <v>8</v>
      </c>
      <c r="W114">
        <v>20</v>
      </c>
      <c r="X114">
        <v>8</v>
      </c>
      <c r="Y114" t="s">
        <v>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67541DB-7FA0-47A0-9985-2CE02CF5A1C7}">
  <ds:schemaRefs>
    <ds:schemaRef ds:uri="http://purl.org/dc/dcmitype/"/>
    <ds:schemaRef ds:uri="http://purl.org/dc/terms/"/>
    <ds:schemaRef ds:uri="3be0b85a-8471-4f10-b038-505fde09e59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82d1b6b-c0e6-44b0-99a2-d357b2d5089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ResourceContract_CHECK</vt:lpstr>
      <vt:lpstr>Masterlist_Base</vt:lpstr>
      <vt:lpstr>Misaligned Join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2026-10-22T01:17:34Z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