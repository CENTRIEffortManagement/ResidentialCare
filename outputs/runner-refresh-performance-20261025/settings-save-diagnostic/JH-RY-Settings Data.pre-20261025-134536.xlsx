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2.xml" ContentType="application/vnd.openxmlformats-officedocument.spreadsheetml.queryTable+xml"/>
  <Override PartName="/xl/tables/table17.xml" ContentType="application/vnd.openxmlformats-officedocument.spreadsheetml.table+xml"/>
  <Override PartName="/xl/queryTables/queryTable3.xml" ContentType="application/vnd.openxmlformats-officedocument.spreadsheetml.query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69896092-EC0C-4707-950C-D813DAFCA245}" xr6:coauthVersionLast="47" xr6:coauthVersionMax="47" xr10:uidLastSave="{00000000-0000-0000-0000-000000000000}"/>
  <bookViews>
    <workbookView xWindow="-19200" yWindow="450" windowWidth="19410" windowHeight="19620" activeTab="3" xr2:uid="{00000000-000D-0000-FFFF-FFFF00000000}"/>
  </bookViews>
  <sheets>
    <sheet name="Unit1Path" sheetId="34" r:id="rId1"/>
    <sheet name="MaxCapacity" sheetId="26" r:id="rId2"/>
    <sheet name="ShiftHours" sheetId="24" r:id="rId3"/>
    <sheet name="DimensionPermutations" sheetId="12" r:id="rId4"/>
    <sheet name="Metadata" sheetId="10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>#REF!</definedName>
    <definedName name="Client" localSheetId="1">[1]FILEPATH!$B$18</definedName>
    <definedName name="Client" localSheetId="0">Unit1Path!$B$18</definedName>
    <definedName name="Client">#REF!</definedName>
    <definedName name="Contractor_Margin" localSheetId="1">#REF!</definedName>
    <definedName name="Contractor_Margin">#REF!</definedName>
    <definedName name="Date" localSheetId="1">[1]FILEPATH!$B$21</definedName>
    <definedName name="Date" localSheetId="0">#REF!</definedName>
    <definedName name="Date">[2]FILEPATH!$B$21</definedName>
    <definedName name="Directory">#REF!</definedName>
    <definedName name="EFCap">#REF!</definedName>
    <definedName name="EFGoal">#REF!</definedName>
    <definedName name="ExternalData_1" localSheetId="4" hidden="1">Metadata!$G$1:$H$30</definedName>
    <definedName name="ExternalData_2" localSheetId="3" hidden="1">DimensionPermutations!$A$1:$E$262</definedName>
    <definedName name="ExternalData_2" localSheetId="4" hidden="1">Metadata!$K$3:$K$4</definedName>
    <definedName name="Facility" localSheetId="1">#REF!</definedName>
    <definedName name="Facility">#REF!</definedName>
    <definedName name="FilePathUrl">Unit1Path!$B$1</definedName>
    <definedName name="FTE" localSheetId="1">#REF!</definedName>
    <definedName name="FTE">#REF!</definedName>
    <definedName name="HeadFolder">#REF!</definedName>
    <definedName name="HRS" localSheetId="1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1">[1]FILEPATH!$B$17</definedName>
    <definedName name="Location" localSheetId="0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#REF!</definedName>
    <definedName name="Max_HRS">#REF!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 localSheetId="1">[1]FILEPATH!$B$19</definedName>
    <definedName name="Type" localSheetId="0">#REF!</definedName>
    <definedName name="Type">[2]FILEPATH!$B$19</definedName>
    <definedName name="xxxx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24" l="1"/>
  <c r="E41" i="24"/>
  <c r="E40" i="24"/>
  <c r="E39" i="24"/>
  <c r="E38" i="24"/>
  <c r="E37" i="24"/>
  <c r="E36" i="24"/>
  <c r="E35" i="24"/>
  <c r="E34" i="24"/>
  <c r="E33" i="24"/>
  <c r="E32" i="24"/>
  <c r="E31" i="24"/>
  <c r="D41" i="24"/>
  <c r="D42" i="24"/>
  <c r="D40" i="24"/>
  <c r="F42" i="24" l="1"/>
  <c r="G42" i="24" s="1"/>
  <c r="F40" i="24"/>
  <c r="G40" i="24" s="1"/>
  <c r="F41" i="24"/>
  <c r="G41" i="24" s="1"/>
  <c r="B1" i="34" a="1"/>
  <c r="D36" i="24"/>
  <c r="F36" i="24" s="1"/>
  <c r="G36" i="24" s="1"/>
  <c r="D35" i="24"/>
  <c r="F35" i="24" s="1"/>
  <c r="G35" i="24" s="1"/>
  <c r="D34" i="24"/>
  <c r="F34" i="24" s="1"/>
  <c r="G34" i="24" s="1"/>
  <c r="D39" i="24"/>
  <c r="F39" i="24" s="1"/>
  <c r="G39" i="24" s="1"/>
  <c r="D38" i="24"/>
  <c r="F38" i="24" s="1"/>
  <c r="G38" i="24" s="1"/>
  <c r="D37" i="24"/>
  <c r="F37" i="24" s="1"/>
  <c r="G37" i="24" s="1"/>
  <c r="D33" i="24"/>
  <c r="F33" i="24" s="1"/>
  <c r="G33" i="24" s="1"/>
  <c r="D32" i="24"/>
  <c r="F32" i="24" s="1"/>
  <c r="G32" i="24" s="1"/>
  <c r="D31" i="24"/>
  <c r="B9" i="24" a="1"/>
  <c r="H10" i="24" s="1" a="1"/>
  <c r="F12" i="24"/>
  <c r="E12" i="24"/>
  <c r="A16" i="24"/>
  <c r="C16" i="24"/>
  <c r="B16" i="24"/>
  <c r="F31" i="24" l="1"/>
  <c r="G3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37E3CB-D75B-41E4-8DA1-CDBFBCB5B21F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A4B126C1-5EC2-4138-ABD6-9BB9D7E13420}" keepAlive="1" name="Query - DateList" description="Connection to the 'DateList' query in the workbook." type="5" refreshedVersion="8" background="1" saveData="1">
    <dbPr connection="Provider=Microsoft.Mashup.OleDb.1;Data Source=$Workbook$;Location=DateList;Extended Properties=&quot;&quot;" command="SELECT * FROM [DateList]"/>
  </connection>
  <connection id="3" xr16:uid="{69F259B1-7313-40AA-96F3-DF75C4B7CCBB}" keepAlive="1" name="Query - DateNameRoleShiftAllocation" description="Connection to the 'DateNameRoleShiftAllocation' query in the workbook." type="5" refreshedVersion="0" background="1">
    <dbPr connection="Provider=Microsoft.Mashup.OleDb.1;Data Source=$Workbook$;Location=DateNameRoleShiftAllocation;Extended Properties=&quot;&quot;" command="SELECT * FROM [DateNameRoleShiftAllocation]"/>
  </connection>
  <connection id="4" xr16:uid="{CE9A7F20-0784-4948-98B0-2EDD7CEAF8FD}" keepAlive="1" name="Query - DateRoleShiftAllocation" description="Connection to the 'DateRoleShiftAllocation' query in the workbook." type="5" refreshedVersion="0" background="1">
    <dbPr connection="Provider=Microsoft.Mashup.OleDb.1;Data Source=$Workbook$;Location=DateRoleShiftAllocation;Extended Properties=&quot;&quot;" command="SELECT * FROM [DateRoleShiftAllocation]"/>
  </connection>
  <connection id="5" xr16:uid="{A6C25C68-E6A7-4189-9CF5-A3532AB1DA28}" keepAlive="1" name="Query - Dates Listed" description="Connection to the 'Dates Listed' query in the workbook." type="5" refreshedVersion="0" background="1">
    <dbPr connection="Provider=Microsoft.Mashup.OleDb.1;Data Source=$Workbook$;Location=&quot;Dates Listed&quot;;Extended Properties=&quot;&quot;" command="SELECT * FROM [Dates Listed]"/>
  </connection>
  <connection id="6" xr16:uid="{5E10F8F6-0385-49F6-BB66-1512C8E279C3}" keepAlive="1" name="Query - FromArray_2" description="Connection to the 'FromArray_2' query in the workbook." type="5" refreshedVersion="0" background="1" saveData="1">
    <dbPr connection="Provider=Microsoft.Mashup.OleDb.1;Data Source=$Workbook$;Location=FromArray_2;Extended Properties=&quot;&quot;" command="SELECT * FROM [FromArray_2]"/>
  </connection>
  <connection id="7" xr16:uid="{E69CDC57-734B-4122-B578-F155AD172BC8}" keepAlive="1" name="Query - IMPORT AllocationExtracted" description="Connection to the 'IMPORT AllocationExtracted' query in the workbook." type="5" refreshedVersion="8" background="1" saveData="1">
    <dbPr connection="Provider=Microsoft.Mashup.OleDb.1;Data Source=$Workbook$;Location=&quot;IMPORT AllocationExtracted&quot;;Extended Properties=&quot;&quot;" command="SELECT * FROM [IMPORT AllocationExtracted]"/>
  </connection>
  <connection id="8" xr16:uid="{27B92D4E-F875-4A0D-BAB1-D8B01C9FB062}" keepAlive="1" name="Query - Max Date" description="Connection to the 'Max Date' query in the workbook." type="5" refreshedVersion="0" background="1">
    <dbPr connection="Provider=Microsoft.Mashup.OleDb.1;Data Source=$Workbook$;Location=&quot;Max Date&quot;;Extended Properties=&quot;&quot;" command="SELECT * FROM [Max Date]"/>
  </connection>
  <connection id="9" xr16:uid="{48557ECB-53C1-451B-B3F3-5CE9212210FE}" keepAlive="1" name="Query - Min Date" description="Connection to the 'Min Date' query in the workbook." type="5" refreshedVersion="8" background="1" saveData="1">
    <dbPr connection="Provider=Microsoft.Mashup.OleDb.1;Data Source=$Workbook$;Location=&quot;Min Date&quot;;Extended Properties=&quot;&quot;" command="SELECT * FROM [Min Date]"/>
  </connection>
  <connection id="10" xr16:uid="{33399A4F-B447-477D-9C0E-3126DF3A71BF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1" xr16:uid="{FC53EB38-55A6-4298-A254-7863AAC30763}" keepAlive="1" name="Query - PathTABLE" description="Connection to the 'PathTABLE' query in the workbook." type="5" refreshedVersion="0" background="1" saveData="1">
    <dbPr connection="Provider=Microsoft.Mashup.OleDb.1;Data Source=$Workbook$;Location=PathTABLE;Extended Properties=&quot;&quot;" command="SELECT * FROM [PathTABLE]"/>
  </connection>
  <connection id="12" xr16:uid="{E7566B31-2959-4954-B0D1-046CD06F4A6E}" keepAlive="1" name="Query - PathTABLE (2)" description="Connection to the 'PathTABLE (2)' query in the workbook." type="5" refreshedVersion="8" background="1" saveData="1">
    <dbPr connection="Provider=Microsoft.Mashup.OleDb.1;Data Source=$Workbook$;Location=&quot;PathTABLE (2)&quot;;Extended Properties=&quot;&quot;" command="SELECT * FROM [PathTABLE (2)]"/>
  </connection>
  <connection id="13" xr16:uid="{0FEAD14B-C6C7-40D8-98AA-D0E3D291AD14}" keepAlive="1" name="Query - PermutationDimensions" description="Connection to the 'PermutationDimensions' query in the workbook." type="5" refreshedVersion="8" background="1" saveData="1">
    <dbPr connection="Provider=Microsoft.Mashup.OleDb.1;Data Source=$Workbook$;Location=PermutationDimensions;Extended Properties=&quot;&quot;" command="SELECT * FROM [PermutationDimensions]"/>
  </connection>
  <connection id="14" xr16:uid="{DBAFF7AB-E81F-41F5-801E-883D4D011B5E}" keepAlive="1" name="Query - PermutationDimensions (2)" description="Connection to the 'PermutationDimensions (2)' query in the workbook." type="5" refreshedVersion="8" background="1" saveData="1">
    <dbPr connection="Provider=Microsoft.Mashup.OleDb.1;Data Source=$Workbook$;Location=&quot;PermutationDimensions (2)&quot;;Extended Properties=&quot;&quot;" command="SELECT * FROM [PermutationDimensions (2)]"/>
  </connection>
  <connection id="15" xr16:uid="{46012B72-C89B-4F7F-853E-7E558624F90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16" xr16:uid="{969B6640-31AF-4690-86FA-CA004E70171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7" xr16:uid="{2FE0AA74-C424-4409-A4FB-46F376D7A557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8" xr16:uid="{4AFD8224-3AC0-403F-B1E9-A6DB3FFB28F5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19" xr16:uid="{28E79565-ACB3-4B17-97BD-F51C25AC7CAB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<sst xmlns="http://schemas.openxmlformats.org/spreadsheetml/2006/main" count="613" uniqueCount="62">
  <si>
    <t>AM</t>
  </si>
  <si>
    <t>PM</t>
  </si>
  <si>
    <t>Shifts</t>
  </si>
  <si>
    <t>NIGHT</t>
  </si>
  <si>
    <t>Date</t>
  </si>
  <si>
    <t>RolesList</t>
  </si>
  <si>
    <t>Role</t>
  </si>
  <si>
    <t>Client</t>
  </si>
  <si>
    <t>NOT USED</t>
  </si>
  <si>
    <t>MANUALLY ENTERED IN TABLEAU</t>
  </si>
  <si>
    <t>future automation possible</t>
  </si>
  <si>
    <t>ShiftDuration</t>
  </si>
  <si>
    <t>MealBreakTime</t>
  </si>
  <si>
    <t>MealBreakstart</t>
  </si>
  <si>
    <t>StartAM</t>
  </si>
  <si>
    <t>StartPM</t>
  </si>
  <si>
    <t>StartNIGHT</t>
  </si>
  <si>
    <t>ShiftLength</t>
  </si>
  <si>
    <t>MinHrs</t>
  </si>
  <si>
    <t>ShortHrs</t>
  </si>
  <si>
    <t>StdHrs</t>
  </si>
  <si>
    <t>1.5OT</t>
  </si>
  <si>
    <t>2.0OT</t>
  </si>
  <si>
    <t>ShiftGap</t>
  </si>
  <si>
    <t>MinGap</t>
  </si>
  <si>
    <t>ShiftPeriod</t>
  </si>
  <si>
    <t>StartTime</t>
  </si>
  <si>
    <t>StartDay</t>
  </si>
  <si>
    <t>StdHrsPerWeek</t>
  </si>
  <si>
    <t>OrdinaryHrsWk-Week</t>
  </si>
  <si>
    <t>Fulltime</t>
  </si>
  <si>
    <t>Parttime</t>
  </si>
  <si>
    <t>MinimumShiftTimePaid</t>
  </si>
  <si>
    <t>OrdinaryHrsFn</t>
  </si>
  <si>
    <t>OrdinaryHrs28d</t>
  </si>
  <si>
    <t>StdWeekDays</t>
  </si>
  <si>
    <t>MaxCapacity</t>
  </si>
  <si>
    <t>MaxCapacityFactor</t>
  </si>
  <si>
    <t>ROLES</t>
  </si>
  <si>
    <t>UNITS</t>
  </si>
  <si>
    <t>Period</t>
  </si>
  <si>
    <t>Day</t>
  </si>
  <si>
    <t>DateFrom</t>
  </si>
  <si>
    <t>Min Date</t>
  </si>
  <si>
    <t>MaxAvailability</t>
  </si>
  <si>
    <t>1 for shifts</t>
  </si>
  <si>
    <t>Variable Name</t>
  </si>
  <si>
    <t>Value</t>
  </si>
  <si>
    <t>Root Path</t>
  </si>
  <si>
    <t>FileName</t>
  </si>
  <si>
    <t>RN</t>
  </si>
  <si>
    <t>AINC4</t>
  </si>
  <si>
    <t>AIN</t>
  </si>
  <si>
    <t>DurationOfShifts</t>
  </si>
  <si>
    <t>NO.  Varies</t>
  </si>
  <si>
    <t>Column1</t>
  </si>
  <si>
    <t>EndDay</t>
  </si>
  <si>
    <t>UserName</t>
  </si>
  <si>
    <t>SharedPath</t>
  </si>
  <si>
    <t>Unit</t>
  </si>
  <si>
    <t>EN</t>
  </si>
  <si>
    <t>EndTimeCheck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</si>
</sst>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-F400]h:mm:ss\ AM/PM"/>
  </numFmts>
  <fonts count="1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sz val="9"/>
      <color theme="1"/>
      <name val="Arial"/>
      <family val="2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6" fillId="0" borderId="0" xfId="1" applyAlignment="1">
      <alignment horizontal="left" vertical="top"/>
    </xf>
    <xf numFmtId="18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left" vertical="top"/>
    </xf>
    <xf numFmtId="0" fontId="0" fillId="0" borderId="0" xfId="0"/>
    <xf numFmtId="0" fontId="9" fillId="2" borderId="0" xfId="0" applyFont="1" applyFill="1" applyAlignment="1" applyProtection="1">
      <alignment vertical="center" wrapText="1"/>
      <protection locked="0"/>
    </xf>
    <xf numFmtId="0" fontId="10" fillId="0" borderId="0" xfId="0" applyFont="1" applyAlignment="1">
      <alignment horizontal="left" vertical="top"/>
    </xf>
    <xf numFmtId="0" fontId="5" fillId="0" borderId="0" xfId="2"/>
    <xf numFmtId="0" fontId="7" fillId="0" borderId="0" xfId="0" applyFont="1" applyAlignment="1">
      <alignment horizontal="left" vertical="top"/>
    </xf>
    <xf numFmtId="0" fontId="12" fillId="0" borderId="1" xfId="6" applyFont="1" applyBorder="1"/>
    <xf numFmtId="0" fontId="13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5" fillId="0" borderId="0" xfId="1" applyFont="1" applyAlignment="1">
      <alignment horizontal="left" vertical="top"/>
    </xf>
    <xf numFmtId="0" fontId="1" fillId="0" borderId="0" xfId="6"/>
    <xf numFmtId="0" fontId="6" fillId="0" borderId="0" xfId="1" applyAlignment="1">
      <alignment horizontal="right" vertical="top"/>
    </xf>
    <xf numFmtId="0" fontId="6" fillId="0" borderId="2" xfId="1" applyBorder="1" applyAlignment="1">
      <alignment horizontal="right" vertical="top"/>
    </xf>
    <xf numFmtId="0" fontId="1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2" borderId="3" xfId="0" applyFont="1" applyFill="1" applyBorder="1" applyAlignment="1" applyProtection="1">
      <alignment vertical="center" wrapText="1"/>
      <protection locked="0"/>
    </xf>
    <xf numFmtId="165" fontId="0" fillId="0" borderId="0" xfId="0" applyNumberFormat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0" fontId="7" fillId="3" borderId="0" xfId="0" applyFont="1" applyFill="1" applyAlignment="1">
      <alignment horizontal="left" vertical="top"/>
    </xf>
  </cellXfs>
  <cellStyles count="7">
    <cellStyle name="Normal" xfId="0" builtinId="0"/>
    <cellStyle name="Normal 2" xfId="1" xr:uid="{4E77A40C-1023-4323-8BE3-CD68D067B42F}"/>
    <cellStyle name="Normal 3" xfId="2" xr:uid="{41D44F9B-BF04-484C-A77B-7AEEA7D58401}"/>
    <cellStyle name="Normal 4" xfId="3" xr:uid="{6AE981ED-43F6-41B8-BF88-403DB3A7E2D6}"/>
    <cellStyle name="Normal 5" xfId="4" xr:uid="{A6861632-371D-4E0B-8405-05C516834FDC}"/>
    <cellStyle name="Normal 6" xfId="5" xr:uid="{38C10201-232C-4F07-B419-6A93897C42C8}"/>
    <cellStyle name="Normal 7" xfId="6" xr:uid="{472D2DC9-BF48-4D89-B579-2EBF4D67D42F}"/>
  </cellStyles>
  <dxfs count="23">
    <dxf>
      <numFmt numFmtId="19" formatCode="d/mm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165" formatCode="[$-F400]h:mm:ss\ AM/PM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FF0000"/>
        <name val="Times New Roman"/>
        <charset val="204"/>
        <scheme val="none"/>
      </font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i001.sharepoint.com/sites/3Product/Shared%20Documents/mcode%20Dev/ResidentialCare/CLIENT/DATExx/UNITS/Unit1/2.%20Calculations/EOW/2DRea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PATH"/>
      <sheetName val="Boundaries"/>
      <sheetName val="OutcomeXYall- Out"/>
      <sheetName val="OutcomeXYall- OutAG1-1DS"/>
      <sheetName val="Sample"/>
      <sheetName val="Dates-Effort+Outcomes"/>
      <sheetName val="Effort+OutcomesXYImportAG1-1DS"/>
      <sheetName val="Effort+OutcomesXYImport Check"/>
      <sheetName val="Effort+Outcomes Import"/>
    </sheetNames>
    <sheetDataSet>
      <sheetData sheetId="0">
        <row r="17">
          <cell r="B17" t="str">
            <v>C:\Users\Alex\Resrodel\Customers - Documents\</v>
          </cell>
        </row>
        <row r="18">
          <cell r="B18" t="str">
            <v>IndoChinese Aged Care</v>
          </cell>
        </row>
        <row r="19">
          <cell r="B19" t="str">
            <v>4. Analysis</v>
          </cell>
        </row>
        <row r="21">
          <cell r="B21" t="str">
            <v>221223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AE802956-5AF6-4BF1-A711-75C2BAABAA56}" autoFormatId="16" applyNumberFormats="0" applyBorderFormats="0" applyFontFormats="0" applyPatternFormats="0" applyAlignmentFormats="0" applyWidthHeightFormats="0">
  <queryTableRefresh nextId="15">
    <queryTableFields count="5">
      <queryTableField id="4" name="Date" tableColumnId="1"/>
      <queryTableField id="13" name="Day" tableColumnId="6"/>
      <queryTableField id="2" name="Shifts" tableColumnId="2"/>
      <queryTableField id="10" name="Period" tableColumnId="5"/>
      <queryTableField id="7" name="RolesLi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C5A983-FD89-4B76-A519-344C9F3D895A}" autoFormatId="16" applyNumberFormats="0" applyBorderFormats="0" applyFontFormats="0" applyPatternFormats="0" applyAlignmentFormats="0" applyWidthHeightFormats="0">
  <queryTableRefresh nextId="4">
    <queryTableFields count="2">
      <queryTableField id="2" name="Date" tableColumnId="1"/>
      <queryTableField id="3" name="Da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7E8C9ECE-45D0-4073-839A-18FAF919B974}" autoFormatId="16" applyNumberFormats="0" applyBorderFormats="0" applyFontFormats="0" applyPatternFormats="0" applyAlignmentFormats="0" applyWidthHeightFormats="0">
  <queryTableRefresh nextId="4">
    <queryTableFields count="1">
      <queryTableField id="3" name="Min Date" tableColumnId="1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42B029-8AD6-4258-8A9E-295890BED24C}" name="UnitL1PathTABLE" displayName="UnitL1PathTABLE" ref="A3:B9" totalsRowShown="0" headerRowDxfId="22" dataDxfId="21" headerRowCellStyle="Normal 2" dataCellStyle="Normal 2">
  <autoFilter ref="A3:B9" xr:uid="{3942B029-8AD6-4258-8A9E-295890BED24C}"/>
  <tableColumns count="2">
    <tableColumn id="1" xr3:uid="{2DE04549-896E-4F47-B365-5A91B7BDB485}" name="Variable Name" dataDxfId="20" dataCellStyle="Normal 2"/>
    <tableColumn id="2" xr3:uid="{A429CF90-C062-41E7-A0F7-F281768E3404}" name="Value" dataDxfId="1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8ADD4-B9EF-4F2C-B386-027B2B64470A}" name="MaxCapacity" displayName="MaxCapacity" ref="A1:A2" totalsRowShown="0">
  <autoFilter ref="A1:A2" xr:uid="{FC1B55C9-AABE-43BC-90E4-DB7F0A1A9DA3}"/>
  <tableColumns count="1">
    <tableColumn id="1" xr3:uid="{489ED06B-37D6-42D9-9F57-D0783CBFA29E}" name="MaxCapacityFa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6CCA12-29A8-4EB5-8EF0-2C161E289E0E}" name="MaxAvailability" displayName="MaxAvailability" ref="A8:A9" totalsRowShown="0" headerRowDxfId="18" dataDxfId="17" headerRowCellStyle="Normal 2" dataCellStyle="Normal 2">
  <autoFilter ref="A8:A9" xr:uid="{C46CCA12-29A8-4EB5-8EF0-2C161E289E0E}"/>
  <tableColumns count="1">
    <tableColumn id="1" xr3:uid="{D66410A0-6CC0-4893-B92D-48467CF19D95}" name="MaxAvailability" dataDxfId="16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B0E9A7-2A20-41D7-B19F-6E7670008E84}" name="ShiftDuration" displayName="ShiftDuration" ref="A8:C9" totalsRowShown="0">
  <autoFilter ref="A8:C9" xr:uid="{E5B0E9A7-2A20-41D7-B19F-6E7670008E84}"/>
  <tableColumns count="3">
    <tableColumn id="2" xr3:uid="{AFE20D5D-F7E4-4D5C-81EE-598C2E4157F1}" name="StdWeekDays"/>
    <tableColumn id="1" xr3:uid="{DC0252F5-E929-4249-9B95-0328333428E9}" name="ShiftDuration">
      <calculatedColumnFormula array="1">Table13[OrdinaryHrsWk-Week]/ShiftDuration[[#This Row],[StdWeekDays]]</calculatedColumnFormula>
    </tableColumn>
    <tableColumn id="3" xr3:uid="{74624529-CB60-499A-A86A-EE6FA01CACDB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9F61D-C2CB-47A5-983D-34F7421A4A5A}" name="Meals" displayName="Meals" ref="A11:B12" totalsRowShown="0">
  <autoFilter ref="A11:B12" xr:uid="{EDE9F61D-C2CB-47A5-983D-34F7421A4A5A}"/>
  <tableColumns count="2">
    <tableColumn id="1" xr3:uid="{62CEFAB2-5ECD-4FC4-BFB1-682404039898}" name="MealBreakTime"/>
    <tableColumn id="2" xr3:uid="{1CA02C3C-1121-4016-A868-0A4B3DD5D05C}" name="MealBreakstar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59BF31-1A4C-4ECA-B442-81505616F0F3}" name="ShiftStart" displayName="ShiftStart" ref="A15:C17" totalsRowShown="0" headerRowDxfId="15" dataDxfId="14">
  <autoFilter ref="A15:C17" xr:uid="{EB59BF31-1A4C-4ECA-B442-81505616F0F3}"/>
  <tableColumns count="3">
    <tableColumn id="1" xr3:uid="{7C69E55F-FC15-4339-B5C7-8689457507E2}" name="StartAM" dataDxfId="13"/>
    <tableColumn id="2" xr3:uid="{429F4842-B47A-449D-8C6A-04C59ACF5E9C}" name="StartPM" dataDxfId="12"/>
    <tableColumn id="3" xr3:uid="{499700F0-691E-4621-837D-D3A78FF02851}" name="StartNIGHT" dataDxfId="1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84D05-4F43-41C5-A191-773192D88274}" name="ShiftLent" displayName="ShiftLent" ref="A20:E22" totalsRowShown="0">
  <autoFilter ref="A20:E22" xr:uid="{6BD84D05-4F43-41C5-A191-773192D88274}"/>
  <tableColumns count="5">
    <tableColumn id="1" xr3:uid="{49CED455-334F-40FE-96D5-C31B14A6D8CB}" name="MinHrs"/>
    <tableColumn id="2" xr3:uid="{2091CD4F-AF98-4805-A186-307DBBFF79A1}" name="ShortHrs"/>
    <tableColumn id="3" xr3:uid="{D49493A3-AD51-4390-B361-BEB7185C0012}" name="StdHrs"/>
    <tableColumn id="4" xr3:uid="{6F3CAD7A-278C-4DA0-8413-32E420B16808}" name="1.5OT"/>
    <tableColumn id="5" xr3:uid="{E82CDC93-EBAC-4740-802D-D2F26BC319DC}" name="2.0O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79CFD7-7282-470C-A77D-E7C1EF367E9A}" name="ShiftGap" displayName="ShiftGap" ref="A25:A26" totalsRowShown="0">
  <autoFilter ref="A25:A26" xr:uid="{8979CFD7-7282-470C-A77D-E7C1EF367E9A}"/>
  <tableColumns count="1">
    <tableColumn id="1" xr3:uid="{4EADDA69-EF99-4ED4-9F9B-36E583B276B1}" name="MinGa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26A2A6-4201-4A9D-B0DD-2F8399125403}" name="ShiftPeriod" displayName="ShiftPeriod" ref="A30:G42" totalsRowShown="0">
  <autoFilter ref="A30:G42" xr:uid="{8926A2A6-4201-4A9D-B0DD-2F8399125403}"/>
  <tableColumns count="7">
    <tableColumn id="5" xr3:uid="{943CB3B4-BE44-4300-8A7F-FF8B7449441E}" name="Role"/>
    <tableColumn id="1" xr3:uid="{E2D92C25-C3D8-443D-8FD2-59F952129D55}" name="ShiftPeriod"/>
    <tableColumn id="2" xr3:uid="{97FD567A-CCBE-4BAD-8A01-7BDB89492928}" name="StartTime"/>
    <tableColumn id="3" xr3:uid="{83982F62-89A9-4D4F-9A5F-ECBEE40B512B}" name="StartDay">
      <calculatedColumnFormula>ShiftPeriod[[#This Row],[StartTime]]/24</calculatedColumnFormula>
    </tableColumn>
    <tableColumn id="4" xr3:uid="{F0600AC1-7B6E-4DE4-BEC2-45D9644AED93}" name="DurationOfShifts" dataDxfId="10">
      <calculatedColumnFormula>C32-C31</calculatedColumnFormula>
    </tableColumn>
    <tableColumn id="6" xr3:uid="{153CBB78-618D-4D4B-B6FE-F75F614FBB4D}" name="EndDay" dataDxfId="9">
      <calculatedColumnFormula>ShiftPeriod[[#This Row],[StartDay]]+ShiftPeriod[[#This Row],[DurationOfShifts]]/24 -IF(ShiftPeriod[[#This Row],[ShiftPeriod]]="NIGHT",1,0)</calculatedColumnFormula>
    </tableColumn>
    <tableColumn id="7" xr3:uid="{5E82AC92-17F2-418C-B3A3-8095515C49B6}" name="EndTimeCheck" dataDxfId="8">
      <calculatedColumnFormula>ShiftPeriod[[#This Row],[EndDay]]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0E7FE-B5AC-40AC-A6BA-831EECF4E3B2}" name="Table13" displayName="Table13" ref="A50:C51" totalsRowShown="0">
  <autoFilter ref="A50:C51" xr:uid="{9800E7FE-B5AC-40AC-A6BA-831EECF4E3B2}"/>
  <tableColumns count="3">
    <tableColumn id="1" xr3:uid="{BAED7083-3789-4664-9A78-306E2D16BBA7}" name="OrdinaryHrsWk-Week"/>
    <tableColumn id="2" xr3:uid="{DECE899A-1119-4B8F-AA7B-9DFF743E8EDB}" name="OrdinaryHrsFn"/>
    <tableColumn id="3" xr3:uid="{E43C3B6C-F5BE-4E08-BD41-FCC7A7EE12AC}" name="OrdinaryHrs28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EED42-2CC2-4F8A-AD26-73B3ADAAF611}" name="MaxCapacityFactor" displayName="MaxCapacityFactor" ref="H9:H10" totalsRowShown="0" headerRowDxfId="7">
  <autoFilter ref="H9:H10" xr:uid="{CB4EED42-2CC2-4F8A-AD26-73B3ADAAF611}"/>
  <tableColumns count="1">
    <tableColumn id="1" xr3:uid="{2193E506-AA62-414F-BF61-015FA990AC69}" name="MaxCapacityFactor">
      <calculatedColumnFormula array="1">C21/ShiftDuration[ShiftDuration]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0CF9E-AA76-4AB9-96FC-F5EB152F67D9}" name="PermutationDimensions" displayName="PermutationDimensions" ref="A1:E262" tableType="queryTable" totalsRowShown="0">
  <autoFilter ref="A1:E262" xr:uid="{1860CF9E-AA76-4AB9-96FC-F5EB152F67D9}"/>
  <tableColumns count="5">
    <tableColumn id="1" xr3:uid="{7D1152F6-5F35-4B2D-9EF6-A42FE209D583}" uniqueName="1" name="Date" queryTableFieldId="4" dataDxfId="2"/>
    <tableColumn id="6" xr3:uid="{02D1DD21-C899-455D-8F2C-315EEE96EBED}" uniqueName="6" name="Day" queryTableFieldId="13"/>
    <tableColumn id="2" xr3:uid="{02166C42-938B-40C7-92D4-152B731BAB67}" uniqueName="2" name="Shifts" queryTableFieldId="2"/>
    <tableColumn id="5" xr3:uid="{F1AB97D7-C66D-4710-A94A-B5EC45434559}" uniqueName="5" name="Period" queryTableFieldId="10"/>
    <tableColumn id="4" xr3:uid="{64639ABD-8BF4-4639-AA67-55FE81E719AE}" uniqueName="4" name="RolesList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77926-E004-4264-BF5B-5C4FF7A3C2DA}" name="Shifts" displayName="Shifts" ref="A1:A4" totalsRowShown="0">
  <autoFilter ref="A1:A4" xr:uid="{34D77926-E004-4264-BF5B-5C4FF7A3C2DA}"/>
  <tableColumns count="1">
    <tableColumn id="1" xr3:uid="{85CBCEF5-87D2-4AC8-8978-43E654AB3D5B}" name="Shift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2BAB9-5BA1-4621-8088-D4AD47F78B28}" name="Unit" displayName="Unit" ref="C1:C4" totalsRowShown="0">
  <autoFilter ref="C1:C4" xr:uid="{7202BAB9-5BA1-4621-8088-D4AD47F78B28}"/>
  <tableColumns count="1">
    <tableColumn id="1" xr3:uid="{7971BA59-737F-41DD-AA1A-D3FB11DF5A2B}" name="UNIT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44DC49-E7B8-42B0-AB7A-1BAF300B3872}" name="Roles" displayName="Roles" ref="E1:E4" totalsRowShown="0" dataDxfId="6">
  <autoFilter ref="E1:E4" xr:uid="{6544DC49-E7B8-42B0-AB7A-1BAF300B3872}"/>
  <tableColumns count="1">
    <tableColumn id="1" xr3:uid="{E88B3313-E632-4B37-9884-A45F5856056E}" name="ROLES" dataDxfId="5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E050C66-A2B9-450A-8F4D-00EADD9006C9}" name="Table_DateList" displayName="Table_DateList" ref="G1:H30" tableType="queryTable" totalsRowShown="0">
  <autoFilter ref="G1:H30" xr:uid="{3E050C66-A2B9-450A-8F4D-00EADD9006C9}"/>
  <tableColumns count="2">
    <tableColumn id="1" xr3:uid="{A64806B3-B6A6-489F-B7EC-18F436B4E2DE}" uniqueName="1" name="Date" queryTableFieldId="2" dataDxfId="1"/>
    <tableColumn id="2" xr3:uid="{EB20C758-60A8-448D-9B9C-95193163F123}" uniqueName="2" name="Day" queryTableField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848981-EC7D-4A94-BAFD-0AE81C109855}" name="Table_Min_Date" displayName="Table_Min_Date" ref="K3:K4" tableType="queryTable" totalsRowShown="0">
  <autoFilter ref="K3:K4" xr:uid="{DE848981-EC7D-4A94-BAFD-0AE81C109855}"/>
  <tableColumns count="1">
    <tableColumn id="1" xr3:uid="{CFB6A74B-65F2-4526-A709-95C770A2A72A}" uniqueName="1" name="Min Date" queryTableFieldId="3" dataDxfId="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FE2E5B-92E0-4111-9D4F-67560CF2F293}" name="DateFrom" displayName="DateFrom" ref="L8:L9" totalsRowShown="0" dataDxfId="4">
  <autoFilter ref="L8:L9" xr:uid="{C6FE2E5B-92E0-4111-9D4F-67560CF2F293}"/>
  <tableColumns count="1">
    <tableColumn id="1" xr3:uid="{3D3213A9-C2B7-4D20-ADC3-5AE048D180EE}" name="DateFrom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D6FD-21D0-4C49-B9E0-4B0ADE7B7552}">
  <sheetPr>
    <tabColor rgb="FFFFFF00"/>
  </sheetPr>
  <dimension ref="A1:D30"/>
  <sheetViews>
    <sheetView workbookViewId="0">
      <selection activeCell="K9" sqref="K9"/>
    </sheetView>
  </sheetViews>
  <sheetFormatPr defaultColWidth="9.33203125" defaultRowHeight="12.75" x14ac:dyDescent="0.2"/>
  <cols>
    <col min="1" max="1" width="17.5" style="2" bestFit="1" customWidth="1"/>
    <col min="2" max="2" width="9.1640625" style="2" bestFit="1" customWidth="1"/>
    <col min="3" max="3" width="17.33203125" style="2" customWidth="1"/>
    <col min="4" max="16384" width="9.33203125" style="2"/>
  </cols>
  <sheetData>
    <row r="1" spans="1:4" ht="15" x14ac:dyDescent="0.25">
      <c r="A1" s="11" t="s">
        <v>58</v>
      </c>
      <c r="B1" s="11" t="str" cm="1">
        <f t="array" aca="1" ref="B1" ca="1">CELL("filename")</f>
        <v>C:\Users\Alex\CentriNOTSYNC\ResidentialCare\CLIENT\DATExx-Whiddon\UNITS\JH-RY\2. Calculations\[Settings Data.xlsx]DimensionPermutations</v>
      </c>
    </row>
    <row r="2" spans="1:4" x14ac:dyDescent="0.2">
      <c r="A2" s="12"/>
      <c r="B2" s="12"/>
    </row>
    <row r="3" spans="1:4" x14ac:dyDescent="0.2">
      <c r="A3" s="2" t="s">
        <v>46</v>
      </c>
      <c r="B3" s="2" t="s">
        <v>47</v>
      </c>
    </row>
    <row r="4" spans="1:4" x14ac:dyDescent="0.2">
      <c r="A4" t="s">
        <v>57</v>
      </c>
      <c r="B4"/>
    </row>
    <row r="5" spans="1:4" x14ac:dyDescent="0.2">
      <c r="A5" t="s">
        <v>48</v>
      </c>
      <c r="B5"/>
    </row>
    <row r="6" spans="1:4" x14ac:dyDescent="0.2">
      <c r="A6" t="s">
        <v>7</v>
      </c>
      <c r="B6"/>
    </row>
    <row r="7" spans="1:4" x14ac:dyDescent="0.2">
      <c r="A7" t="s">
        <v>4</v>
      </c>
      <c r="B7"/>
    </row>
    <row r="8" spans="1:4" x14ac:dyDescent="0.2">
      <c r="A8" t="s">
        <v>59</v>
      </c>
      <c r="B8"/>
    </row>
    <row r="9" spans="1:4" x14ac:dyDescent="0.2">
      <c r="A9" t="s">
        <v>49</v>
      </c>
      <c r="B9"/>
    </row>
    <row r="11" spans="1:4" x14ac:dyDescent="0.2">
      <c r="B11" s="13"/>
    </row>
    <row r="12" spans="1:4" x14ac:dyDescent="0.2">
      <c r="D12" s="13"/>
    </row>
    <row r="14" spans="1:4" x14ac:dyDescent="0.2">
      <c r="A14" s="12"/>
      <c r="B14" s="12"/>
    </row>
    <row r="15" spans="1:4" x14ac:dyDescent="0.2">
      <c r="A15" s="14"/>
      <c r="B15" s="12"/>
    </row>
    <row r="16" spans="1:4" x14ac:dyDescent="0.2">
      <c r="A16" s="12"/>
      <c r="B16" s="12"/>
    </row>
    <row r="17" spans="1:3" x14ac:dyDescent="0.2">
      <c r="A17" s="12"/>
      <c r="B17" s="12"/>
    </row>
    <row r="18" spans="1:3" ht="15" x14ac:dyDescent="0.25">
      <c r="A18" s="15"/>
      <c r="B18" s="16"/>
    </row>
    <row r="19" spans="1:3" x14ac:dyDescent="0.2">
      <c r="A19" s="12"/>
      <c r="B19" s="12"/>
    </row>
    <row r="20" spans="1:3" x14ac:dyDescent="0.2">
      <c r="C20" s="17"/>
    </row>
    <row r="21" spans="1:3" x14ac:dyDescent="0.2">
      <c r="C21" s="17"/>
    </row>
    <row r="22" spans="1:3" x14ac:dyDescent="0.2">
      <c r="C22" s="17"/>
    </row>
    <row r="23" spans="1:3" x14ac:dyDescent="0.2">
      <c r="A23" s="13"/>
      <c r="B23" s="13"/>
      <c r="C23" s="17"/>
    </row>
    <row r="24" spans="1:3" x14ac:dyDescent="0.2">
      <c r="C24" s="18"/>
    </row>
    <row r="25" spans="1:3" x14ac:dyDescent="0.2">
      <c r="A25" s="17"/>
      <c r="B25" s="17"/>
      <c r="C25" s="17"/>
    </row>
    <row r="26" spans="1:3" x14ac:dyDescent="0.2">
      <c r="A26" s="17"/>
      <c r="B26" s="17"/>
      <c r="C26" s="17"/>
    </row>
    <row r="27" spans="1:3" x14ac:dyDescent="0.2">
      <c r="C27" s="17"/>
    </row>
    <row r="30" spans="1:3" x14ac:dyDescent="0.2">
      <c r="B30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B89-5D7A-48B1-9570-94934BF6A495}">
  <sheetPr>
    <tabColor theme="7"/>
  </sheetPr>
  <dimension ref="A1:D9"/>
  <sheetViews>
    <sheetView workbookViewId="0">
      <selection activeCell="A10" sqref="A10"/>
    </sheetView>
  </sheetViews>
  <sheetFormatPr defaultRowHeight="15" x14ac:dyDescent="0.25"/>
  <cols>
    <col min="1" max="1" width="23.1640625" style="9" customWidth="1"/>
    <col min="2" max="16384" width="9.33203125" style="9"/>
  </cols>
  <sheetData>
    <row r="1" spans="1:4" x14ac:dyDescent="0.25">
      <c r="A1" s="9" t="s">
        <v>37</v>
      </c>
    </row>
    <row r="2" spans="1:4" x14ac:dyDescent="0.25">
      <c r="A2" s="9">
        <v>1</v>
      </c>
      <c r="D2" s="9" t="s">
        <v>45</v>
      </c>
    </row>
    <row r="8" spans="1:4" x14ac:dyDescent="0.25">
      <c r="A8" s="2" t="s">
        <v>44</v>
      </c>
    </row>
    <row r="9" spans="1:4" x14ac:dyDescent="0.25">
      <c r="A9" s="2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3FA5-371D-4D48-9446-7EF167D0AA5E}">
  <dimension ref="A2:H55"/>
  <sheetViews>
    <sheetView workbookViewId="0">
      <selection activeCell="E27" sqref="E27"/>
    </sheetView>
  </sheetViews>
  <sheetFormatPr defaultRowHeight="12.75" x14ac:dyDescent="0.2"/>
  <cols>
    <col min="1" max="1" width="21.1640625" customWidth="1"/>
    <col min="2" max="2" width="19" customWidth="1"/>
    <col min="3" max="3" width="22.83203125" customWidth="1"/>
    <col min="4" max="4" width="16.5" customWidth="1"/>
    <col min="5" max="5" width="23.83203125" customWidth="1"/>
    <col min="7" max="7" width="15" customWidth="1"/>
    <col min="10" max="10" width="14.1640625" customWidth="1"/>
    <col min="11" max="11" width="13" customWidth="1"/>
    <col min="12" max="12" width="11.83203125" customWidth="1"/>
  </cols>
  <sheetData>
    <row r="2" spans="1:8" x14ac:dyDescent="0.2">
      <c r="B2" s="3"/>
    </row>
    <row r="3" spans="1:8" x14ac:dyDescent="0.2">
      <c r="B3" s="3"/>
      <c r="E3" t="s">
        <v>8</v>
      </c>
    </row>
    <row r="4" spans="1:8" x14ac:dyDescent="0.2">
      <c r="B4" s="3"/>
      <c r="E4" t="s">
        <v>9</v>
      </c>
    </row>
    <row r="5" spans="1:8" x14ac:dyDescent="0.2">
      <c r="E5" t="s">
        <v>10</v>
      </c>
    </row>
    <row r="8" spans="1:8" x14ac:dyDescent="0.2">
      <c r="A8" t="s">
        <v>35</v>
      </c>
      <c r="B8" t="s">
        <v>11</v>
      </c>
      <c r="C8" t="s">
        <v>55</v>
      </c>
      <c r="H8" s="5" t="s">
        <v>36</v>
      </c>
    </row>
    <row r="9" spans="1:8" x14ac:dyDescent="0.2">
      <c r="A9">
        <v>5</v>
      </c>
      <c r="B9" cm="1">
        <f t="array" ref="B9">Table13[OrdinaryHrsWk-Week]/ShiftDuration[[#This Row],[StdWeekDays]]</f>
        <v>7.6</v>
      </c>
      <c r="C9" t="s">
        <v>54</v>
      </c>
      <c r="H9" s="5" t="s">
        <v>37</v>
      </c>
    </row>
    <row r="10" spans="1:8" x14ac:dyDescent="0.2">
      <c r="H10" cm="1">
        <f t="array" ref="H10">C21/ShiftDuration[ShiftDuration]</f>
        <v>1.3157894736842106</v>
      </c>
    </row>
    <row r="11" spans="1:8" x14ac:dyDescent="0.2">
      <c r="A11" t="s">
        <v>12</v>
      </c>
      <c r="B11" t="s">
        <v>13</v>
      </c>
      <c r="E11">
        <v>6.1</v>
      </c>
      <c r="F11">
        <v>11.9</v>
      </c>
    </row>
    <row r="12" spans="1:8" x14ac:dyDescent="0.2">
      <c r="A12">
        <v>0.5</v>
      </c>
      <c r="B12">
        <v>5</v>
      </c>
      <c r="E12">
        <f>(E11-Meals[[#This Row],[MealBreakTime]])/E11</f>
        <v>0.91803278688524592</v>
      </c>
      <c r="F12">
        <f>(F11-Meals[[#This Row],[MealBreakTime]])/F11</f>
        <v>0.95798319327731096</v>
      </c>
    </row>
    <row r="15" spans="1:8" x14ac:dyDescent="0.2">
      <c r="A15" s="4" t="s">
        <v>14</v>
      </c>
      <c r="B15" s="4" t="s">
        <v>15</v>
      </c>
      <c r="C15" s="4" t="s">
        <v>16</v>
      </c>
    </row>
    <row r="16" spans="1:8" x14ac:dyDescent="0.2">
      <c r="A16" s="4">
        <f>A17/24</f>
        <v>0.29166666666666669</v>
      </c>
      <c r="B16" s="4">
        <f>B17/24</f>
        <v>0.625</v>
      </c>
      <c r="C16" s="4">
        <f>C17/24</f>
        <v>0.92708333333333337</v>
      </c>
    </row>
    <row r="17" spans="1:7" x14ac:dyDescent="0.2">
      <c r="A17" s="4">
        <v>7</v>
      </c>
      <c r="B17" s="4">
        <v>15</v>
      </c>
      <c r="C17" s="4">
        <v>22.25</v>
      </c>
    </row>
    <row r="19" spans="1:7" x14ac:dyDescent="0.2">
      <c r="A19" t="s">
        <v>17</v>
      </c>
    </row>
    <row r="20" spans="1:7" x14ac:dyDescent="0.2">
      <c r="A20" t="s">
        <v>18</v>
      </c>
      <c r="B20" t="s">
        <v>19</v>
      </c>
      <c r="C20" t="s">
        <v>20</v>
      </c>
      <c r="D20" t="s">
        <v>21</v>
      </c>
      <c r="E20" t="s">
        <v>22</v>
      </c>
    </row>
    <row r="21" spans="1:7" x14ac:dyDescent="0.2">
      <c r="A21">
        <v>2</v>
      </c>
      <c r="B21">
        <v>4</v>
      </c>
      <c r="C21">
        <v>10</v>
      </c>
      <c r="D21">
        <v>12</v>
      </c>
      <c r="E21">
        <v>12</v>
      </c>
    </row>
    <row r="22" spans="1:7" x14ac:dyDescent="0.2">
      <c r="A22">
        <v>1</v>
      </c>
      <c r="B22">
        <v>1</v>
      </c>
      <c r="C22">
        <v>1</v>
      </c>
      <c r="D22">
        <v>1.5</v>
      </c>
      <c r="E22">
        <v>2</v>
      </c>
    </row>
    <row r="24" spans="1:7" x14ac:dyDescent="0.2">
      <c r="A24" t="s">
        <v>23</v>
      </c>
    </row>
    <row r="25" spans="1:7" x14ac:dyDescent="0.2">
      <c r="A25" t="s">
        <v>24</v>
      </c>
    </row>
    <row r="26" spans="1:7" x14ac:dyDescent="0.2">
      <c r="A26">
        <v>8</v>
      </c>
    </row>
    <row r="29" spans="1:7" x14ac:dyDescent="0.2">
      <c r="A29" t="s">
        <v>25</v>
      </c>
    </row>
    <row r="30" spans="1:7" x14ac:dyDescent="0.2">
      <c r="A30" t="s">
        <v>6</v>
      </c>
      <c r="B30" t="s">
        <v>25</v>
      </c>
      <c r="C30" t="s">
        <v>26</v>
      </c>
      <c r="D30" t="s">
        <v>27</v>
      </c>
      <c r="E30" t="s">
        <v>53</v>
      </c>
      <c r="F30" t="s">
        <v>56</v>
      </c>
      <c r="G30" t="s">
        <v>61</v>
      </c>
    </row>
    <row r="31" spans="1:7" x14ac:dyDescent="0.2">
      <c r="A31" t="s">
        <v>50</v>
      </c>
      <c r="B31" t="s">
        <v>0</v>
      </c>
      <c r="C31">
        <v>6</v>
      </c>
      <c r="D31">
        <f>ShiftPeriod[[#This Row],[StartTime]]/24</f>
        <v>0.25</v>
      </c>
      <c r="E31" s="10">
        <f>C32-ShiftPeriod[[#This Row],[StartTime]]</f>
        <v>8</v>
      </c>
      <c r="F31">
        <f>ShiftPeriod[[#This Row],[StartDay]]+ShiftPeriod[[#This Row],[DurationOfShifts]]/24 -IF(ShiftPeriod[[#This Row],[ShiftPeriod]]="NIGHT",1,0)</f>
        <v>0.58333333333333326</v>
      </c>
      <c r="G31" s="22">
        <f>ShiftPeriod[[#This Row],[EndDay]]</f>
        <v>0.58333333333333326</v>
      </c>
    </row>
    <row r="32" spans="1:7" x14ac:dyDescent="0.2">
      <c r="A32" t="s">
        <v>50</v>
      </c>
      <c r="B32" t="s">
        <v>1</v>
      </c>
      <c r="C32">
        <v>14</v>
      </c>
      <c r="D32">
        <f>ShiftPeriod[[#This Row],[StartTime]]/24</f>
        <v>0.58333333333333337</v>
      </c>
      <c r="E32" s="10">
        <f>C33-ShiftPeriod[[#This Row],[StartTime]]</f>
        <v>8.5</v>
      </c>
      <c r="F32">
        <f>ShiftPeriod[[#This Row],[StartDay]]+ShiftPeriod[[#This Row],[DurationOfShifts]]/24 -IF(ShiftPeriod[[#This Row],[ShiftPeriod]]="NIGHT",1,0)</f>
        <v>0.9375</v>
      </c>
      <c r="G32" s="23">
        <f>ShiftPeriod[[#This Row],[EndDay]]</f>
        <v>0.9375</v>
      </c>
    </row>
    <row r="33" spans="1:7" x14ac:dyDescent="0.2">
      <c r="A33" t="s">
        <v>50</v>
      </c>
      <c r="B33" t="s">
        <v>3</v>
      </c>
      <c r="C33">
        <v>22.5</v>
      </c>
      <c r="D33">
        <f>ShiftPeriod[[#This Row],[StartTime]]/24</f>
        <v>0.9375</v>
      </c>
      <c r="E33" s="24">
        <f>-ShiftPeriod[[#This Row],[StartTime]]+24+(C31)</f>
        <v>7.5</v>
      </c>
      <c r="F33">
        <f>ShiftPeriod[[#This Row],[StartDay]]+ShiftPeriod[[#This Row],[DurationOfShifts]]/24 -IF(ShiftPeriod[[#This Row],[ShiftPeriod]]="NIGHT",1,0)</f>
        <v>0.25</v>
      </c>
      <c r="G33" s="22">
        <f>ShiftPeriod[[#This Row],[EndDay]]</f>
        <v>0.25</v>
      </c>
    </row>
    <row r="34" spans="1:7" x14ac:dyDescent="0.2">
      <c r="A34" t="s">
        <v>52</v>
      </c>
      <c r="B34" t="s">
        <v>0</v>
      </c>
      <c r="C34">
        <v>6</v>
      </c>
      <c r="D34">
        <f>ShiftPeriod[[#This Row],[StartTime]]/24</f>
        <v>0.25</v>
      </c>
      <c r="E34" s="10">
        <f>C35-ShiftPeriod[[#This Row],[StartTime]]</f>
        <v>8</v>
      </c>
      <c r="F34">
        <f>ShiftPeriod[[#This Row],[StartDay]]+ShiftPeriod[[#This Row],[DurationOfShifts]]/24 -IF(ShiftPeriod[[#This Row],[ShiftPeriod]]="NIGHT",1,0)</f>
        <v>0.58333333333333326</v>
      </c>
      <c r="G34" s="22">
        <f>ShiftPeriod[[#This Row],[EndDay]]</f>
        <v>0.58333333333333326</v>
      </c>
    </row>
    <row r="35" spans="1:7" x14ac:dyDescent="0.2">
      <c r="A35" t="s">
        <v>52</v>
      </c>
      <c r="B35" t="s">
        <v>1</v>
      </c>
      <c r="C35">
        <v>14</v>
      </c>
      <c r="D35">
        <f>ShiftPeriod[[#This Row],[StartTime]]/24</f>
        <v>0.58333333333333337</v>
      </c>
      <c r="E35" s="10">
        <f>C36-ShiftPeriod[[#This Row],[StartTime]]</f>
        <v>8</v>
      </c>
      <c r="F35">
        <f>ShiftPeriod[[#This Row],[StartDay]]+ShiftPeriod[[#This Row],[DurationOfShifts]]/24 -IF(ShiftPeriod[[#This Row],[ShiftPeriod]]="NIGHT",1,0)</f>
        <v>0.91666666666666674</v>
      </c>
      <c r="G35" s="22">
        <f>ShiftPeriod[[#This Row],[EndDay]]</f>
        <v>0.91666666666666674</v>
      </c>
    </row>
    <row r="36" spans="1:7" x14ac:dyDescent="0.2">
      <c r="A36" t="s">
        <v>52</v>
      </c>
      <c r="B36" t="s">
        <v>3</v>
      </c>
      <c r="C36">
        <v>22</v>
      </c>
      <c r="D36">
        <f>ShiftPeriod[[#This Row],[StartTime]]/24</f>
        <v>0.91666666666666663</v>
      </c>
      <c r="E36" s="24">
        <f>-ShiftPeriod[[#This Row],[StartTime]]+24+(C34)</f>
        <v>8</v>
      </c>
      <c r="F36">
        <f>ShiftPeriod[[#This Row],[StartDay]]+ShiftPeriod[[#This Row],[DurationOfShifts]]/24 -IF(ShiftPeriod[[#This Row],[ShiftPeriod]]="NIGHT",1,0)</f>
        <v>0.25</v>
      </c>
      <c r="G36" s="22">
        <f>ShiftPeriod[[#This Row],[EndDay]]</f>
        <v>0.25</v>
      </c>
    </row>
    <row r="37" spans="1:7" x14ac:dyDescent="0.2">
      <c r="A37" t="s">
        <v>51</v>
      </c>
      <c r="B37" t="s">
        <v>0</v>
      </c>
      <c r="C37">
        <v>6</v>
      </c>
      <c r="D37">
        <f>ShiftPeriod[[#This Row],[StartTime]]/24</f>
        <v>0.25</v>
      </c>
      <c r="E37" s="10">
        <f>C38-ShiftPeriod[[#This Row],[StartTime]]</f>
        <v>8</v>
      </c>
      <c r="F37">
        <f>ShiftPeriod[[#This Row],[StartDay]]+ShiftPeriod[[#This Row],[DurationOfShifts]]/24 -IF(ShiftPeriod[[#This Row],[ShiftPeriod]]="NIGHT",1,0)</f>
        <v>0.58333333333333326</v>
      </c>
      <c r="G37" s="22">
        <f>ShiftPeriod[[#This Row],[EndDay]]</f>
        <v>0.58333333333333326</v>
      </c>
    </row>
    <row r="38" spans="1:7" x14ac:dyDescent="0.2">
      <c r="A38" t="s">
        <v>51</v>
      </c>
      <c r="B38" t="s">
        <v>1</v>
      </c>
      <c r="C38">
        <v>14</v>
      </c>
      <c r="D38">
        <f>ShiftPeriod[[#This Row],[StartTime]]/24</f>
        <v>0.58333333333333337</v>
      </c>
      <c r="E38" s="10">
        <f>C39-ShiftPeriod[[#This Row],[StartTime]]</f>
        <v>8.5</v>
      </c>
      <c r="F38">
        <f>ShiftPeriod[[#This Row],[StartDay]]+ShiftPeriod[[#This Row],[DurationOfShifts]]/24 -IF(ShiftPeriod[[#This Row],[ShiftPeriod]]="NIGHT",1,0)</f>
        <v>0.9375</v>
      </c>
      <c r="G38" s="22">
        <f>ShiftPeriod[[#This Row],[EndDay]]</f>
        <v>0.9375</v>
      </c>
    </row>
    <row r="39" spans="1:7" x14ac:dyDescent="0.2">
      <c r="A39" t="s">
        <v>51</v>
      </c>
      <c r="B39" t="s">
        <v>3</v>
      </c>
      <c r="C39">
        <v>22.5</v>
      </c>
      <c r="D39">
        <f>ShiftPeriod[[#This Row],[StartTime]]/24</f>
        <v>0.9375</v>
      </c>
      <c r="E39" s="24">
        <f>-ShiftPeriod[[#This Row],[StartTime]]+24+(C37)</f>
        <v>7.5</v>
      </c>
      <c r="F39">
        <f>ShiftPeriod[[#This Row],[StartDay]]+ShiftPeriod[[#This Row],[DurationOfShifts]]/24 -IF(ShiftPeriod[[#This Row],[ShiftPeriod]]="NIGHT",1,0)</f>
        <v>0.25</v>
      </c>
      <c r="G39" s="22">
        <f>ShiftPeriod[[#This Row],[EndDay]]</f>
        <v>0.25</v>
      </c>
    </row>
    <row r="40" spans="1:7" x14ac:dyDescent="0.2">
      <c r="A40" t="s">
        <v>60</v>
      </c>
      <c r="B40" t="s">
        <v>0</v>
      </c>
      <c r="C40">
        <v>6</v>
      </c>
      <c r="D40">
        <f>ShiftPeriod[[#This Row],[StartTime]]/24</f>
        <v>0.25</v>
      </c>
      <c r="E40" s="10">
        <f>C41-ShiftPeriod[[#This Row],[StartTime]]</f>
        <v>8</v>
      </c>
      <c r="F40">
        <f>ShiftPeriod[[#This Row],[StartDay]]+ShiftPeriod[[#This Row],[DurationOfShifts]]/24 -IF(ShiftPeriod[[#This Row],[ShiftPeriod]]="NIGHT",1,0)</f>
        <v>0.58333333333333326</v>
      </c>
      <c r="G40" s="22">
        <f>ShiftPeriod[[#This Row],[EndDay]]</f>
        <v>0.58333333333333326</v>
      </c>
    </row>
    <row r="41" spans="1:7" x14ac:dyDescent="0.2">
      <c r="A41" t="s">
        <v>60</v>
      </c>
      <c r="B41" t="s">
        <v>1</v>
      </c>
      <c r="C41">
        <v>14</v>
      </c>
      <c r="D41">
        <f>ShiftPeriod[[#This Row],[StartTime]]/24</f>
        <v>0.58333333333333337</v>
      </c>
      <c r="E41" s="10">
        <f>C42-ShiftPeriod[[#This Row],[StartTime]]</f>
        <v>8.5</v>
      </c>
      <c r="F41">
        <f>ShiftPeriod[[#This Row],[StartDay]]+ShiftPeriod[[#This Row],[DurationOfShifts]]/24 -IF(ShiftPeriod[[#This Row],[ShiftPeriod]]="NIGHT",1,0)</f>
        <v>0.9375</v>
      </c>
      <c r="G41" s="22">
        <f>ShiftPeriod[[#This Row],[EndDay]]</f>
        <v>0.9375</v>
      </c>
    </row>
    <row r="42" spans="1:7" x14ac:dyDescent="0.2">
      <c r="A42" t="s">
        <v>60</v>
      </c>
      <c r="B42" t="s">
        <v>3</v>
      </c>
      <c r="C42">
        <v>22.5</v>
      </c>
      <c r="D42">
        <f>ShiftPeriod[[#This Row],[StartTime]]/24</f>
        <v>0.9375</v>
      </c>
      <c r="E42" s="24">
        <f>-ShiftPeriod[[#This Row],[StartTime]]+24+(C40)</f>
        <v>7.5</v>
      </c>
      <c r="F42">
        <f>ShiftPeriod[[#This Row],[StartDay]]+ShiftPeriod[[#This Row],[DurationOfShifts]]/24 -IF(ShiftPeriod[[#This Row],[ShiftPeriod]]="NIGHT",1,0)</f>
        <v>0.25</v>
      </c>
      <c r="G42" s="22">
        <f>ShiftPeriod[[#This Row],[EndDay]]</f>
        <v>0.25</v>
      </c>
    </row>
    <row r="49" spans="1:3" x14ac:dyDescent="0.2">
      <c r="A49" t="s">
        <v>28</v>
      </c>
    </row>
    <row r="50" spans="1:3" x14ac:dyDescent="0.2">
      <c r="A50" t="s">
        <v>29</v>
      </c>
      <c r="B50" t="s">
        <v>33</v>
      </c>
      <c r="C50" t="s">
        <v>34</v>
      </c>
    </row>
    <row r="51" spans="1:3" x14ac:dyDescent="0.2">
      <c r="A51">
        <v>38</v>
      </c>
      <c r="B51">
        <v>76</v>
      </c>
      <c r="C51">
        <v>152</v>
      </c>
    </row>
    <row r="53" spans="1:3" x14ac:dyDescent="0.2">
      <c r="A53" t="s">
        <v>32</v>
      </c>
    </row>
    <row r="54" spans="1:3" x14ac:dyDescent="0.2">
      <c r="A54" t="s">
        <v>30</v>
      </c>
      <c r="B54">
        <v>4</v>
      </c>
    </row>
    <row r="55" spans="1:3" x14ac:dyDescent="0.2">
      <c r="A55" t="s">
        <v>31</v>
      </c>
      <c r="B55">
        <v>3</v>
      </c>
    </row>
  </sheetData>
  <phoneticPr fontId="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9E-5829-4C32-8AF8-90B1ECF95256}">
  <sheetPr>
    <tabColor rgb="FFFF0000"/>
  </sheetPr>
  <dimension ref="A1:E262"/>
  <sheetViews>
    <sheetView tabSelected="1" workbookViewId="0">
      <selection activeCell="H27" sqref="H27"/>
    </sheetView>
  </sheetViews>
  <sheetFormatPr defaultRowHeight="12.75" x14ac:dyDescent="0.2"/>
  <cols>
    <col min="1" max="1" width="10.5" bestFit="1" customWidth="1"/>
    <col min="2" max="2" width="7.33203125" bestFit="1" customWidth="1"/>
    <col min="3" max="3" width="9.33203125" bestFit="1" customWidth="1"/>
    <col min="4" max="4" width="9.83203125" bestFit="1" customWidth="1"/>
    <col min="5" max="5" width="12.6640625" bestFit="1" customWidth="1"/>
    <col min="6" max="6" width="23.83203125" customWidth="1"/>
    <col min="7" max="7" width="23.83203125" bestFit="1" customWidth="1"/>
    <col min="8" max="9" width="10.83203125" bestFit="1" customWidth="1"/>
  </cols>
  <sheetData>
    <row r="1" spans="1:5" x14ac:dyDescent="0.2">
      <c r="A1" t="s">
        <v>4</v>
      </c>
      <c r="B1" t="s">
        <v>41</v>
      </c>
      <c r="C1" t="s">
        <v>2</v>
      </c>
      <c r="D1" t="s">
        <v>40</v>
      </c>
      <c r="E1" t="s">
        <v>5</v>
      </c>
    </row>
    <row r="2" spans="1:5" x14ac:dyDescent="0.2">
      <c r="A2" s="20">
        <v>46293</v>
      </c>
      <c r="B2">
        <v>1</v>
      </c>
      <c r="C2" t="s">
        <v>0</v>
      </c>
      <c r="D2">
        <v>1</v>
      </c>
      <c r="E2" t="s">
        <v>52</v>
      </c>
    </row>
    <row r="3" spans="1:5" x14ac:dyDescent="0.2">
      <c r="A3" s="20">
        <v>46293</v>
      </c>
      <c r="B3">
        <v>1</v>
      </c>
      <c r="C3" t="s">
        <v>0</v>
      </c>
      <c r="D3">
        <v>1</v>
      </c>
      <c r="E3" t="s">
        <v>60</v>
      </c>
    </row>
    <row r="4" spans="1:5" x14ac:dyDescent="0.2">
      <c r="A4" s="20">
        <v>46293</v>
      </c>
      <c r="B4">
        <v>1</v>
      </c>
      <c r="C4" t="s">
        <v>0</v>
      </c>
      <c r="D4">
        <v>1</v>
      </c>
      <c r="E4" t="s">
        <v>50</v>
      </c>
    </row>
    <row r="5" spans="1:5" x14ac:dyDescent="0.2">
      <c r="A5" s="20">
        <v>46293</v>
      </c>
      <c r="B5">
        <v>1</v>
      </c>
      <c r="C5" t="s">
        <v>1</v>
      </c>
      <c r="D5">
        <v>2</v>
      </c>
      <c r="E5" t="s">
        <v>52</v>
      </c>
    </row>
    <row r="6" spans="1:5" x14ac:dyDescent="0.2">
      <c r="A6" s="20">
        <v>46293</v>
      </c>
      <c r="B6">
        <v>1</v>
      </c>
      <c r="C6" t="s">
        <v>1</v>
      </c>
      <c r="D6">
        <v>2</v>
      </c>
      <c r="E6" t="s">
        <v>60</v>
      </c>
    </row>
    <row r="7" spans="1:5" x14ac:dyDescent="0.2">
      <c r="A7" s="20">
        <v>46293</v>
      </c>
      <c r="B7">
        <v>1</v>
      </c>
      <c r="C7" t="s">
        <v>1</v>
      </c>
      <c r="D7">
        <v>2</v>
      </c>
      <c r="E7" t="s">
        <v>50</v>
      </c>
    </row>
    <row r="8" spans="1:5" x14ac:dyDescent="0.2">
      <c r="A8" s="20">
        <v>46293</v>
      </c>
      <c r="B8">
        <v>1</v>
      </c>
      <c r="C8" t="s">
        <v>3</v>
      </c>
      <c r="D8">
        <v>3</v>
      </c>
      <c r="E8" t="s">
        <v>52</v>
      </c>
    </row>
    <row r="9" spans="1:5" x14ac:dyDescent="0.2">
      <c r="A9" s="20">
        <v>46293</v>
      </c>
      <c r="B9">
        <v>1</v>
      </c>
      <c r="C9" t="s">
        <v>3</v>
      </c>
      <c r="D9">
        <v>3</v>
      </c>
      <c r="E9" t="s">
        <v>60</v>
      </c>
    </row>
    <row r="10" spans="1:5" x14ac:dyDescent="0.2">
      <c r="A10" s="20">
        <v>46293</v>
      </c>
      <c r="B10">
        <v>1</v>
      </c>
      <c r="C10" t="s">
        <v>3</v>
      </c>
      <c r="D10">
        <v>3</v>
      </c>
      <c r="E10" t="s">
        <v>50</v>
      </c>
    </row>
    <row r="11" spans="1:5" x14ac:dyDescent="0.2">
      <c r="A11" s="20">
        <v>46294</v>
      </c>
      <c r="B11">
        <v>2</v>
      </c>
      <c r="C11" t="s">
        <v>0</v>
      </c>
      <c r="D11">
        <v>4</v>
      </c>
      <c r="E11" t="s">
        <v>52</v>
      </c>
    </row>
    <row r="12" spans="1:5" x14ac:dyDescent="0.2">
      <c r="A12" s="20">
        <v>46294</v>
      </c>
      <c r="B12">
        <v>2</v>
      </c>
      <c r="C12" t="s">
        <v>0</v>
      </c>
      <c r="D12">
        <v>4</v>
      </c>
      <c r="E12" t="s">
        <v>60</v>
      </c>
    </row>
    <row r="13" spans="1:5" x14ac:dyDescent="0.2">
      <c r="A13" s="20">
        <v>46294</v>
      </c>
      <c r="B13">
        <v>2</v>
      </c>
      <c r="C13" t="s">
        <v>0</v>
      </c>
      <c r="D13">
        <v>4</v>
      </c>
      <c r="E13" t="s">
        <v>50</v>
      </c>
    </row>
    <row r="14" spans="1:5" x14ac:dyDescent="0.2">
      <c r="A14" s="20">
        <v>46294</v>
      </c>
      <c r="B14">
        <v>2</v>
      </c>
      <c r="C14" t="s">
        <v>1</v>
      </c>
      <c r="D14">
        <v>5</v>
      </c>
      <c r="E14" t="s">
        <v>52</v>
      </c>
    </row>
    <row r="15" spans="1:5" x14ac:dyDescent="0.2">
      <c r="A15" s="20">
        <v>46294</v>
      </c>
      <c r="B15">
        <v>2</v>
      </c>
      <c r="C15" t="s">
        <v>1</v>
      </c>
      <c r="D15">
        <v>5</v>
      </c>
      <c r="E15" t="s">
        <v>60</v>
      </c>
    </row>
    <row r="16" spans="1:5" x14ac:dyDescent="0.2">
      <c r="A16" s="20">
        <v>46294</v>
      </c>
      <c r="B16">
        <v>2</v>
      </c>
      <c r="C16" t="s">
        <v>1</v>
      </c>
      <c r="D16">
        <v>5</v>
      </c>
      <c r="E16" t="s">
        <v>50</v>
      </c>
    </row>
    <row r="17" spans="1:5" x14ac:dyDescent="0.2">
      <c r="A17" s="20">
        <v>46294</v>
      </c>
      <c r="B17">
        <v>2</v>
      </c>
      <c r="C17" t="s">
        <v>3</v>
      </c>
      <c r="D17">
        <v>6</v>
      </c>
      <c r="E17" t="s">
        <v>52</v>
      </c>
    </row>
    <row r="18" spans="1:5" x14ac:dyDescent="0.2">
      <c r="A18" s="20">
        <v>46294</v>
      </c>
      <c r="B18">
        <v>2</v>
      </c>
      <c r="C18" t="s">
        <v>3</v>
      </c>
      <c r="D18">
        <v>6</v>
      </c>
      <c r="E18" t="s">
        <v>60</v>
      </c>
    </row>
    <row r="19" spans="1:5" x14ac:dyDescent="0.2">
      <c r="A19" s="20">
        <v>46294</v>
      </c>
      <c r="B19">
        <v>2</v>
      </c>
      <c r="C19" t="s">
        <v>3</v>
      </c>
      <c r="D19">
        <v>6</v>
      </c>
      <c r="E19" t="s">
        <v>50</v>
      </c>
    </row>
    <row r="20" spans="1:5" x14ac:dyDescent="0.2">
      <c r="A20" s="20">
        <v>46295</v>
      </c>
      <c r="B20">
        <v>3</v>
      </c>
      <c r="C20" t="s">
        <v>0</v>
      </c>
      <c r="D20">
        <v>7</v>
      </c>
      <c r="E20" t="s">
        <v>52</v>
      </c>
    </row>
    <row r="21" spans="1:5" x14ac:dyDescent="0.2">
      <c r="A21" s="20">
        <v>46295</v>
      </c>
      <c r="B21">
        <v>3</v>
      </c>
      <c r="C21" t="s">
        <v>0</v>
      </c>
      <c r="D21">
        <v>7</v>
      </c>
      <c r="E21" t="s">
        <v>60</v>
      </c>
    </row>
    <row r="22" spans="1:5" x14ac:dyDescent="0.2">
      <c r="A22" s="20">
        <v>46295</v>
      </c>
      <c r="B22">
        <v>3</v>
      </c>
      <c r="C22" t="s">
        <v>0</v>
      </c>
      <c r="D22">
        <v>7</v>
      </c>
      <c r="E22" t="s">
        <v>50</v>
      </c>
    </row>
    <row r="23" spans="1:5" x14ac:dyDescent="0.2">
      <c r="A23" s="20">
        <v>46295</v>
      </c>
      <c r="B23">
        <v>3</v>
      </c>
      <c r="C23" t="s">
        <v>1</v>
      </c>
      <c r="D23">
        <v>8</v>
      </c>
      <c r="E23" t="s">
        <v>52</v>
      </c>
    </row>
    <row r="24" spans="1:5" x14ac:dyDescent="0.2">
      <c r="A24" s="20">
        <v>46295</v>
      </c>
      <c r="B24">
        <v>3</v>
      </c>
      <c r="C24" t="s">
        <v>1</v>
      </c>
      <c r="D24">
        <v>8</v>
      </c>
      <c r="E24" t="s">
        <v>60</v>
      </c>
    </row>
    <row r="25" spans="1:5" x14ac:dyDescent="0.2">
      <c r="A25" s="20">
        <v>46295</v>
      </c>
      <c r="B25">
        <v>3</v>
      </c>
      <c r="C25" t="s">
        <v>1</v>
      </c>
      <c r="D25">
        <v>8</v>
      </c>
      <c r="E25" t="s">
        <v>50</v>
      </c>
    </row>
    <row r="26" spans="1:5" x14ac:dyDescent="0.2">
      <c r="A26" s="20">
        <v>46295</v>
      </c>
      <c r="B26">
        <v>3</v>
      </c>
      <c r="C26" t="s">
        <v>3</v>
      </c>
      <c r="D26">
        <v>9</v>
      </c>
      <c r="E26" t="s">
        <v>52</v>
      </c>
    </row>
    <row r="27" spans="1:5" x14ac:dyDescent="0.2">
      <c r="A27" s="20">
        <v>46295</v>
      </c>
      <c r="B27">
        <v>3</v>
      </c>
      <c r="C27" t="s">
        <v>3</v>
      </c>
      <c r="D27">
        <v>9</v>
      </c>
      <c r="E27" t="s">
        <v>60</v>
      </c>
    </row>
    <row r="28" spans="1:5" x14ac:dyDescent="0.2">
      <c r="A28" s="20">
        <v>46295</v>
      </c>
      <c r="B28">
        <v>3</v>
      </c>
      <c r="C28" t="s">
        <v>3</v>
      </c>
      <c r="D28">
        <v>9</v>
      </c>
      <c r="E28" t="s">
        <v>50</v>
      </c>
    </row>
    <row r="29" spans="1:5" x14ac:dyDescent="0.2">
      <c r="A29" s="20">
        <v>46296</v>
      </c>
      <c r="B29">
        <v>4</v>
      </c>
      <c r="C29" t="s">
        <v>0</v>
      </c>
      <c r="D29">
        <v>10</v>
      </c>
      <c r="E29" t="s">
        <v>52</v>
      </c>
    </row>
    <row r="30" spans="1:5" x14ac:dyDescent="0.2">
      <c r="A30" s="20">
        <v>46296</v>
      </c>
      <c r="B30">
        <v>4</v>
      </c>
      <c r="C30" t="s">
        <v>0</v>
      </c>
      <c r="D30">
        <v>10</v>
      </c>
      <c r="E30" t="s">
        <v>60</v>
      </c>
    </row>
    <row r="31" spans="1:5" x14ac:dyDescent="0.2">
      <c r="A31" s="20">
        <v>46296</v>
      </c>
      <c r="B31">
        <v>4</v>
      </c>
      <c r="C31" t="s">
        <v>0</v>
      </c>
      <c r="D31">
        <v>10</v>
      </c>
      <c r="E31" t="s">
        <v>50</v>
      </c>
    </row>
    <row r="32" spans="1:5" x14ac:dyDescent="0.2">
      <c r="A32" s="20">
        <v>46296</v>
      </c>
      <c r="B32">
        <v>4</v>
      </c>
      <c r="C32" t="s">
        <v>1</v>
      </c>
      <c r="D32">
        <v>11</v>
      </c>
      <c r="E32" t="s">
        <v>52</v>
      </c>
    </row>
    <row r="33" spans="1:5" x14ac:dyDescent="0.2">
      <c r="A33" s="20">
        <v>46296</v>
      </c>
      <c r="B33">
        <v>4</v>
      </c>
      <c r="C33" t="s">
        <v>1</v>
      </c>
      <c r="D33">
        <v>11</v>
      </c>
      <c r="E33" t="s">
        <v>60</v>
      </c>
    </row>
    <row r="34" spans="1:5" x14ac:dyDescent="0.2">
      <c r="A34" s="20">
        <v>46296</v>
      </c>
      <c r="B34">
        <v>4</v>
      </c>
      <c r="C34" t="s">
        <v>1</v>
      </c>
      <c r="D34">
        <v>11</v>
      </c>
      <c r="E34" t="s">
        <v>50</v>
      </c>
    </row>
    <row r="35" spans="1:5" x14ac:dyDescent="0.2">
      <c r="A35" s="20">
        <v>46296</v>
      </c>
      <c r="B35">
        <v>4</v>
      </c>
      <c r="C35" t="s">
        <v>3</v>
      </c>
      <c r="D35">
        <v>12</v>
      </c>
      <c r="E35" t="s">
        <v>52</v>
      </c>
    </row>
    <row r="36" spans="1:5" x14ac:dyDescent="0.2">
      <c r="A36" s="20">
        <v>46296</v>
      </c>
      <c r="B36">
        <v>4</v>
      </c>
      <c r="C36" t="s">
        <v>3</v>
      </c>
      <c r="D36">
        <v>12</v>
      </c>
      <c r="E36" t="s">
        <v>60</v>
      </c>
    </row>
    <row r="37" spans="1:5" x14ac:dyDescent="0.2">
      <c r="A37" s="20">
        <v>46296</v>
      </c>
      <c r="B37">
        <v>4</v>
      </c>
      <c r="C37" t="s">
        <v>3</v>
      </c>
      <c r="D37">
        <v>12</v>
      </c>
      <c r="E37" t="s">
        <v>50</v>
      </c>
    </row>
    <row r="38" spans="1:5" x14ac:dyDescent="0.2">
      <c r="A38" s="20">
        <v>46297</v>
      </c>
      <c r="B38">
        <v>5</v>
      </c>
      <c r="C38" t="s">
        <v>0</v>
      </c>
      <c r="D38">
        <v>13</v>
      </c>
      <c r="E38" t="s">
        <v>52</v>
      </c>
    </row>
    <row r="39" spans="1:5" x14ac:dyDescent="0.2">
      <c r="A39" s="20">
        <v>46297</v>
      </c>
      <c r="B39">
        <v>5</v>
      </c>
      <c r="C39" t="s">
        <v>0</v>
      </c>
      <c r="D39">
        <v>13</v>
      </c>
      <c r="E39" t="s">
        <v>60</v>
      </c>
    </row>
    <row r="40" spans="1:5" x14ac:dyDescent="0.2">
      <c r="A40" s="20">
        <v>46297</v>
      </c>
      <c r="B40">
        <v>5</v>
      </c>
      <c r="C40" t="s">
        <v>0</v>
      </c>
      <c r="D40">
        <v>13</v>
      </c>
      <c r="E40" t="s">
        <v>50</v>
      </c>
    </row>
    <row r="41" spans="1:5" x14ac:dyDescent="0.2">
      <c r="A41" s="20">
        <v>46297</v>
      </c>
      <c r="B41">
        <v>5</v>
      </c>
      <c r="C41" t="s">
        <v>1</v>
      </c>
      <c r="D41">
        <v>14</v>
      </c>
      <c r="E41" t="s">
        <v>52</v>
      </c>
    </row>
    <row r="42" spans="1:5" x14ac:dyDescent="0.2">
      <c r="A42" s="20">
        <v>46297</v>
      </c>
      <c r="B42">
        <v>5</v>
      </c>
      <c r="C42" t="s">
        <v>1</v>
      </c>
      <c r="D42">
        <v>14</v>
      </c>
      <c r="E42" t="s">
        <v>60</v>
      </c>
    </row>
    <row r="43" spans="1:5" x14ac:dyDescent="0.2">
      <c r="A43" s="20">
        <v>46297</v>
      </c>
      <c r="B43">
        <v>5</v>
      </c>
      <c r="C43" t="s">
        <v>1</v>
      </c>
      <c r="D43">
        <v>14</v>
      </c>
      <c r="E43" t="s">
        <v>50</v>
      </c>
    </row>
    <row r="44" spans="1:5" x14ac:dyDescent="0.2">
      <c r="A44" s="20">
        <v>46297</v>
      </c>
      <c r="B44">
        <v>5</v>
      </c>
      <c r="C44" t="s">
        <v>3</v>
      </c>
      <c r="D44">
        <v>15</v>
      </c>
      <c r="E44" t="s">
        <v>52</v>
      </c>
    </row>
    <row r="45" spans="1:5" x14ac:dyDescent="0.2">
      <c r="A45" s="20">
        <v>46297</v>
      </c>
      <c r="B45">
        <v>5</v>
      </c>
      <c r="C45" t="s">
        <v>3</v>
      </c>
      <c r="D45">
        <v>15</v>
      </c>
      <c r="E45" t="s">
        <v>60</v>
      </c>
    </row>
    <row r="46" spans="1:5" x14ac:dyDescent="0.2">
      <c r="A46" s="20">
        <v>46297</v>
      </c>
      <c r="B46">
        <v>5</v>
      </c>
      <c r="C46" t="s">
        <v>3</v>
      </c>
      <c r="D46">
        <v>15</v>
      </c>
      <c r="E46" t="s">
        <v>50</v>
      </c>
    </row>
    <row r="47" spans="1:5" x14ac:dyDescent="0.2">
      <c r="A47" s="20">
        <v>46298</v>
      </c>
      <c r="B47">
        <v>6</v>
      </c>
      <c r="C47" t="s">
        <v>0</v>
      </c>
      <c r="D47">
        <v>16</v>
      </c>
      <c r="E47" t="s">
        <v>52</v>
      </c>
    </row>
    <row r="48" spans="1:5" x14ac:dyDescent="0.2">
      <c r="A48" s="20">
        <v>46298</v>
      </c>
      <c r="B48">
        <v>6</v>
      </c>
      <c r="C48" t="s">
        <v>0</v>
      </c>
      <c r="D48">
        <v>16</v>
      </c>
      <c r="E48" t="s">
        <v>60</v>
      </c>
    </row>
    <row r="49" spans="1:5" x14ac:dyDescent="0.2">
      <c r="A49" s="20">
        <v>46298</v>
      </c>
      <c r="B49">
        <v>6</v>
      </c>
      <c r="C49" t="s">
        <v>0</v>
      </c>
      <c r="D49">
        <v>16</v>
      </c>
      <c r="E49" t="s">
        <v>50</v>
      </c>
    </row>
    <row r="50" spans="1:5" x14ac:dyDescent="0.2">
      <c r="A50" s="20">
        <v>46298</v>
      </c>
      <c r="B50">
        <v>6</v>
      </c>
      <c r="C50" t="s">
        <v>1</v>
      </c>
      <c r="D50">
        <v>17</v>
      </c>
      <c r="E50" t="s">
        <v>52</v>
      </c>
    </row>
    <row r="51" spans="1:5" x14ac:dyDescent="0.2">
      <c r="A51" s="20">
        <v>46298</v>
      </c>
      <c r="B51">
        <v>6</v>
      </c>
      <c r="C51" t="s">
        <v>1</v>
      </c>
      <c r="D51">
        <v>17</v>
      </c>
      <c r="E51" t="s">
        <v>60</v>
      </c>
    </row>
    <row r="52" spans="1:5" x14ac:dyDescent="0.2">
      <c r="A52" s="20">
        <v>46298</v>
      </c>
      <c r="B52">
        <v>6</v>
      </c>
      <c r="C52" t="s">
        <v>1</v>
      </c>
      <c r="D52">
        <v>17</v>
      </c>
      <c r="E52" t="s">
        <v>50</v>
      </c>
    </row>
    <row r="53" spans="1:5" x14ac:dyDescent="0.2">
      <c r="A53" s="20">
        <v>46298</v>
      </c>
      <c r="B53">
        <v>6</v>
      </c>
      <c r="C53" t="s">
        <v>3</v>
      </c>
      <c r="D53">
        <v>18</v>
      </c>
      <c r="E53" t="s">
        <v>52</v>
      </c>
    </row>
    <row r="54" spans="1:5" x14ac:dyDescent="0.2">
      <c r="A54" s="20">
        <v>46298</v>
      </c>
      <c r="B54">
        <v>6</v>
      </c>
      <c r="C54" t="s">
        <v>3</v>
      </c>
      <c r="D54">
        <v>18</v>
      </c>
      <c r="E54" t="s">
        <v>60</v>
      </c>
    </row>
    <row r="55" spans="1:5" x14ac:dyDescent="0.2">
      <c r="A55" s="20">
        <v>46298</v>
      </c>
      <c r="B55">
        <v>6</v>
      </c>
      <c r="C55" t="s">
        <v>3</v>
      </c>
      <c r="D55">
        <v>18</v>
      </c>
      <c r="E55" t="s">
        <v>50</v>
      </c>
    </row>
    <row r="56" spans="1:5" x14ac:dyDescent="0.2">
      <c r="A56" s="20">
        <v>46299</v>
      </c>
      <c r="B56">
        <v>7</v>
      </c>
      <c r="C56" t="s">
        <v>0</v>
      </c>
      <c r="D56">
        <v>19</v>
      </c>
      <c r="E56" t="s">
        <v>52</v>
      </c>
    </row>
    <row r="57" spans="1:5" x14ac:dyDescent="0.2">
      <c r="A57" s="20">
        <v>46299</v>
      </c>
      <c r="B57">
        <v>7</v>
      </c>
      <c r="C57" t="s">
        <v>0</v>
      </c>
      <c r="D57">
        <v>19</v>
      </c>
      <c r="E57" t="s">
        <v>60</v>
      </c>
    </row>
    <row r="58" spans="1:5" x14ac:dyDescent="0.2">
      <c r="A58" s="20">
        <v>46299</v>
      </c>
      <c r="B58">
        <v>7</v>
      </c>
      <c r="C58" t="s">
        <v>0</v>
      </c>
      <c r="D58">
        <v>19</v>
      </c>
      <c r="E58" t="s">
        <v>50</v>
      </c>
    </row>
    <row r="59" spans="1:5" x14ac:dyDescent="0.2">
      <c r="A59" s="20">
        <v>46299</v>
      </c>
      <c r="B59">
        <v>7</v>
      </c>
      <c r="C59" t="s">
        <v>1</v>
      </c>
      <c r="D59">
        <v>20</v>
      </c>
      <c r="E59" t="s">
        <v>52</v>
      </c>
    </row>
    <row r="60" spans="1:5" x14ac:dyDescent="0.2">
      <c r="A60" s="20">
        <v>46299</v>
      </c>
      <c r="B60">
        <v>7</v>
      </c>
      <c r="C60" t="s">
        <v>1</v>
      </c>
      <c r="D60">
        <v>20</v>
      </c>
      <c r="E60" t="s">
        <v>60</v>
      </c>
    </row>
    <row r="61" spans="1:5" x14ac:dyDescent="0.2">
      <c r="A61" s="20">
        <v>46299</v>
      </c>
      <c r="B61">
        <v>7</v>
      </c>
      <c r="C61" t="s">
        <v>1</v>
      </c>
      <c r="D61">
        <v>20</v>
      </c>
      <c r="E61" t="s">
        <v>50</v>
      </c>
    </row>
    <row r="62" spans="1:5" x14ac:dyDescent="0.2">
      <c r="A62" s="20">
        <v>46299</v>
      </c>
      <c r="B62">
        <v>7</v>
      </c>
      <c r="C62" t="s">
        <v>3</v>
      </c>
      <c r="D62">
        <v>21</v>
      </c>
      <c r="E62" t="s">
        <v>52</v>
      </c>
    </row>
    <row r="63" spans="1:5" x14ac:dyDescent="0.2">
      <c r="A63" s="20">
        <v>46299</v>
      </c>
      <c r="B63">
        <v>7</v>
      </c>
      <c r="C63" t="s">
        <v>3</v>
      </c>
      <c r="D63">
        <v>21</v>
      </c>
      <c r="E63" t="s">
        <v>60</v>
      </c>
    </row>
    <row r="64" spans="1:5" x14ac:dyDescent="0.2">
      <c r="A64" s="20">
        <v>46299</v>
      </c>
      <c r="B64">
        <v>7</v>
      </c>
      <c r="C64" t="s">
        <v>3</v>
      </c>
      <c r="D64">
        <v>21</v>
      </c>
      <c r="E64" t="s">
        <v>50</v>
      </c>
    </row>
    <row r="65" spans="1:5" x14ac:dyDescent="0.2">
      <c r="A65" s="20">
        <v>46300</v>
      </c>
      <c r="B65">
        <v>8</v>
      </c>
      <c r="C65" t="s">
        <v>0</v>
      </c>
      <c r="D65">
        <v>22</v>
      </c>
      <c r="E65" t="s">
        <v>52</v>
      </c>
    </row>
    <row r="66" spans="1:5" x14ac:dyDescent="0.2">
      <c r="A66" s="20">
        <v>46300</v>
      </c>
      <c r="B66">
        <v>8</v>
      </c>
      <c r="C66" t="s">
        <v>0</v>
      </c>
      <c r="D66">
        <v>22</v>
      </c>
      <c r="E66" t="s">
        <v>60</v>
      </c>
    </row>
    <row r="67" spans="1:5" x14ac:dyDescent="0.2">
      <c r="A67" s="20">
        <v>46300</v>
      </c>
      <c r="B67">
        <v>8</v>
      </c>
      <c r="C67" t="s">
        <v>0</v>
      </c>
      <c r="D67">
        <v>22</v>
      </c>
      <c r="E67" t="s">
        <v>50</v>
      </c>
    </row>
    <row r="68" spans="1:5" x14ac:dyDescent="0.2">
      <c r="A68" s="20">
        <v>46300</v>
      </c>
      <c r="B68">
        <v>8</v>
      </c>
      <c r="C68" t="s">
        <v>1</v>
      </c>
      <c r="D68">
        <v>23</v>
      </c>
      <c r="E68" t="s">
        <v>52</v>
      </c>
    </row>
    <row r="69" spans="1:5" x14ac:dyDescent="0.2">
      <c r="A69" s="20">
        <v>46300</v>
      </c>
      <c r="B69">
        <v>8</v>
      </c>
      <c r="C69" t="s">
        <v>1</v>
      </c>
      <c r="D69">
        <v>23</v>
      </c>
      <c r="E69" t="s">
        <v>60</v>
      </c>
    </row>
    <row r="70" spans="1:5" x14ac:dyDescent="0.2">
      <c r="A70" s="20">
        <v>46300</v>
      </c>
      <c r="B70">
        <v>8</v>
      </c>
      <c r="C70" t="s">
        <v>1</v>
      </c>
      <c r="D70">
        <v>23</v>
      </c>
      <c r="E70" t="s">
        <v>50</v>
      </c>
    </row>
    <row r="71" spans="1:5" x14ac:dyDescent="0.2">
      <c r="A71" s="20">
        <v>46300</v>
      </c>
      <c r="B71">
        <v>8</v>
      </c>
      <c r="C71" t="s">
        <v>3</v>
      </c>
      <c r="D71">
        <v>24</v>
      </c>
      <c r="E71" t="s">
        <v>52</v>
      </c>
    </row>
    <row r="72" spans="1:5" x14ac:dyDescent="0.2">
      <c r="A72" s="20">
        <v>46300</v>
      </c>
      <c r="B72">
        <v>8</v>
      </c>
      <c r="C72" t="s">
        <v>3</v>
      </c>
      <c r="D72">
        <v>24</v>
      </c>
      <c r="E72" t="s">
        <v>60</v>
      </c>
    </row>
    <row r="73" spans="1:5" x14ac:dyDescent="0.2">
      <c r="A73" s="20">
        <v>46300</v>
      </c>
      <c r="B73">
        <v>8</v>
      </c>
      <c r="C73" t="s">
        <v>3</v>
      </c>
      <c r="D73">
        <v>24</v>
      </c>
      <c r="E73" t="s">
        <v>50</v>
      </c>
    </row>
    <row r="74" spans="1:5" x14ac:dyDescent="0.2">
      <c r="A74" s="20">
        <v>46301</v>
      </c>
      <c r="B74">
        <v>9</v>
      </c>
      <c r="C74" t="s">
        <v>0</v>
      </c>
      <c r="D74">
        <v>25</v>
      </c>
      <c r="E74" t="s">
        <v>52</v>
      </c>
    </row>
    <row r="75" spans="1:5" x14ac:dyDescent="0.2">
      <c r="A75" s="20">
        <v>46301</v>
      </c>
      <c r="B75">
        <v>9</v>
      </c>
      <c r="C75" t="s">
        <v>0</v>
      </c>
      <c r="D75">
        <v>25</v>
      </c>
      <c r="E75" t="s">
        <v>60</v>
      </c>
    </row>
    <row r="76" spans="1:5" x14ac:dyDescent="0.2">
      <c r="A76" s="20">
        <v>46301</v>
      </c>
      <c r="B76">
        <v>9</v>
      </c>
      <c r="C76" t="s">
        <v>0</v>
      </c>
      <c r="D76">
        <v>25</v>
      </c>
      <c r="E76" t="s">
        <v>50</v>
      </c>
    </row>
    <row r="77" spans="1:5" x14ac:dyDescent="0.2">
      <c r="A77" s="20">
        <v>46301</v>
      </c>
      <c r="B77">
        <v>9</v>
      </c>
      <c r="C77" t="s">
        <v>1</v>
      </c>
      <c r="D77">
        <v>26</v>
      </c>
      <c r="E77" t="s">
        <v>52</v>
      </c>
    </row>
    <row r="78" spans="1:5" x14ac:dyDescent="0.2">
      <c r="A78" s="20">
        <v>46301</v>
      </c>
      <c r="B78">
        <v>9</v>
      </c>
      <c r="C78" t="s">
        <v>1</v>
      </c>
      <c r="D78">
        <v>26</v>
      </c>
      <c r="E78" t="s">
        <v>60</v>
      </c>
    </row>
    <row r="79" spans="1:5" x14ac:dyDescent="0.2">
      <c r="A79" s="20">
        <v>46301</v>
      </c>
      <c r="B79">
        <v>9</v>
      </c>
      <c r="C79" t="s">
        <v>1</v>
      </c>
      <c r="D79">
        <v>26</v>
      </c>
      <c r="E79" t="s">
        <v>50</v>
      </c>
    </row>
    <row r="80" spans="1:5" x14ac:dyDescent="0.2">
      <c r="A80" s="20">
        <v>46301</v>
      </c>
      <c r="B80">
        <v>9</v>
      </c>
      <c r="C80" t="s">
        <v>3</v>
      </c>
      <c r="D80">
        <v>27</v>
      </c>
      <c r="E80" t="s">
        <v>52</v>
      </c>
    </row>
    <row r="81" spans="1:5" x14ac:dyDescent="0.2">
      <c r="A81" s="20">
        <v>46301</v>
      </c>
      <c r="B81">
        <v>9</v>
      </c>
      <c r="C81" t="s">
        <v>3</v>
      </c>
      <c r="D81">
        <v>27</v>
      </c>
      <c r="E81" t="s">
        <v>60</v>
      </c>
    </row>
    <row r="82" spans="1:5" x14ac:dyDescent="0.2">
      <c r="A82" s="20">
        <v>46301</v>
      </c>
      <c r="B82">
        <v>9</v>
      </c>
      <c r="C82" t="s">
        <v>3</v>
      </c>
      <c r="D82">
        <v>27</v>
      </c>
      <c r="E82" t="s">
        <v>50</v>
      </c>
    </row>
    <row r="83" spans="1:5" x14ac:dyDescent="0.2">
      <c r="A83" s="20">
        <v>46302</v>
      </c>
      <c r="B83">
        <v>10</v>
      </c>
      <c r="C83" t="s">
        <v>0</v>
      </c>
      <c r="D83">
        <v>28</v>
      </c>
      <c r="E83" t="s">
        <v>52</v>
      </c>
    </row>
    <row r="84" spans="1:5" x14ac:dyDescent="0.2">
      <c r="A84" s="20">
        <v>46302</v>
      </c>
      <c r="B84">
        <v>10</v>
      </c>
      <c r="C84" t="s">
        <v>0</v>
      </c>
      <c r="D84">
        <v>28</v>
      </c>
      <c r="E84" t="s">
        <v>60</v>
      </c>
    </row>
    <row r="85" spans="1:5" x14ac:dyDescent="0.2">
      <c r="A85" s="20">
        <v>46302</v>
      </c>
      <c r="B85">
        <v>10</v>
      </c>
      <c r="C85" t="s">
        <v>0</v>
      </c>
      <c r="D85">
        <v>28</v>
      </c>
      <c r="E85" t="s">
        <v>50</v>
      </c>
    </row>
    <row r="86" spans="1:5" x14ac:dyDescent="0.2">
      <c r="A86" s="20">
        <v>46302</v>
      </c>
      <c r="B86">
        <v>10</v>
      </c>
      <c r="C86" t="s">
        <v>1</v>
      </c>
      <c r="D86">
        <v>29</v>
      </c>
      <c r="E86" t="s">
        <v>52</v>
      </c>
    </row>
    <row r="87" spans="1:5" x14ac:dyDescent="0.2">
      <c r="A87" s="20">
        <v>46302</v>
      </c>
      <c r="B87">
        <v>10</v>
      </c>
      <c r="C87" t="s">
        <v>1</v>
      </c>
      <c r="D87">
        <v>29</v>
      </c>
      <c r="E87" t="s">
        <v>60</v>
      </c>
    </row>
    <row r="88" spans="1:5" x14ac:dyDescent="0.2">
      <c r="A88" s="20">
        <v>46302</v>
      </c>
      <c r="B88">
        <v>10</v>
      </c>
      <c r="C88" t="s">
        <v>1</v>
      </c>
      <c r="D88">
        <v>29</v>
      </c>
      <c r="E88" t="s">
        <v>50</v>
      </c>
    </row>
    <row r="89" spans="1:5" x14ac:dyDescent="0.2">
      <c r="A89" s="20">
        <v>46302</v>
      </c>
      <c r="B89">
        <v>10</v>
      </c>
      <c r="C89" t="s">
        <v>3</v>
      </c>
      <c r="D89">
        <v>30</v>
      </c>
      <c r="E89" t="s">
        <v>52</v>
      </c>
    </row>
    <row r="90" spans="1:5" x14ac:dyDescent="0.2">
      <c r="A90" s="20">
        <v>46302</v>
      </c>
      <c r="B90">
        <v>10</v>
      </c>
      <c r="C90" t="s">
        <v>3</v>
      </c>
      <c r="D90">
        <v>30</v>
      </c>
      <c r="E90" t="s">
        <v>60</v>
      </c>
    </row>
    <row r="91" spans="1:5" x14ac:dyDescent="0.2">
      <c r="A91" s="20">
        <v>46302</v>
      </c>
      <c r="B91">
        <v>10</v>
      </c>
      <c r="C91" t="s">
        <v>3</v>
      </c>
      <c r="D91">
        <v>30</v>
      </c>
      <c r="E91" t="s">
        <v>50</v>
      </c>
    </row>
    <row r="92" spans="1:5" x14ac:dyDescent="0.2">
      <c r="A92" s="20">
        <v>46303</v>
      </c>
      <c r="B92">
        <v>11</v>
      </c>
      <c r="C92" t="s">
        <v>0</v>
      </c>
      <c r="D92">
        <v>31</v>
      </c>
      <c r="E92" t="s">
        <v>52</v>
      </c>
    </row>
    <row r="93" spans="1:5" x14ac:dyDescent="0.2">
      <c r="A93" s="20">
        <v>46303</v>
      </c>
      <c r="B93">
        <v>11</v>
      </c>
      <c r="C93" t="s">
        <v>0</v>
      </c>
      <c r="D93">
        <v>31</v>
      </c>
      <c r="E93" t="s">
        <v>60</v>
      </c>
    </row>
    <row r="94" spans="1:5" x14ac:dyDescent="0.2">
      <c r="A94" s="20">
        <v>46303</v>
      </c>
      <c r="B94">
        <v>11</v>
      </c>
      <c r="C94" t="s">
        <v>0</v>
      </c>
      <c r="D94">
        <v>31</v>
      </c>
      <c r="E94" t="s">
        <v>50</v>
      </c>
    </row>
    <row r="95" spans="1:5" x14ac:dyDescent="0.2">
      <c r="A95" s="20">
        <v>46303</v>
      </c>
      <c r="B95">
        <v>11</v>
      </c>
      <c r="C95" t="s">
        <v>1</v>
      </c>
      <c r="D95">
        <v>32</v>
      </c>
      <c r="E95" t="s">
        <v>52</v>
      </c>
    </row>
    <row r="96" spans="1:5" x14ac:dyDescent="0.2">
      <c r="A96" s="20">
        <v>46303</v>
      </c>
      <c r="B96">
        <v>11</v>
      </c>
      <c r="C96" t="s">
        <v>1</v>
      </c>
      <c r="D96">
        <v>32</v>
      </c>
      <c r="E96" t="s">
        <v>60</v>
      </c>
    </row>
    <row r="97" spans="1:5" x14ac:dyDescent="0.2">
      <c r="A97" s="20">
        <v>46303</v>
      </c>
      <c r="B97">
        <v>11</v>
      </c>
      <c r="C97" t="s">
        <v>1</v>
      </c>
      <c r="D97">
        <v>32</v>
      </c>
      <c r="E97" t="s">
        <v>50</v>
      </c>
    </row>
    <row r="98" spans="1:5" x14ac:dyDescent="0.2">
      <c r="A98" s="20">
        <v>46303</v>
      </c>
      <c r="B98">
        <v>11</v>
      </c>
      <c r="C98" t="s">
        <v>3</v>
      </c>
      <c r="D98">
        <v>33</v>
      </c>
      <c r="E98" t="s">
        <v>52</v>
      </c>
    </row>
    <row r="99" spans="1:5" x14ac:dyDescent="0.2">
      <c r="A99" s="20">
        <v>46303</v>
      </c>
      <c r="B99">
        <v>11</v>
      </c>
      <c r="C99" t="s">
        <v>3</v>
      </c>
      <c r="D99">
        <v>33</v>
      </c>
      <c r="E99" t="s">
        <v>60</v>
      </c>
    </row>
    <row r="100" spans="1:5" x14ac:dyDescent="0.2">
      <c r="A100" s="20">
        <v>46303</v>
      </c>
      <c r="B100">
        <v>11</v>
      </c>
      <c r="C100" t="s">
        <v>3</v>
      </c>
      <c r="D100">
        <v>33</v>
      </c>
      <c r="E100" t="s">
        <v>50</v>
      </c>
    </row>
    <row r="101" spans="1:5" x14ac:dyDescent="0.2">
      <c r="A101" s="20">
        <v>46304</v>
      </c>
      <c r="B101">
        <v>12</v>
      </c>
      <c r="C101" t="s">
        <v>0</v>
      </c>
      <c r="D101">
        <v>34</v>
      </c>
      <c r="E101" t="s">
        <v>52</v>
      </c>
    </row>
    <row r="102" spans="1:5" x14ac:dyDescent="0.2">
      <c r="A102" s="20">
        <v>46304</v>
      </c>
      <c r="B102">
        <v>12</v>
      </c>
      <c r="C102" t="s">
        <v>0</v>
      </c>
      <c r="D102">
        <v>34</v>
      </c>
      <c r="E102" t="s">
        <v>60</v>
      </c>
    </row>
    <row r="103" spans="1:5" x14ac:dyDescent="0.2">
      <c r="A103" s="20">
        <v>46304</v>
      </c>
      <c r="B103">
        <v>12</v>
      </c>
      <c r="C103" t="s">
        <v>0</v>
      </c>
      <c r="D103">
        <v>34</v>
      </c>
      <c r="E103" t="s">
        <v>50</v>
      </c>
    </row>
    <row r="104" spans="1:5" x14ac:dyDescent="0.2">
      <c r="A104" s="20">
        <v>46304</v>
      </c>
      <c r="B104">
        <v>12</v>
      </c>
      <c r="C104" t="s">
        <v>1</v>
      </c>
      <c r="D104">
        <v>35</v>
      </c>
      <c r="E104" t="s">
        <v>52</v>
      </c>
    </row>
    <row r="105" spans="1:5" x14ac:dyDescent="0.2">
      <c r="A105" s="20">
        <v>46304</v>
      </c>
      <c r="B105">
        <v>12</v>
      </c>
      <c r="C105" t="s">
        <v>1</v>
      </c>
      <c r="D105">
        <v>35</v>
      </c>
      <c r="E105" t="s">
        <v>60</v>
      </c>
    </row>
    <row r="106" spans="1:5" x14ac:dyDescent="0.2">
      <c r="A106" s="20">
        <v>46304</v>
      </c>
      <c r="B106">
        <v>12</v>
      </c>
      <c r="C106" t="s">
        <v>1</v>
      </c>
      <c r="D106">
        <v>35</v>
      </c>
      <c r="E106" t="s">
        <v>50</v>
      </c>
    </row>
    <row r="107" spans="1:5" x14ac:dyDescent="0.2">
      <c r="A107" s="20">
        <v>46304</v>
      </c>
      <c r="B107">
        <v>12</v>
      </c>
      <c r="C107" t="s">
        <v>3</v>
      </c>
      <c r="D107">
        <v>36</v>
      </c>
      <c r="E107" t="s">
        <v>52</v>
      </c>
    </row>
    <row r="108" spans="1:5" x14ac:dyDescent="0.2">
      <c r="A108" s="20">
        <v>46304</v>
      </c>
      <c r="B108">
        <v>12</v>
      </c>
      <c r="C108" t="s">
        <v>3</v>
      </c>
      <c r="D108">
        <v>36</v>
      </c>
      <c r="E108" t="s">
        <v>60</v>
      </c>
    </row>
    <row r="109" spans="1:5" x14ac:dyDescent="0.2">
      <c r="A109" s="20">
        <v>46304</v>
      </c>
      <c r="B109">
        <v>12</v>
      </c>
      <c r="C109" t="s">
        <v>3</v>
      </c>
      <c r="D109">
        <v>36</v>
      </c>
      <c r="E109" t="s">
        <v>50</v>
      </c>
    </row>
    <row r="110" spans="1:5" x14ac:dyDescent="0.2">
      <c r="A110" s="20">
        <v>46305</v>
      </c>
      <c r="B110">
        <v>13</v>
      </c>
      <c r="C110" t="s">
        <v>0</v>
      </c>
      <c r="D110">
        <v>37</v>
      </c>
      <c r="E110" t="s">
        <v>52</v>
      </c>
    </row>
    <row r="111" spans="1:5" x14ac:dyDescent="0.2">
      <c r="A111" s="20">
        <v>46305</v>
      </c>
      <c r="B111">
        <v>13</v>
      </c>
      <c r="C111" t="s">
        <v>0</v>
      </c>
      <c r="D111">
        <v>37</v>
      </c>
      <c r="E111" t="s">
        <v>60</v>
      </c>
    </row>
    <row r="112" spans="1:5" x14ac:dyDescent="0.2">
      <c r="A112" s="20">
        <v>46305</v>
      </c>
      <c r="B112">
        <v>13</v>
      </c>
      <c r="C112" t="s">
        <v>0</v>
      </c>
      <c r="D112">
        <v>37</v>
      </c>
      <c r="E112" t="s">
        <v>50</v>
      </c>
    </row>
    <row r="113" spans="1:5" x14ac:dyDescent="0.2">
      <c r="A113" s="20">
        <v>46305</v>
      </c>
      <c r="B113">
        <v>13</v>
      </c>
      <c r="C113" t="s">
        <v>1</v>
      </c>
      <c r="D113">
        <v>38</v>
      </c>
      <c r="E113" t="s">
        <v>52</v>
      </c>
    </row>
    <row r="114" spans="1:5" x14ac:dyDescent="0.2">
      <c r="A114" s="20">
        <v>46305</v>
      </c>
      <c r="B114">
        <v>13</v>
      </c>
      <c r="C114" t="s">
        <v>1</v>
      </c>
      <c r="D114">
        <v>38</v>
      </c>
      <c r="E114" t="s">
        <v>60</v>
      </c>
    </row>
    <row r="115" spans="1:5" x14ac:dyDescent="0.2">
      <c r="A115" s="20">
        <v>46305</v>
      </c>
      <c r="B115">
        <v>13</v>
      </c>
      <c r="C115" t="s">
        <v>1</v>
      </c>
      <c r="D115">
        <v>38</v>
      </c>
      <c r="E115" t="s">
        <v>50</v>
      </c>
    </row>
    <row r="116" spans="1:5" x14ac:dyDescent="0.2">
      <c r="A116" s="20">
        <v>46305</v>
      </c>
      <c r="B116">
        <v>13</v>
      </c>
      <c r="C116" t="s">
        <v>3</v>
      </c>
      <c r="D116">
        <v>39</v>
      </c>
      <c r="E116" t="s">
        <v>52</v>
      </c>
    </row>
    <row r="117" spans="1:5" x14ac:dyDescent="0.2">
      <c r="A117" s="20">
        <v>46305</v>
      </c>
      <c r="B117">
        <v>13</v>
      </c>
      <c r="C117" t="s">
        <v>3</v>
      </c>
      <c r="D117">
        <v>39</v>
      </c>
      <c r="E117" t="s">
        <v>60</v>
      </c>
    </row>
    <row r="118" spans="1:5" x14ac:dyDescent="0.2">
      <c r="A118" s="20">
        <v>46305</v>
      </c>
      <c r="B118">
        <v>13</v>
      </c>
      <c r="C118" t="s">
        <v>3</v>
      </c>
      <c r="D118">
        <v>39</v>
      </c>
      <c r="E118" t="s">
        <v>50</v>
      </c>
    </row>
    <row r="119" spans="1:5" x14ac:dyDescent="0.2">
      <c r="A119" s="20">
        <v>46306</v>
      </c>
      <c r="B119">
        <v>14</v>
      </c>
      <c r="C119" t="s">
        <v>0</v>
      </c>
      <c r="D119">
        <v>40</v>
      </c>
      <c r="E119" t="s">
        <v>52</v>
      </c>
    </row>
    <row r="120" spans="1:5" x14ac:dyDescent="0.2">
      <c r="A120" s="20">
        <v>46306</v>
      </c>
      <c r="B120">
        <v>14</v>
      </c>
      <c r="C120" t="s">
        <v>0</v>
      </c>
      <c r="D120">
        <v>40</v>
      </c>
      <c r="E120" t="s">
        <v>60</v>
      </c>
    </row>
    <row r="121" spans="1:5" x14ac:dyDescent="0.2">
      <c r="A121" s="20">
        <v>46306</v>
      </c>
      <c r="B121">
        <v>14</v>
      </c>
      <c r="C121" t="s">
        <v>0</v>
      </c>
      <c r="D121">
        <v>40</v>
      </c>
      <c r="E121" t="s">
        <v>50</v>
      </c>
    </row>
    <row r="122" spans="1:5" x14ac:dyDescent="0.2">
      <c r="A122" s="20">
        <v>46306</v>
      </c>
      <c r="B122">
        <v>14</v>
      </c>
      <c r="C122" t="s">
        <v>1</v>
      </c>
      <c r="D122">
        <v>41</v>
      </c>
      <c r="E122" t="s">
        <v>52</v>
      </c>
    </row>
    <row r="123" spans="1:5" x14ac:dyDescent="0.2">
      <c r="A123" s="20">
        <v>46306</v>
      </c>
      <c r="B123">
        <v>14</v>
      </c>
      <c r="C123" t="s">
        <v>1</v>
      </c>
      <c r="D123">
        <v>41</v>
      </c>
      <c r="E123" t="s">
        <v>60</v>
      </c>
    </row>
    <row r="124" spans="1:5" x14ac:dyDescent="0.2">
      <c r="A124" s="20">
        <v>46306</v>
      </c>
      <c r="B124">
        <v>14</v>
      </c>
      <c r="C124" t="s">
        <v>1</v>
      </c>
      <c r="D124">
        <v>41</v>
      </c>
      <c r="E124" t="s">
        <v>50</v>
      </c>
    </row>
    <row r="125" spans="1:5" x14ac:dyDescent="0.2">
      <c r="A125" s="20">
        <v>46306</v>
      </c>
      <c r="B125">
        <v>14</v>
      </c>
      <c r="C125" t="s">
        <v>3</v>
      </c>
      <c r="D125">
        <v>42</v>
      </c>
      <c r="E125" t="s">
        <v>52</v>
      </c>
    </row>
    <row r="126" spans="1:5" x14ac:dyDescent="0.2">
      <c r="A126" s="20">
        <v>46306</v>
      </c>
      <c r="B126">
        <v>14</v>
      </c>
      <c r="C126" t="s">
        <v>3</v>
      </c>
      <c r="D126">
        <v>42</v>
      </c>
      <c r="E126" t="s">
        <v>60</v>
      </c>
    </row>
    <row r="127" spans="1:5" x14ac:dyDescent="0.2">
      <c r="A127" s="20">
        <v>46306</v>
      </c>
      <c r="B127">
        <v>14</v>
      </c>
      <c r="C127" t="s">
        <v>3</v>
      </c>
      <c r="D127">
        <v>42</v>
      </c>
      <c r="E127" t="s">
        <v>50</v>
      </c>
    </row>
    <row r="128" spans="1:5" x14ac:dyDescent="0.2">
      <c r="A128" s="20">
        <v>46307</v>
      </c>
      <c r="B128">
        <v>15</v>
      </c>
      <c r="C128" t="s">
        <v>0</v>
      </c>
      <c r="D128">
        <v>43</v>
      </c>
      <c r="E128" t="s">
        <v>52</v>
      </c>
    </row>
    <row r="129" spans="1:5" x14ac:dyDescent="0.2">
      <c r="A129" s="20">
        <v>46307</v>
      </c>
      <c r="B129">
        <v>15</v>
      </c>
      <c r="C129" t="s">
        <v>0</v>
      </c>
      <c r="D129">
        <v>43</v>
      </c>
      <c r="E129" t="s">
        <v>60</v>
      </c>
    </row>
    <row r="130" spans="1:5" x14ac:dyDescent="0.2">
      <c r="A130" s="20">
        <v>46307</v>
      </c>
      <c r="B130">
        <v>15</v>
      </c>
      <c r="C130" t="s">
        <v>0</v>
      </c>
      <c r="D130">
        <v>43</v>
      </c>
      <c r="E130" t="s">
        <v>50</v>
      </c>
    </row>
    <row r="131" spans="1:5" x14ac:dyDescent="0.2">
      <c r="A131" s="20">
        <v>46307</v>
      </c>
      <c r="B131">
        <v>15</v>
      </c>
      <c r="C131" t="s">
        <v>1</v>
      </c>
      <c r="D131">
        <v>44</v>
      </c>
      <c r="E131" t="s">
        <v>52</v>
      </c>
    </row>
    <row r="132" spans="1:5" x14ac:dyDescent="0.2">
      <c r="A132" s="20">
        <v>46307</v>
      </c>
      <c r="B132">
        <v>15</v>
      </c>
      <c r="C132" t="s">
        <v>1</v>
      </c>
      <c r="D132">
        <v>44</v>
      </c>
      <c r="E132" t="s">
        <v>60</v>
      </c>
    </row>
    <row r="133" spans="1:5" x14ac:dyDescent="0.2">
      <c r="A133" s="20">
        <v>46307</v>
      </c>
      <c r="B133">
        <v>15</v>
      </c>
      <c r="C133" t="s">
        <v>1</v>
      </c>
      <c r="D133">
        <v>44</v>
      </c>
      <c r="E133" t="s">
        <v>50</v>
      </c>
    </row>
    <row r="134" spans="1:5" x14ac:dyDescent="0.2">
      <c r="A134" s="20">
        <v>46307</v>
      </c>
      <c r="B134">
        <v>15</v>
      </c>
      <c r="C134" t="s">
        <v>3</v>
      </c>
      <c r="D134">
        <v>45</v>
      </c>
      <c r="E134" t="s">
        <v>52</v>
      </c>
    </row>
    <row r="135" spans="1:5" x14ac:dyDescent="0.2">
      <c r="A135" s="20">
        <v>46307</v>
      </c>
      <c r="B135">
        <v>15</v>
      </c>
      <c r="C135" t="s">
        <v>3</v>
      </c>
      <c r="D135">
        <v>45</v>
      </c>
      <c r="E135" t="s">
        <v>60</v>
      </c>
    </row>
    <row r="136" spans="1:5" x14ac:dyDescent="0.2">
      <c r="A136" s="20">
        <v>46307</v>
      </c>
      <c r="B136">
        <v>15</v>
      </c>
      <c r="C136" t="s">
        <v>3</v>
      </c>
      <c r="D136">
        <v>45</v>
      </c>
      <c r="E136" t="s">
        <v>50</v>
      </c>
    </row>
    <row r="137" spans="1:5" x14ac:dyDescent="0.2">
      <c r="A137" s="20">
        <v>46308</v>
      </c>
      <c r="B137">
        <v>16</v>
      </c>
      <c r="C137" t="s">
        <v>0</v>
      </c>
      <c r="D137">
        <v>46</v>
      </c>
      <c r="E137" t="s">
        <v>52</v>
      </c>
    </row>
    <row r="138" spans="1:5" x14ac:dyDescent="0.2">
      <c r="A138" s="20">
        <v>46308</v>
      </c>
      <c r="B138">
        <v>16</v>
      </c>
      <c r="C138" t="s">
        <v>0</v>
      </c>
      <c r="D138">
        <v>46</v>
      </c>
      <c r="E138" t="s">
        <v>60</v>
      </c>
    </row>
    <row r="139" spans="1:5" x14ac:dyDescent="0.2">
      <c r="A139" s="20">
        <v>46308</v>
      </c>
      <c r="B139">
        <v>16</v>
      </c>
      <c r="C139" t="s">
        <v>0</v>
      </c>
      <c r="D139">
        <v>46</v>
      </c>
      <c r="E139" t="s">
        <v>50</v>
      </c>
    </row>
    <row r="140" spans="1:5" x14ac:dyDescent="0.2">
      <c r="A140" s="20">
        <v>46308</v>
      </c>
      <c r="B140">
        <v>16</v>
      </c>
      <c r="C140" t="s">
        <v>1</v>
      </c>
      <c r="D140">
        <v>47</v>
      </c>
      <c r="E140" t="s">
        <v>52</v>
      </c>
    </row>
    <row r="141" spans="1:5" x14ac:dyDescent="0.2">
      <c r="A141" s="20">
        <v>46308</v>
      </c>
      <c r="B141">
        <v>16</v>
      </c>
      <c r="C141" t="s">
        <v>1</v>
      </c>
      <c r="D141">
        <v>47</v>
      </c>
      <c r="E141" t="s">
        <v>60</v>
      </c>
    </row>
    <row r="142" spans="1:5" x14ac:dyDescent="0.2">
      <c r="A142" s="20">
        <v>46308</v>
      </c>
      <c r="B142">
        <v>16</v>
      </c>
      <c r="C142" t="s">
        <v>1</v>
      </c>
      <c r="D142">
        <v>47</v>
      </c>
      <c r="E142" t="s">
        <v>50</v>
      </c>
    </row>
    <row r="143" spans="1:5" x14ac:dyDescent="0.2">
      <c r="A143" s="20">
        <v>46308</v>
      </c>
      <c r="B143">
        <v>16</v>
      </c>
      <c r="C143" t="s">
        <v>3</v>
      </c>
      <c r="D143">
        <v>48</v>
      </c>
      <c r="E143" t="s">
        <v>52</v>
      </c>
    </row>
    <row r="144" spans="1:5" x14ac:dyDescent="0.2">
      <c r="A144" s="20">
        <v>46308</v>
      </c>
      <c r="B144">
        <v>16</v>
      </c>
      <c r="C144" t="s">
        <v>3</v>
      </c>
      <c r="D144">
        <v>48</v>
      </c>
      <c r="E144" t="s">
        <v>60</v>
      </c>
    </row>
    <row r="145" spans="1:5" x14ac:dyDescent="0.2">
      <c r="A145" s="20">
        <v>46308</v>
      </c>
      <c r="B145">
        <v>16</v>
      </c>
      <c r="C145" t="s">
        <v>3</v>
      </c>
      <c r="D145">
        <v>48</v>
      </c>
      <c r="E145" t="s">
        <v>50</v>
      </c>
    </row>
    <row r="146" spans="1:5" x14ac:dyDescent="0.2">
      <c r="A146" s="20">
        <v>46309</v>
      </c>
      <c r="B146">
        <v>17</v>
      </c>
      <c r="C146" t="s">
        <v>0</v>
      </c>
      <c r="D146">
        <v>49</v>
      </c>
      <c r="E146" t="s">
        <v>52</v>
      </c>
    </row>
    <row r="147" spans="1:5" x14ac:dyDescent="0.2">
      <c r="A147" s="20">
        <v>46309</v>
      </c>
      <c r="B147">
        <v>17</v>
      </c>
      <c r="C147" t="s">
        <v>0</v>
      </c>
      <c r="D147">
        <v>49</v>
      </c>
      <c r="E147" t="s">
        <v>60</v>
      </c>
    </row>
    <row r="148" spans="1:5" x14ac:dyDescent="0.2">
      <c r="A148" s="20">
        <v>46309</v>
      </c>
      <c r="B148">
        <v>17</v>
      </c>
      <c r="C148" t="s">
        <v>0</v>
      </c>
      <c r="D148">
        <v>49</v>
      </c>
      <c r="E148" t="s">
        <v>50</v>
      </c>
    </row>
    <row r="149" spans="1:5" x14ac:dyDescent="0.2">
      <c r="A149" s="20">
        <v>46309</v>
      </c>
      <c r="B149">
        <v>17</v>
      </c>
      <c r="C149" t="s">
        <v>1</v>
      </c>
      <c r="D149">
        <v>50</v>
      </c>
      <c r="E149" t="s">
        <v>52</v>
      </c>
    </row>
    <row r="150" spans="1:5" x14ac:dyDescent="0.2">
      <c r="A150" s="20">
        <v>46309</v>
      </c>
      <c r="B150">
        <v>17</v>
      </c>
      <c r="C150" t="s">
        <v>1</v>
      </c>
      <c r="D150">
        <v>50</v>
      </c>
      <c r="E150" t="s">
        <v>60</v>
      </c>
    </row>
    <row r="151" spans="1:5" x14ac:dyDescent="0.2">
      <c r="A151" s="20">
        <v>46309</v>
      </c>
      <c r="B151">
        <v>17</v>
      </c>
      <c r="C151" t="s">
        <v>1</v>
      </c>
      <c r="D151">
        <v>50</v>
      </c>
      <c r="E151" t="s">
        <v>50</v>
      </c>
    </row>
    <row r="152" spans="1:5" x14ac:dyDescent="0.2">
      <c r="A152" s="20">
        <v>46309</v>
      </c>
      <c r="B152">
        <v>17</v>
      </c>
      <c r="C152" t="s">
        <v>3</v>
      </c>
      <c r="D152">
        <v>51</v>
      </c>
      <c r="E152" t="s">
        <v>52</v>
      </c>
    </row>
    <row r="153" spans="1:5" x14ac:dyDescent="0.2">
      <c r="A153" s="20">
        <v>46309</v>
      </c>
      <c r="B153">
        <v>17</v>
      </c>
      <c r="C153" t="s">
        <v>3</v>
      </c>
      <c r="D153">
        <v>51</v>
      </c>
      <c r="E153" t="s">
        <v>60</v>
      </c>
    </row>
    <row r="154" spans="1:5" x14ac:dyDescent="0.2">
      <c r="A154" s="20">
        <v>46309</v>
      </c>
      <c r="B154">
        <v>17</v>
      </c>
      <c r="C154" t="s">
        <v>3</v>
      </c>
      <c r="D154">
        <v>51</v>
      </c>
      <c r="E154" t="s">
        <v>50</v>
      </c>
    </row>
    <row r="155" spans="1:5" x14ac:dyDescent="0.2">
      <c r="A155" s="20">
        <v>46310</v>
      </c>
      <c r="B155">
        <v>18</v>
      </c>
      <c r="C155" t="s">
        <v>0</v>
      </c>
      <c r="D155">
        <v>52</v>
      </c>
      <c r="E155" t="s">
        <v>52</v>
      </c>
    </row>
    <row r="156" spans="1:5" x14ac:dyDescent="0.2">
      <c r="A156" s="20">
        <v>46310</v>
      </c>
      <c r="B156">
        <v>18</v>
      </c>
      <c r="C156" t="s">
        <v>0</v>
      </c>
      <c r="D156">
        <v>52</v>
      </c>
      <c r="E156" t="s">
        <v>60</v>
      </c>
    </row>
    <row r="157" spans="1:5" x14ac:dyDescent="0.2">
      <c r="A157" s="20">
        <v>46310</v>
      </c>
      <c r="B157">
        <v>18</v>
      </c>
      <c r="C157" t="s">
        <v>0</v>
      </c>
      <c r="D157">
        <v>52</v>
      </c>
      <c r="E157" t="s">
        <v>50</v>
      </c>
    </row>
    <row r="158" spans="1:5" x14ac:dyDescent="0.2">
      <c r="A158" s="20">
        <v>46310</v>
      </c>
      <c r="B158">
        <v>18</v>
      </c>
      <c r="C158" t="s">
        <v>1</v>
      </c>
      <c r="D158">
        <v>53</v>
      </c>
      <c r="E158" t="s">
        <v>52</v>
      </c>
    </row>
    <row r="159" spans="1:5" x14ac:dyDescent="0.2">
      <c r="A159" s="20">
        <v>46310</v>
      </c>
      <c r="B159">
        <v>18</v>
      </c>
      <c r="C159" t="s">
        <v>1</v>
      </c>
      <c r="D159">
        <v>53</v>
      </c>
      <c r="E159" t="s">
        <v>60</v>
      </c>
    </row>
    <row r="160" spans="1:5" x14ac:dyDescent="0.2">
      <c r="A160" s="20">
        <v>46310</v>
      </c>
      <c r="B160">
        <v>18</v>
      </c>
      <c r="C160" t="s">
        <v>1</v>
      </c>
      <c r="D160">
        <v>53</v>
      </c>
      <c r="E160" t="s">
        <v>50</v>
      </c>
    </row>
    <row r="161" spans="1:5" x14ac:dyDescent="0.2">
      <c r="A161" s="20">
        <v>46310</v>
      </c>
      <c r="B161">
        <v>18</v>
      </c>
      <c r="C161" t="s">
        <v>3</v>
      </c>
      <c r="D161">
        <v>54</v>
      </c>
      <c r="E161" t="s">
        <v>52</v>
      </c>
    </row>
    <row r="162" spans="1:5" x14ac:dyDescent="0.2">
      <c r="A162" s="20">
        <v>46310</v>
      </c>
      <c r="B162">
        <v>18</v>
      </c>
      <c r="C162" t="s">
        <v>3</v>
      </c>
      <c r="D162">
        <v>54</v>
      </c>
      <c r="E162" t="s">
        <v>60</v>
      </c>
    </row>
    <row r="163" spans="1:5" x14ac:dyDescent="0.2">
      <c r="A163" s="20">
        <v>46310</v>
      </c>
      <c r="B163">
        <v>18</v>
      </c>
      <c r="C163" t="s">
        <v>3</v>
      </c>
      <c r="D163">
        <v>54</v>
      </c>
      <c r="E163" t="s">
        <v>50</v>
      </c>
    </row>
    <row r="164" spans="1:5" x14ac:dyDescent="0.2">
      <c r="A164" s="20">
        <v>46311</v>
      </c>
      <c r="B164">
        <v>19</v>
      </c>
      <c r="C164" t="s">
        <v>0</v>
      </c>
      <c r="D164">
        <v>55</v>
      </c>
      <c r="E164" t="s">
        <v>52</v>
      </c>
    </row>
    <row r="165" spans="1:5" x14ac:dyDescent="0.2">
      <c r="A165" s="20">
        <v>46311</v>
      </c>
      <c r="B165">
        <v>19</v>
      </c>
      <c r="C165" t="s">
        <v>0</v>
      </c>
      <c r="D165">
        <v>55</v>
      </c>
      <c r="E165" t="s">
        <v>60</v>
      </c>
    </row>
    <row r="166" spans="1:5" x14ac:dyDescent="0.2">
      <c r="A166" s="20">
        <v>46311</v>
      </c>
      <c r="B166">
        <v>19</v>
      </c>
      <c r="C166" t="s">
        <v>0</v>
      </c>
      <c r="D166">
        <v>55</v>
      </c>
      <c r="E166" t="s">
        <v>50</v>
      </c>
    </row>
    <row r="167" spans="1:5" x14ac:dyDescent="0.2">
      <c r="A167" s="20">
        <v>46311</v>
      </c>
      <c r="B167">
        <v>19</v>
      </c>
      <c r="C167" t="s">
        <v>1</v>
      </c>
      <c r="D167">
        <v>56</v>
      </c>
      <c r="E167" t="s">
        <v>52</v>
      </c>
    </row>
    <row r="168" spans="1:5" x14ac:dyDescent="0.2">
      <c r="A168" s="20">
        <v>46311</v>
      </c>
      <c r="B168">
        <v>19</v>
      </c>
      <c r="C168" t="s">
        <v>1</v>
      </c>
      <c r="D168">
        <v>56</v>
      </c>
      <c r="E168" t="s">
        <v>60</v>
      </c>
    </row>
    <row r="169" spans="1:5" x14ac:dyDescent="0.2">
      <c r="A169" s="20">
        <v>46311</v>
      </c>
      <c r="B169">
        <v>19</v>
      </c>
      <c r="C169" t="s">
        <v>1</v>
      </c>
      <c r="D169">
        <v>56</v>
      </c>
      <c r="E169" t="s">
        <v>50</v>
      </c>
    </row>
    <row r="170" spans="1:5" x14ac:dyDescent="0.2">
      <c r="A170" s="20">
        <v>46311</v>
      </c>
      <c r="B170">
        <v>19</v>
      </c>
      <c r="C170" t="s">
        <v>3</v>
      </c>
      <c r="D170">
        <v>57</v>
      </c>
      <c r="E170" t="s">
        <v>52</v>
      </c>
    </row>
    <row r="171" spans="1:5" x14ac:dyDescent="0.2">
      <c r="A171" s="20">
        <v>46311</v>
      </c>
      <c r="B171">
        <v>19</v>
      </c>
      <c r="C171" t="s">
        <v>3</v>
      </c>
      <c r="D171">
        <v>57</v>
      </c>
      <c r="E171" t="s">
        <v>60</v>
      </c>
    </row>
    <row r="172" spans="1:5" x14ac:dyDescent="0.2">
      <c r="A172" s="20">
        <v>46311</v>
      </c>
      <c r="B172">
        <v>19</v>
      </c>
      <c r="C172" t="s">
        <v>3</v>
      </c>
      <c r="D172">
        <v>57</v>
      </c>
      <c r="E172" t="s">
        <v>50</v>
      </c>
    </row>
    <row r="173" spans="1:5" x14ac:dyDescent="0.2">
      <c r="A173" s="20">
        <v>46312</v>
      </c>
      <c r="B173">
        <v>20</v>
      </c>
      <c r="C173" t="s">
        <v>0</v>
      </c>
      <c r="D173">
        <v>58</v>
      </c>
      <c r="E173" t="s">
        <v>52</v>
      </c>
    </row>
    <row r="174" spans="1:5" x14ac:dyDescent="0.2">
      <c r="A174" s="20">
        <v>46312</v>
      </c>
      <c r="B174">
        <v>20</v>
      </c>
      <c r="C174" t="s">
        <v>0</v>
      </c>
      <c r="D174">
        <v>58</v>
      </c>
      <c r="E174" t="s">
        <v>60</v>
      </c>
    </row>
    <row r="175" spans="1:5" x14ac:dyDescent="0.2">
      <c r="A175" s="20">
        <v>46312</v>
      </c>
      <c r="B175">
        <v>20</v>
      </c>
      <c r="C175" t="s">
        <v>0</v>
      </c>
      <c r="D175">
        <v>58</v>
      </c>
      <c r="E175" t="s">
        <v>50</v>
      </c>
    </row>
    <row r="176" spans="1:5" x14ac:dyDescent="0.2">
      <c r="A176" s="20">
        <v>46312</v>
      </c>
      <c r="B176">
        <v>20</v>
      </c>
      <c r="C176" t="s">
        <v>1</v>
      </c>
      <c r="D176">
        <v>59</v>
      </c>
      <c r="E176" t="s">
        <v>52</v>
      </c>
    </row>
    <row r="177" spans="1:5" x14ac:dyDescent="0.2">
      <c r="A177" s="20">
        <v>46312</v>
      </c>
      <c r="B177">
        <v>20</v>
      </c>
      <c r="C177" t="s">
        <v>1</v>
      </c>
      <c r="D177">
        <v>59</v>
      </c>
      <c r="E177" t="s">
        <v>60</v>
      </c>
    </row>
    <row r="178" spans="1:5" x14ac:dyDescent="0.2">
      <c r="A178" s="20">
        <v>46312</v>
      </c>
      <c r="B178">
        <v>20</v>
      </c>
      <c r="C178" t="s">
        <v>1</v>
      </c>
      <c r="D178">
        <v>59</v>
      </c>
      <c r="E178" t="s">
        <v>50</v>
      </c>
    </row>
    <row r="179" spans="1:5" x14ac:dyDescent="0.2">
      <c r="A179" s="20">
        <v>46312</v>
      </c>
      <c r="B179">
        <v>20</v>
      </c>
      <c r="C179" t="s">
        <v>3</v>
      </c>
      <c r="D179">
        <v>60</v>
      </c>
      <c r="E179" t="s">
        <v>52</v>
      </c>
    </row>
    <row r="180" spans="1:5" x14ac:dyDescent="0.2">
      <c r="A180" s="20">
        <v>46312</v>
      </c>
      <c r="B180">
        <v>20</v>
      </c>
      <c r="C180" t="s">
        <v>3</v>
      </c>
      <c r="D180">
        <v>60</v>
      </c>
      <c r="E180" t="s">
        <v>60</v>
      </c>
    </row>
    <row r="181" spans="1:5" x14ac:dyDescent="0.2">
      <c r="A181" s="20">
        <v>46312</v>
      </c>
      <c r="B181">
        <v>20</v>
      </c>
      <c r="C181" t="s">
        <v>3</v>
      </c>
      <c r="D181">
        <v>60</v>
      </c>
      <c r="E181" t="s">
        <v>50</v>
      </c>
    </row>
    <row r="182" spans="1:5" x14ac:dyDescent="0.2">
      <c r="A182" s="20">
        <v>46313</v>
      </c>
      <c r="B182">
        <v>21</v>
      </c>
      <c r="C182" t="s">
        <v>0</v>
      </c>
      <c r="D182">
        <v>61</v>
      </c>
      <c r="E182" t="s">
        <v>52</v>
      </c>
    </row>
    <row r="183" spans="1:5" x14ac:dyDescent="0.2">
      <c r="A183" s="20">
        <v>46313</v>
      </c>
      <c r="B183">
        <v>21</v>
      </c>
      <c r="C183" t="s">
        <v>0</v>
      </c>
      <c r="D183">
        <v>61</v>
      </c>
      <c r="E183" t="s">
        <v>60</v>
      </c>
    </row>
    <row r="184" spans="1:5" x14ac:dyDescent="0.2">
      <c r="A184" s="20">
        <v>46313</v>
      </c>
      <c r="B184">
        <v>21</v>
      </c>
      <c r="C184" t="s">
        <v>0</v>
      </c>
      <c r="D184">
        <v>61</v>
      </c>
      <c r="E184" t="s">
        <v>50</v>
      </c>
    </row>
    <row r="185" spans="1:5" x14ac:dyDescent="0.2">
      <c r="A185" s="20">
        <v>46313</v>
      </c>
      <c r="B185">
        <v>21</v>
      </c>
      <c r="C185" t="s">
        <v>1</v>
      </c>
      <c r="D185">
        <v>62</v>
      </c>
      <c r="E185" t="s">
        <v>52</v>
      </c>
    </row>
    <row r="186" spans="1:5" x14ac:dyDescent="0.2">
      <c r="A186" s="20">
        <v>46313</v>
      </c>
      <c r="B186">
        <v>21</v>
      </c>
      <c r="C186" t="s">
        <v>1</v>
      </c>
      <c r="D186">
        <v>62</v>
      </c>
      <c r="E186" t="s">
        <v>60</v>
      </c>
    </row>
    <row r="187" spans="1:5" x14ac:dyDescent="0.2">
      <c r="A187" s="20">
        <v>46313</v>
      </c>
      <c r="B187">
        <v>21</v>
      </c>
      <c r="C187" t="s">
        <v>1</v>
      </c>
      <c r="D187">
        <v>62</v>
      </c>
      <c r="E187" t="s">
        <v>50</v>
      </c>
    </row>
    <row r="188" spans="1:5" x14ac:dyDescent="0.2">
      <c r="A188" s="20">
        <v>46313</v>
      </c>
      <c r="B188">
        <v>21</v>
      </c>
      <c r="C188" t="s">
        <v>3</v>
      </c>
      <c r="D188">
        <v>63</v>
      </c>
      <c r="E188" t="s">
        <v>52</v>
      </c>
    </row>
    <row r="189" spans="1:5" x14ac:dyDescent="0.2">
      <c r="A189" s="20">
        <v>46313</v>
      </c>
      <c r="B189">
        <v>21</v>
      </c>
      <c r="C189" t="s">
        <v>3</v>
      </c>
      <c r="D189">
        <v>63</v>
      </c>
      <c r="E189" t="s">
        <v>60</v>
      </c>
    </row>
    <row r="190" spans="1:5" x14ac:dyDescent="0.2">
      <c r="A190" s="20">
        <v>46313</v>
      </c>
      <c r="B190">
        <v>21</v>
      </c>
      <c r="C190" t="s">
        <v>3</v>
      </c>
      <c r="D190">
        <v>63</v>
      </c>
      <c r="E190" t="s">
        <v>50</v>
      </c>
    </row>
    <row r="191" spans="1:5" x14ac:dyDescent="0.2">
      <c r="A191" s="20">
        <v>46314</v>
      </c>
      <c r="B191">
        <v>22</v>
      </c>
      <c r="C191" t="s">
        <v>0</v>
      </c>
      <c r="D191">
        <v>64</v>
      </c>
      <c r="E191" t="s">
        <v>52</v>
      </c>
    </row>
    <row r="192" spans="1:5" x14ac:dyDescent="0.2">
      <c r="A192" s="20">
        <v>46314</v>
      </c>
      <c r="B192">
        <v>22</v>
      </c>
      <c r="C192" t="s">
        <v>0</v>
      </c>
      <c r="D192">
        <v>64</v>
      </c>
      <c r="E192" t="s">
        <v>60</v>
      </c>
    </row>
    <row r="193" spans="1:5" x14ac:dyDescent="0.2">
      <c r="A193" s="20">
        <v>46314</v>
      </c>
      <c r="B193">
        <v>22</v>
      </c>
      <c r="C193" t="s">
        <v>0</v>
      </c>
      <c r="D193">
        <v>64</v>
      </c>
      <c r="E193" t="s">
        <v>50</v>
      </c>
    </row>
    <row r="194" spans="1:5" x14ac:dyDescent="0.2">
      <c r="A194" s="20">
        <v>46314</v>
      </c>
      <c r="B194">
        <v>22</v>
      </c>
      <c r="C194" t="s">
        <v>1</v>
      </c>
      <c r="D194">
        <v>65</v>
      </c>
      <c r="E194" t="s">
        <v>52</v>
      </c>
    </row>
    <row r="195" spans="1:5" x14ac:dyDescent="0.2">
      <c r="A195" s="20">
        <v>46314</v>
      </c>
      <c r="B195">
        <v>22</v>
      </c>
      <c r="C195" t="s">
        <v>1</v>
      </c>
      <c r="D195">
        <v>65</v>
      </c>
      <c r="E195" t="s">
        <v>60</v>
      </c>
    </row>
    <row r="196" spans="1:5" x14ac:dyDescent="0.2">
      <c r="A196" s="20">
        <v>46314</v>
      </c>
      <c r="B196">
        <v>22</v>
      </c>
      <c r="C196" t="s">
        <v>1</v>
      </c>
      <c r="D196">
        <v>65</v>
      </c>
      <c r="E196" t="s">
        <v>50</v>
      </c>
    </row>
    <row r="197" spans="1:5" x14ac:dyDescent="0.2">
      <c r="A197" s="20">
        <v>46314</v>
      </c>
      <c r="B197">
        <v>22</v>
      </c>
      <c r="C197" t="s">
        <v>3</v>
      </c>
      <c r="D197">
        <v>66</v>
      </c>
      <c r="E197" t="s">
        <v>52</v>
      </c>
    </row>
    <row r="198" spans="1:5" x14ac:dyDescent="0.2">
      <c r="A198" s="20">
        <v>46314</v>
      </c>
      <c r="B198">
        <v>22</v>
      </c>
      <c r="C198" t="s">
        <v>3</v>
      </c>
      <c r="D198">
        <v>66</v>
      </c>
      <c r="E198" t="s">
        <v>60</v>
      </c>
    </row>
    <row r="199" spans="1:5" x14ac:dyDescent="0.2">
      <c r="A199" s="20">
        <v>46314</v>
      </c>
      <c r="B199">
        <v>22</v>
      </c>
      <c r="C199" t="s">
        <v>3</v>
      </c>
      <c r="D199">
        <v>66</v>
      </c>
      <c r="E199" t="s">
        <v>50</v>
      </c>
    </row>
    <row r="200" spans="1:5" x14ac:dyDescent="0.2">
      <c r="A200" s="20">
        <v>46315</v>
      </c>
      <c r="B200">
        <v>23</v>
      </c>
      <c r="C200" t="s">
        <v>0</v>
      </c>
      <c r="D200">
        <v>67</v>
      </c>
      <c r="E200" t="s">
        <v>52</v>
      </c>
    </row>
    <row r="201" spans="1:5" x14ac:dyDescent="0.2">
      <c r="A201" s="20">
        <v>46315</v>
      </c>
      <c r="B201">
        <v>23</v>
      </c>
      <c r="C201" t="s">
        <v>0</v>
      </c>
      <c r="D201">
        <v>67</v>
      </c>
      <c r="E201" t="s">
        <v>60</v>
      </c>
    </row>
    <row r="202" spans="1:5" x14ac:dyDescent="0.2">
      <c r="A202" s="20">
        <v>46315</v>
      </c>
      <c r="B202">
        <v>23</v>
      </c>
      <c r="C202" t="s">
        <v>0</v>
      </c>
      <c r="D202">
        <v>67</v>
      </c>
      <c r="E202" t="s">
        <v>50</v>
      </c>
    </row>
    <row r="203" spans="1:5" x14ac:dyDescent="0.2">
      <c r="A203" s="20">
        <v>46315</v>
      </c>
      <c r="B203">
        <v>23</v>
      </c>
      <c r="C203" t="s">
        <v>1</v>
      </c>
      <c r="D203">
        <v>68</v>
      </c>
      <c r="E203" t="s">
        <v>52</v>
      </c>
    </row>
    <row r="204" spans="1:5" x14ac:dyDescent="0.2">
      <c r="A204" s="20">
        <v>46315</v>
      </c>
      <c r="B204">
        <v>23</v>
      </c>
      <c r="C204" t="s">
        <v>1</v>
      </c>
      <c r="D204">
        <v>68</v>
      </c>
      <c r="E204" t="s">
        <v>60</v>
      </c>
    </row>
    <row r="205" spans="1:5" x14ac:dyDescent="0.2">
      <c r="A205" s="20">
        <v>46315</v>
      </c>
      <c r="B205">
        <v>23</v>
      </c>
      <c r="C205" t="s">
        <v>1</v>
      </c>
      <c r="D205">
        <v>68</v>
      </c>
      <c r="E205" t="s">
        <v>50</v>
      </c>
    </row>
    <row r="206" spans="1:5" x14ac:dyDescent="0.2">
      <c r="A206" s="20">
        <v>46315</v>
      </c>
      <c r="B206">
        <v>23</v>
      </c>
      <c r="C206" t="s">
        <v>3</v>
      </c>
      <c r="D206">
        <v>69</v>
      </c>
      <c r="E206" t="s">
        <v>52</v>
      </c>
    </row>
    <row r="207" spans="1:5" x14ac:dyDescent="0.2">
      <c r="A207" s="20">
        <v>46315</v>
      </c>
      <c r="B207">
        <v>23</v>
      </c>
      <c r="C207" t="s">
        <v>3</v>
      </c>
      <c r="D207">
        <v>69</v>
      </c>
      <c r="E207" t="s">
        <v>60</v>
      </c>
    </row>
    <row r="208" spans="1:5" x14ac:dyDescent="0.2">
      <c r="A208" s="20">
        <v>46315</v>
      </c>
      <c r="B208">
        <v>23</v>
      </c>
      <c r="C208" t="s">
        <v>3</v>
      </c>
      <c r="D208">
        <v>69</v>
      </c>
      <c r="E208" t="s">
        <v>50</v>
      </c>
    </row>
    <row r="209" spans="1:5" x14ac:dyDescent="0.2">
      <c r="A209" s="20">
        <v>46316</v>
      </c>
      <c r="B209">
        <v>24</v>
      </c>
      <c r="C209" t="s">
        <v>0</v>
      </c>
      <c r="D209">
        <v>70</v>
      </c>
      <c r="E209" t="s">
        <v>52</v>
      </c>
    </row>
    <row r="210" spans="1:5" x14ac:dyDescent="0.2">
      <c r="A210" s="20">
        <v>46316</v>
      </c>
      <c r="B210">
        <v>24</v>
      </c>
      <c r="C210" t="s">
        <v>0</v>
      </c>
      <c r="D210">
        <v>70</v>
      </c>
      <c r="E210" t="s">
        <v>60</v>
      </c>
    </row>
    <row r="211" spans="1:5" x14ac:dyDescent="0.2">
      <c r="A211" s="20">
        <v>46316</v>
      </c>
      <c r="B211">
        <v>24</v>
      </c>
      <c r="C211" t="s">
        <v>0</v>
      </c>
      <c r="D211">
        <v>70</v>
      </c>
      <c r="E211" t="s">
        <v>50</v>
      </c>
    </row>
    <row r="212" spans="1:5" x14ac:dyDescent="0.2">
      <c r="A212" s="20">
        <v>46316</v>
      </c>
      <c r="B212">
        <v>24</v>
      </c>
      <c r="C212" t="s">
        <v>1</v>
      </c>
      <c r="D212">
        <v>71</v>
      </c>
      <c r="E212" t="s">
        <v>52</v>
      </c>
    </row>
    <row r="213" spans="1:5" x14ac:dyDescent="0.2">
      <c r="A213" s="20">
        <v>46316</v>
      </c>
      <c r="B213">
        <v>24</v>
      </c>
      <c r="C213" t="s">
        <v>1</v>
      </c>
      <c r="D213">
        <v>71</v>
      </c>
      <c r="E213" t="s">
        <v>60</v>
      </c>
    </row>
    <row r="214" spans="1:5" x14ac:dyDescent="0.2">
      <c r="A214" s="20">
        <v>46316</v>
      </c>
      <c r="B214">
        <v>24</v>
      </c>
      <c r="C214" t="s">
        <v>1</v>
      </c>
      <c r="D214">
        <v>71</v>
      </c>
      <c r="E214" t="s">
        <v>50</v>
      </c>
    </row>
    <row r="215" spans="1:5" x14ac:dyDescent="0.2">
      <c r="A215" s="20">
        <v>46316</v>
      </c>
      <c r="B215">
        <v>24</v>
      </c>
      <c r="C215" t="s">
        <v>3</v>
      </c>
      <c r="D215">
        <v>72</v>
      </c>
      <c r="E215" t="s">
        <v>52</v>
      </c>
    </row>
    <row r="216" spans="1:5" x14ac:dyDescent="0.2">
      <c r="A216" s="20">
        <v>46316</v>
      </c>
      <c r="B216">
        <v>24</v>
      </c>
      <c r="C216" t="s">
        <v>3</v>
      </c>
      <c r="D216">
        <v>72</v>
      </c>
      <c r="E216" t="s">
        <v>60</v>
      </c>
    </row>
    <row r="217" spans="1:5" x14ac:dyDescent="0.2">
      <c r="A217" s="20">
        <v>46316</v>
      </c>
      <c r="B217">
        <v>24</v>
      </c>
      <c r="C217" t="s">
        <v>3</v>
      </c>
      <c r="D217">
        <v>72</v>
      </c>
      <c r="E217" t="s">
        <v>50</v>
      </c>
    </row>
    <row r="218" spans="1:5" x14ac:dyDescent="0.2">
      <c r="A218" s="20">
        <v>46317</v>
      </c>
      <c r="B218">
        <v>25</v>
      </c>
      <c r="C218" t="s">
        <v>0</v>
      </c>
      <c r="D218">
        <v>73</v>
      </c>
      <c r="E218" t="s">
        <v>52</v>
      </c>
    </row>
    <row r="219" spans="1:5" x14ac:dyDescent="0.2">
      <c r="A219" s="20">
        <v>46317</v>
      </c>
      <c r="B219">
        <v>25</v>
      </c>
      <c r="C219" t="s">
        <v>0</v>
      </c>
      <c r="D219">
        <v>73</v>
      </c>
      <c r="E219" t="s">
        <v>60</v>
      </c>
    </row>
    <row r="220" spans="1:5" x14ac:dyDescent="0.2">
      <c r="A220" s="20">
        <v>46317</v>
      </c>
      <c r="B220">
        <v>25</v>
      </c>
      <c r="C220" t="s">
        <v>0</v>
      </c>
      <c r="D220">
        <v>73</v>
      </c>
      <c r="E220" t="s">
        <v>50</v>
      </c>
    </row>
    <row r="221" spans="1:5" x14ac:dyDescent="0.2">
      <c r="A221" s="20">
        <v>46317</v>
      </c>
      <c r="B221">
        <v>25</v>
      </c>
      <c r="C221" t="s">
        <v>1</v>
      </c>
      <c r="D221">
        <v>74</v>
      </c>
      <c r="E221" t="s">
        <v>52</v>
      </c>
    </row>
    <row r="222" spans="1:5" x14ac:dyDescent="0.2">
      <c r="A222" s="20">
        <v>46317</v>
      </c>
      <c r="B222">
        <v>25</v>
      </c>
      <c r="C222" t="s">
        <v>1</v>
      </c>
      <c r="D222">
        <v>74</v>
      </c>
      <c r="E222" t="s">
        <v>60</v>
      </c>
    </row>
    <row r="223" spans="1:5" x14ac:dyDescent="0.2">
      <c r="A223" s="20">
        <v>46317</v>
      </c>
      <c r="B223">
        <v>25</v>
      </c>
      <c r="C223" t="s">
        <v>1</v>
      </c>
      <c r="D223">
        <v>74</v>
      </c>
      <c r="E223" t="s">
        <v>50</v>
      </c>
    </row>
    <row r="224" spans="1:5" x14ac:dyDescent="0.2">
      <c r="A224" s="20">
        <v>46317</v>
      </c>
      <c r="B224">
        <v>25</v>
      </c>
      <c r="C224" t="s">
        <v>3</v>
      </c>
      <c r="D224">
        <v>75</v>
      </c>
      <c r="E224" t="s">
        <v>52</v>
      </c>
    </row>
    <row r="225" spans="1:5" x14ac:dyDescent="0.2">
      <c r="A225" s="20">
        <v>46317</v>
      </c>
      <c r="B225">
        <v>25</v>
      </c>
      <c r="C225" t="s">
        <v>3</v>
      </c>
      <c r="D225">
        <v>75</v>
      </c>
      <c r="E225" t="s">
        <v>60</v>
      </c>
    </row>
    <row r="226" spans="1:5" x14ac:dyDescent="0.2">
      <c r="A226" s="20">
        <v>46317</v>
      </c>
      <c r="B226">
        <v>25</v>
      </c>
      <c r="C226" t="s">
        <v>3</v>
      </c>
      <c r="D226">
        <v>75</v>
      </c>
      <c r="E226" t="s">
        <v>50</v>
      </c>
    </row>
    <row r="227" spans="1:5" x14ac:dyDescent="0.2">
      <c r="A227" s="20">
        <v>46318</v>
      </c>
      <c r="B227">
        <v>26</v>
      </c>
      <c r="C227" t="s">
        <v>0</v>
      </c>
      <c r="D227">
        <v>76</v>
      </c>
      <c r="E227" t="s">
        <v>52</v>
      </c>
    </row>
    <row r="228" spans="1:5" x14ac:dyDescent="0.2">
      <c r="A228" s="20">
        <v>46318</v>
      </c>
      <c r="B228">
        <v>26</v>
      </c>
      <c r="C228" t="s">
        <v>0</v>
      </c>
      <c r="D228">
        <v>76</v>
      </c>
      <c r="E228" t="s">
        <v>60</v>
      </c>
    </row>
    <row r="229" spans="1:5" x14ac:dyDescent="0.2">
      <c r="A229" s="20">
        <v>46318</v>
      </c>
      <c r="B229">
        <v>26</v>
      </c>
      <c r="C229" t="s">
        <v>0</v>
      </c>
      <c r="D229">
        <v>76</v>
      </c>
      <c r="E229" t="s">
        <v>50</v>
      </c>
    </row>
    <row r="230" spans="1:5" x14ac:dyDescent="0.2">
      <c r="A230" s="20">
        <v>46318</v>
      </c>
      <c r="B230">
        <v>26</v>
      </c>
      <c r="C230" t="s">
        <v>1</v>
      </c>
      <c r="D230">
        <v>77</v>
      </c>
      <c r="E230" t="s">
        <v>52</v>
      </c>
    </row>
    <row r="231" spans="1:5" x14ac:dyDescent="0.2">
      <c r="A231" s="20">
        <v>46318</v>
      </c>
      <c r="B231">
        <v>26</v>
      </c>
      <c r="C231" t="s">
        <v>1</v>
      </c>
      <c r="D231">
        <v>77</v>
      </c>
      <c r="E231" t="s">
        <v>60</v>
      </c>
    </row>
    <row r="232" spans="1:5" x14ac:dyDescent="0.2">
      <c r="A232" s="20">
        <v>46318</v>
      </c>
      <c r="B232">
        <v>26</v>
      </c>
      <c r="C232" t="s">
        <v>1</v>
      </c>
      <c r="D232">
        <v>77</v>
      </c>
      <c r="E232" t="s">
        <v>50</v>
      </c>
    </row>
    <row r="233" spans="1:5" x14ac:dyDescent="0.2">
      <c r="A233" s="20">
        <v>46318</v>
      </c>
      <c r="B233">
        <v>26</v>
      </c>
      <c r="C233" t="s">
        <v>3</v>
      </c>
      <c r="D233">
        <v>78</v>
      </c>
      <c r="E233" t="s">
        <v>52</v>
      </c>
    </row>
    <row r="234" spans="1:5" x14ac:dyDescent="0.2">
      <c r="A234" s="20">
        <v>46318</v>
      </c>
      <c r="B234">
        <v>26</v>
      </c>
      <c r="C234" t="s">
        <v>3</v>
      </c>
      <c r="D234">
        <v>78</v>
      </c>
      <c r="E234" t="s">
        <v>60</v>
      </c>
    </row>
    <row r="235" spans="1:5" x14ac:dyDescent="0.2">
      <c r="A235" s="20">
        <v>46318</v>
      </c>
      <c r="B235">
        <v>26</v>
      </c>
      <c r="C235" t="s">
        <v>3</v>
      </c>
      <c r="D235">
        <v>78</v>
      </c>
      <c r="E235" t="s">
        <v>50</v>
      </c>
    </row>
    <row r="236" spans="1:5" x14ac:dyDescent="0.2">
      <c r="A236" s="20">
        <v>46319</v>
      </c>
      <c r="B236">
        <v>27</v>
      </c>
      <c r="C236" t="s">
        <v>0</v>
      </c>
      <c r="D236">
        <v>79</v>
      </c>
      <c r="E236" t="s">
        <v>52</v>
      </c>
    </row>
    <row r="237" spans="1:5" x14ac:dyDescent="0.2">
      <c r="A237" s="20">
        <v>46319</v>
      </c>
      <c r="B237">
        <v>27</v>
      </c>
      <c r="C237" t="s">
        <v>0</v>
      </c>
      <c r="D237">
        <v>79</v>
      </c>
      <c r="E237" t="s">
        <v>60</v>
      </c>
    </row>
    <row r="238" spans="1:5" x14ac:dyDescent="0.2">
      <c r="A238" s="20">
        <v>46319</v>
      </c>
      <c r="B238">
        <v>27</v>
      </c>
      <c r="C238" t="s">
        <v>0</v>
      </c>
      <c r="D238">
        <v>79</v>
      </c>
      <c r="E238" t="s">
        <v>50</v>
      </c>
    </row>
    <row r="239" spans="1:5" x14ac:dyDescent="0.2">
      <c r="A239" s="20">
        <v>46319</v>
      </c>
      <c r="B239">
        <v>27</v>
      </c>
      <c r="C239" t="s">
        <v>1</v>
      </c>
      <c r="D239">
        <v>80</v>
      </c>
      <c r="E239" t="s">
        <v>52</v>
      </c>
    </row>
    <row r="240" spans="1:5" x14ac:dyDescent="0.2">
      <c r="A240" s="20">
        <v>46319</v>
      </c>
      <c r="B240">
        <v>27</v>
      </c>
      <c r="C240" t="s">
        <v>1</v>
      </c>
      <c r="D240">
        <v>80</v>
      </c>
      <c r="E240" t="s">
        <v>60</v>
      </c>
    </row>
    <row r="241" spans="1:5" x14ac:dyDescent="0.2">
      <c r="A241" s="20">
        <v>46319</v>
      </c>
      <c r="B241">
        <v>27</v>
      </c>
      <c r="C241" t="s">
        <v>1</v>
      </c>
      <c r="D241">
        <v>80</v>
      </c>
      <c r="E241" t="s">
        <v>50</v>
      </c>
    </row>
    <row r="242" spans="1:5" x14ac:dyDescent="0.2">
      <c r="A242" s="20">
        <v>46319</v>
      </c>
      <c r="B242">
        <v>27</v>
      </c>
      <c r="C242" t="s">
        <v>3</v>
      </c>
      <c r="D242">
        <v>81</v>
      </c>
      <c r="E242" t="s">
        <v>52</v>
      </c>
    </row>
    <row r="243" spans="1:5" x14ac:dyDescent="0.2">
      <c r="A243" s="20">
        <v>46319</v>
      </c>
      <c r="B243">
        <v>27</v>
      </c>
      <c r="C243" t="s">
        <v>3</v>
      </c>
      <c r="D243">
        <v>81</v>
      </c>
      <c r="E243" t="s">
        <v>60</v>
      </c>
    </row>
    <row r="244" spans="1:5" x14ac:dyDescent="0.2">
      <c r="A244" s="20">
        <v>46319</v>
      </c>
      <c r="B244">
        <v>27</v>
      </c>
      <c r="C244" t="s">
        <v>3</v>
      </c>
      <c r="D244">
        <v>81</v>
      </c>
      <c r="E244" t="s">
        <v>50</v>
      </c>
    </row>
    <row r="245" spans="1:5" x14ac:dyDescent="0.2">
      <c r="A245" s="20">
        <v>46320</v>
      </c>
      <c r="B245">
        <v>28</v>
      </c>
      <c r="C245" t="s">
        <v>0</v>
      </c>
      <c r="D245">
        <v>82</v>
      </c>
      <c r="E245" t="s">
        <v>52</v>
      </c>
    </row>
    <row r="246" spans="1:5" x14ac:dyDescent="0.2">
      <c r="A246" s="20">
        <v>46320</v>
      </c>
      <c r="B246">
        <v>28</v>
      </c>
      <c r="C246" t="s">
        <v>0</v>
      </c>
      <c r="D246">
        <v>82</v>
      </c>
      <c r="E246" t="s">
        <v>60</v>
      </c>
    </row>
    <row r="247" spans="1:5" x14ac:dyDescent="0.2">
      <c r="A247" s="20">
        <v>46320</v>
      </c>
      <c r="B247">
        <v>28</v>
      </c>
      <c r="C247" t="s">
        <v>0</v>
      </c>
      <c r="D247">
        <v>82</v>
      </c>
      <c r="E247" t="s">
        <v>50</v>
      </c>
    </row>
    <row r="248" spans="1:5" x14ac:dyDescent="0.2">
      <c r="A248" s="20">
        <v>46320</v>
      </c>
      <c r="B248">
        <v>28</v>
      </c>
      <c r="C248" t="s">
        <v>1</v>
      </c>
      <c r="D248">
        <v>83</v>
      </c>
      <c r="E248" t="s">
        <v>52</v>
      </c>
    </row>
    <row r="249" spans="1:5" x14ac:dyDescent="0.2">
      <c r="A249" s="20">
        <v>46320</v>
      </c>
      <c r="B249">
        <v>28</v>
      </c>
      <c r="C249" t="s">
        <v>1</v>
      </c>
      <c r="D249">
        <v>83</v>
      </c>
      <c r="E249" t="s">
        <v>60</v>
      </c>
    </row>
    <row r="250" spans="1:5" x14ac:dyDescent="0.2">
      <c r="A250" s="20">
        <v>46320</v>
      </c>
      <c r="B250">
        <v>28</v>
      </c>
      <c r="C250" t="s">
        <v>1</v>
      </c>
      <c r="D250">
        <v>83</v>
      </c>
      <c r="E250" t="s">
        <v>50</v>
      </c>
    </row>
    <row r="251" spans="1:5" x14ac:dyDescent="0.2">
      <c r="A251" s="20">
        <v>46320</v>
      </c>
      <c r="B251">
        <v>28</v>
      </c>
      <c r="C251" t="s">
        <v>3</v>
      </c>
      <c r="D251">
        <v>84</v>
      </c>
      <c r="E251" t="s">
        <v>52</v>
      </c>
    </row>
    <row r="252" spans="1:5" x14ac:dyDescent="0.2">
      <c r="A252" s="20">
        <v>46320</v>
      </c>
      <c r="B252">
        <v>28</v>
      </c>
      <c r="C252" t="s">
        <v>3</v>
      </c>
      <c r="D252">
        <v>84</v>
      </c>
      <c r="E252" t="s">
        <v>60</v>
      </c>
    </row>
    <row r="253" spans="1:5" x14ac:dyDescent="0.2">
      <c r="A253" s="20">
        <v>46320</v>
      </c>
      <c r="B253">
        <v>28</v>
      </c>
      <c r="C253" t="s">
        <v>3</v>
      </c>
      <c r="D253">
        <v>84</v>
      </c>
      <c r="E253" t="s">
        <v>50</v>
      </c>
    </row>
    <row r="254" spans="1:5" x14ac:dyDescent="0.2">
      <c r="A254" s="20">
        <v>46321</v>
      </c>
      <c r="B254">
        <v>29</v>
      </c>
      <c r="C254" t="s">
        <v>0</v>
      </c>
      <c r="D254">
        <v>85</v>
      </c>
      <c r="E254" t="s">
        <v>52</v>
      </c>
    </row>
    <row r="255" spans="1:5" x14ac:dyDescent="0.2">
      <c r="A255" s="20">
        <v>46321</v>
      </c>
      <c r="B255">
        <v>29</v>
      </c>
      <c r="C255" t="s">
        <v>0</v>
      </c>
      <c r="D255">
        <v>85</v>
      </c>
      <c r="E255" t="s">
        <v>60</v>
      </c>
    </row>
    <row r="256" spans="1:5" x14ac:dyDescent="0.2">
      <c r="A256" s="20">
        <v>46321</v>
      </c>
      <c r="B256">
        <v>29</v>
      </c>
      <c r="C256" t="s">
        <v>0</v>
      </c>
      <c r="D256">
        <v>85</v>
      </c>
      <c r="E256" t="s">
        <v>50</v>
      </c>
    </row>
    <row r="257" spans="1:5" x14ac:dyDescent="0.2">
      <c r="A257" s="20">
        <v>46321</v>
      </c>
      <c r="B257">
        <v>29</v>
      </c>
      <c r="C257" t="s">
        <v>1</v>
      </c>
      <c r="D257">
        <v>86</v>
      </c>
      <c r="E257" t="s">
        <v>52</v>
      </c>
    </row>
    <row r="258" spans="1:5" x14ac:dyDescent="0.2">
      <c r="A258" s="20">
        <v>46321</v>
      </c>
      <c r="B258">
        <v>29</v>
      </c>
      <c r="C258" t="s">
        <v>1</v>
      </c>
      <c r="D258">
        <v>86</v>
      </c>
      <c r="E258" t="s">
        <v>60</v>
      </c>
    </row>
    <row r="259" spans="1:5" x14ac:dyDescent="0.2">
      <c r="A259" s="20">
        <v>46321</v>
      </c>
      <c r="B259">
        <v>29</v>
      </c>
      <c r="C259" t="s">
        <v>1</v>
      </c>
      <c r="D259">
        <v>86</v>
      </c>
      <c r="E259" t="s">
        <v>50</v>
      </c>
    </row>
    <row r="260" spans="1:5" x14ac:dyDescent="0.2">
      <c r="A260" s="20">
        <v>46321</v>
      </c>
      <c r="B260">
        <v>29</v>
      </c>
      <c r="C260" t="s">
        <v>3</v>
      </c>
      <c r="D260">
        <v>87</v>
      </c>
      <c r="E260" t="s">
        <v>52</v>
      </c>
    </row>
    <row r="261" spans="1:5" x14ac:dyDescent="0.2">
      <c r="A261" s="20">
        <v>46321</v>
      </c>
      <c r="B261">
        <v>29</v>
      </c>
      <c r="C261" t="s">
        <v>3</v>
      </c>
      <c r="D261">
        <v>87</v>
      </c>
      <c r="E261" t="s">
        <v>60</v>
      </c>
    </row>
    <row r="262" spans="1:5" x14ac:dyDescent="0.2">
      <c r="A262" s="20">
        <v>46321</v>
      </c>
      <c r="B262">
        <v>29</v>
      </c>
      <c r="C262" t="s">
        <v>3</v>
      </c>
      <c r="D262">
        <v>87</v>
      </c>
      <c r="E262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5FD-D2DC-445D-8B85-B44681C367A7}">
  <sheetPr>
    <tabColor rgb="FFFF0000"/>
  </sheetPr>
  <dimension ref="A1:L30"/>
  <sheetViews>
    <sheetView topLeftCell="B1" workbookViewId="0">
      <selection activeCell="N15" sqref="N15"/>
    </sheetView>
  </sheetViews>
  <sheetFormatPr defaultRowHeight="12.75" x14ac:dyDescent="0.2"/>
  <cols>
    <col min="2" max="2" width="3.1640625" customWidth="1"/>
    <col min="3" max="3" width="14.5" customWidth="1"/>
    <col min="4" max="4" width="2.5" customWidth="1"/>
    <col min="5" max="5" width="34" customWidth="1"/>
    <col min="7" max="7" width="10.6640625" bestFit="1" customWidth="1"/>
    <col min="8" max="8" width="7.33203125" bestFit="1" customWidth="1"/>
    <col min="9" max="9" width="11.6640625" bestFit="1" customWidth="1"/>
    <col min="11" max="11" width="12.1640625" bestFit="1" customWidth="1"/>
    <col min="12" max="12" width="23.5" customWidth="1"/>
    <col min="13" max="13" width="9" bestFit="1" customWidth="1"/>
    <col min="14" max="14" width="14.83203125" bestFit="1" customWidth="1"/>
    <col min="40" max="40" width="9" bestFit="1" customWidth="1"/>
    <col min="41" max="41" width="14.6640625" bestFit="1" customWidth="1"/>
  </cols>
  <sheetData>
    <row r="1" spans="1:12" x14ac:dyDescent="0.2">
      <c r="A1" t="s">
        <v>2</v>
      </c>
      <c r="C1" s="8" t="s">
        <v>39</v>
      </c>
      <c r="E1" t="s">
        <v>38</v>
      </c>
      <c r="G1" t="s">
        <v>4</v>
      </c>
      <c r="H1" t="s">
        <v>41</v>
      </c>
    </row>
    <row r="2" spans="1:12" x14ac:dyDescent="0.2">
      <c r="A2" t="s">
        <v>0</v>
      </c>
      <c r="C2" s="6">
        <v>1</v>
      </c>
      <c r="E2" s="7" t="s">
        <v>52</v>
      </c>
      <c r="G2" s="20">
        <v>46293</v>
      </c>
      <c r="H2">
        <v>1</v>
      </c>
    </row>
    <row r="3" spans="1:12" x14ac:dyDescent="0.2">
      <c r="A3" t="s">
        <v>1</v>
      </c>
      <c r="C3" s="6">
        <v>2</v>
      </c>
      <c r="E3" s="7" t="s">
        <v>50</v>
      </c>
      <c r="G3" s="20">
        <v>46294</v>
      </c>
      <c r="H3">
        <v>2</v>
      </c>
      <c r="K3" t="s">
        <v>43</v>
      </c>
    </row>
    <row r="4" spans="1:12" x14ac:dyDescent="0.2">
      <c r="A4" t="s">
        <v>3</v>
      </c>
      <c r="C4" s="6">
        <v>3</v>
      </c>
      <c r="E4" s="21" t="s">
        <v>51</v>
      </c>
      <c r="G4" s="20">
        <v>46295</v>
      </c>
      <c r="H4">
        <v>3</v>
      </c>
      <c r="K4" s="1">
        <v>46293</v>
      </c>
    </row>
    <row r="5" spans="1:12" x14ac:dyDescent="0.2">
      <c r="G5" s="20">
        <v>46296</v>
      </c>
      <c r="H5">
        <v>4</v>
      </c>
    </row>
    <row r="6" spans="1:12" x14ac:dyDescent="0.2">
      <c r="G6" s="20">
        <v>46297</v>
      </c>
      <c r="H6">
        <v>5</v>
      </c>
    </row>
    <row r="7" spans="1:12" x14ac:dyDescent="0.2">
      <c r="G7" s="20">
        <v>46298</v>
      </c>
      <c r="H7">
        <v>6</v>
      </c>
    </row>
    <row r="8" spans="1:12" x14ac:dyDescent="0.2">
      <c r="G8" s="20">
        <v>46299</v>
      </c>
      <c r="H8">
        <v>7</v>
      </c>
      <c r="L8" t="s">
        <v>42</v>
      </c>
    </row>
    <row r="9" spans="1:12" x14ac:dyDescent="0.2">
      <c r="G9" s="20">
        <v>46300</v>
      </c>
      <c r="H9">
        <v>8</v>
      </c>
      <c r="L9" s="1">
        <v>46293</v>
      </c>
    </row>
    <row r="10" spans="1:12" x14ac:dyDescent="0.2">
      <c r="G10" s="20">
        <v>46301</v>
      </c>
      <c r="H10">
        <v>9</v>
      </c>
    </row>
    <row r="11" spans="1:12" x14ac:dyDescent="0.2">
      <c r="G11" s="20">
        <v>46302</v>
      </c>
      <c r="H11">
        <v>10</v>
      </c>
    </row>
    <row r="12" spans="1:12" x14ac:dyDescent="0.2">
      <c r="G12" s="20">
        <v>46303</v>
      </c>
      <c r="H12">
        <v>11</v>
      </c>
    </row>
    <row r="13" spans="1:12" x14ac:dyDescent="0.2">
      <c r="G13" s="20">
        <v>46304</v>
      </c>
      <c r="H13">
        <v>12</v>
      </c>
    </row>
    <row r="14" spans="1:12" x14ac:dyDescent="0.2">
      <c r="G14" s="20">
        <v>46305</v>
      </c>
      <c r="H14">
        <v>13</v>
      </c>
    </row>
    <row r="15" spans="1:12" x14ac:dyDescent="0.2">
      <c r="G15" s="20">
        <v>46306</v>
      </c>
      <c r="H15">
        <v>14</v>
      </c>
    </row>
    <row r="16" spans="1:12" x14ac:dyDescent="0.2">
      <c r="G16" s="20">
        <v>46307</v>
      </c>
      <c r="H16">
        <v>15</v>
      </c>
    </row>
    <row r="17" spans="7:8" x14ac:dyDescent="0.2">
      <c r="G17" s="20">
        <v>46308</v>
      </c>
      <c r="H17">
        <v>16</v>
      </c>
    </row>
    <row r="18" spans="7:8" x14ac:dyDescent="0.2">
      <c r="G18" s="20">
        <v>46309</v>
      </c>
      <c r="H18">
        <v>17</v>
      </c>
    </row>
    <row r="19" spans="7:8" x14ac:dyDescent="0.2">
      <c r="G19" s="20">
        <v>46310</v>
      </c>
      <c r="H19">
        <v>18</v>
      </c>
    </row>
    <row r="20" spans="7:8" x14ac:dyDescent="0.2">
      <c r="G20" s="20">
        <v>46311</v>
      </c>
      <c r="H20">
        <v>19</v>
      </c>
    </row>
    <row r="21" spans="7:8" x14ac:dyDescent="0.2">
      <c r="G21" s="20">
        <v>46312</v>
      </c>
      <c r="H21">
        <v>20</v>
      </c>
    </row>
    <row r="22" spans="7:8" x14ac:dyDescent="0.2">
      <c r="G22" s="20">
        <v>46313</v>
      </c>
      <c r="H22">
        <v>21</v>
      </c>
    </row>
    <row r="23" spans="7:8" x14ac:dyDescent="0.2">
      <c r="G23" s="20">
        <v>46314</v>
      </c>
      <c r="H23">
        <v>22</v>
      </c>
    </row>
    <row r="24" spans="7:8" x14ac:dyDescent="0.2">
      <c r="G24" s="20">
        <v>46315</v>
      </c>
      <c r="H24">
        <v>23</v>
      </c>
    </row>
    <row r="25" spans="7:8" x14ac:dyDescent="0.2">
      <c r="G25" s="20">
        <v>46316</v>
      </c>
      <c r="H25">
        <v>24</v>
      </c>
    </row>
    <row r="26" spans="7:8" x14ac:dyDescent="0.2">
      <c r="G26" s="20">
        <v>46317</v>
      </c>
      <c r="H26">
        <v>25</v>
      </c>
    </row>
    <row r="27" spans="7:8" x14ac:dyDescent="0.2">
      <c r="G27" s="20">
        <v>46318</v>
      </c>
      <c r="H27">
        <v>26</v>
      </c>
    </row>
    <row r="28" spans="7:8" x14ac:dyDescent="0.2">
      <c r="G28" s="20">
        <v>46319</v>
      </c>
      <c r="H28">
        <v>27</v>
      </c>
    </row>
    <row r="29" spans="7:8" x14ac:dyDescent="0.2">
      <c r="G29" s="20">
        <v>46320</v>
      </c>
      <c r="H29">
        <v>28</v>
      </c>
    </row>
    <row r="30" spans="7:8" x14ac:dyDescent="0.2">
      <c r="G30" s="20">
        <v>46321</v>
      </c>
      <c r="H30">
        <v>29</v>
      </c>
    </row>
  </sheetData>
  <phoneticPr fontId="11" type="noConversion"/>
  <dataValidations count="1">
    <dataValidation type="list" allowBlank="1" showInputMessage="1" showErrorMessage="1" sqref="E2:E4" xr:uid="{BBF1F901-B5E7-4C0D-BC1B-9EF421E39204}">
      <formula1>ROLE_TITLE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F48090-5841-4279-A35F-1B74E3C43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26139D-4069-4FA0-8A01-B3BE91953CEA}">
  <ds:schemaRefs>
    <ds:schemaRef ds:uri="http://purl.org/dc/terms/"/>
    <ds:schemaRef ds:uri="f82d1b6b-c0e6-44b0-99a2-d357b2d50896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be0b85a-8471-4f10-b038-505fde09e598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MaxCapacity</vt:lpstr>
      <vt:lpstr>ShiftHours</vt:lpstr>
      <vt:lpstr>DimensionPermutations</vt:lpstr>
      <vt:lpstr>Metadata</vt:lpstr>
      <vt:lpstr>Unit1Path!Client</vt:lpstr>
      <vt:lpstr>FilePathUrl</vt:lpstr>
      <vt:lpstr>Unit1Path!Role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Alex James</cp:lastModifiedBy>
  <dcterms:created xsi:type="dcterms:W3CDTF">2022-12-14T06:23:17Z</dcterms:created>
  <dcterms:modified xsi:type="dcterms:W3CDTF">2026-10-25T02:31:30Z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MediaServiceImageTags">
    <vt:lpwstr/>
  </property>
  <property fmtid="{D5CDD505-2E9C-101B-9397-08002B2CF9AE}" pid="6" name="ContentTypeId">
    <vt:lpwstr>0x0101008BBE42521EE0684FB91080D193FD289B</vt:lpwstr>
  </property>
</Properties>
</file>